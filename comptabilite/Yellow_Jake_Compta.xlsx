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Commandes" sheetId="2" state="visible" r:id="rId2"/>
    <sheet name="Salaires" sheetId="3" state="visible" r:id="rId3"/>
    <sheet name="Produits" sheetId="4" state="visible" r:id="rId4"/>
    <sheet name="Recettes" sheetId="5" state="visible" r:id="rId5"/>
    <sheet name="Matièr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 &quot;$&quot;;-#,##0.00 &quot;$&quot;;&quot;-&quot;"/>
    <numFmt numFmtId="165" formatCode="0.00%;-0.00%;&quot;-&quot;"/>
    <numFmt numFmtId="166" formatCode="dd/mm/yyyy"/>
    <numFmt numFmtId="167" formatCode="0;-0;&quot;-&quot;"/>
    <numFmt numFmtId="168" formatCode="0.##"/>
    <numFmt numFmtId="169" formatCode="0;-0;"/>
  </numFmts>
  <fonts count="11">
    <font>
      <name val="Calibri"/>
      <family val="2"/>
      <color theme="1"/>
      <sz val="11"/>
      <scheme val="minor"/>
    </font>
    <font>
      <name val="Arial"/>
      <b val="1"/>
      <color rgb="001F1B16"/>
      <sz val="16"/>
    </font>
    <font>
      <name val="Arial"/>
      <color rgb="00666666"/>
      <sz val="10"/>
    </font>
    <font>
      <name val="Arial"/>
      <b val="1"/>
      <color rgb="00FFFFFF"/>
      <sz val="11"/>
    </font>
    <font>
      <name val="Arial"/>
      <color rgb="00000000"/>
      <sz val="11"/>
    </font>
    <font>
      <name val="Arial"/>
      <color rgb="000000FF"/>
      <sz val="11"/>
    </font>
    <font>
      <name val="Arial"/>
      <b val="1"/>
      <color rgb="00000000"/>
      <sz val="11"/>
    </font>
    <font>
      <name val="Arial"/>
      <color rgb="00008000"/>
      <sz val="11"/>
    </font>
    <font>
      <name val="Arial"/>
      <i val="1"/>
      <color rgb="00666666"/>
      <sz val="9"/>
    </font>
    <font>
      <name val="Arial"/>
      <b val="1"/>
      <color rgb="001F1B16"/>
      <sz val="12"/>
    </font>
    <font>
      <name val="Arial"/>
      <color rgb="00666666"/>
      <sz val="9"/>
    </font>
  </fonts>
  <fills count="5">
    <fill>
      <patternFill/>
    </fill>
    <fill>
      <patternFill patternType="gray125"/>
    </fill>
    <fill>
      <patternFill patternType="solid">
        <fgColor rgb="001F1B16"/>
      </patternFill>
    </fill>
    <fill>
      <patternFill patternType="solid">
        <fgColor rgb="00FFF2CC"/>
      </patternFill>
    </fill>
    <fill>
      <patternFill patternType="solid">
        <fgColor rgb="00F5E9C8"/>
      </patternFill>
    </fill>
  </fills>
  <borders count="2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4" borderId="0" pivotButton="0" quotePrefix="0" xfId="0"/>
    <xf numFmtId="0" fontId="0" fillId="4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165" fontId="4" fillId="0" borderId="1" pivotButton="0" quotePrefix="0" xfId="0"/>
    <xf numFmtId="166" fontId="5" fillId="3" borderId="1" pivotButton="0" quotePrefix="0" xfId="0"/>
    <xf numFmtId="0" fontId="10" fillId="0" borderId="1" pivotButton="0" quotePrefix="0" xfId="0"/>
    <xf numFmtId="1" fontId="4" fillId="0" borderId="1" pivotButton="0" quotePrefix="0" xfId="0"/>
    <xf numFmtId="0" fontId="3" fillId="2" borderId="1" applyAlignment="1" pivotButton="0" quotePrefix="0" xfId="0">
      <alignment horizontal="center" wrapText="1"/>
    </xf>
    <xf numFmtId="0" fontId="7" fillId="0" borderId="1" pivotButton="0" quotePrefix="0" xfId="0"/>
    <xf numFmtId="167" fontId="4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" fontId="5" fillId="3" borderId="1" pivotButton="0" quotePrefix="0" xfId="0"/>
    <xf numFmtId="164" fontId="7" fillId="0" borderId="1" pivotButton="0" quotePrefix="0" xfId="0"/>
    <xf numFmtId="168" fontId="5" fillId="3" borderId="1" pivotButton="0" quotePrefix="0" xfId="0"/>
    <xf numFmtId="164" fontId="5" fillId="3" borderId="1" pivotButton="0" quotePrefix="0" xfId="0"/>
    <xf numFmtId="169" fontId="5" fillId="3" borderId="1" applyAlignment="1" pivotButton="0" quotePrefix="0" xfId="0">
      <alignment horizontal="center"/>
    </xf>
    <xf numFmtId="165" fontId="4" fillId="0" borderId="1" pivotButton="0" quotePrefix="0" xfId="0"/>
    <xf numFmtId="166" fontId="5" fillId="3" borderId="1" pivotButton="0" quotePrefix="0" xfId="0"/>
    <xf numFmtId="167" fontId="4" fillId="0" borderId="1" pivotButton="0" quotePrefix="0" xfId="0"/>
    <xf numFmtId="165" fontId="6" fillId="0" borderId="1" pivotButton="0" quotePrefix="0" xfId="0"/>
    <xf numFmtId="169" fontId="5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Compta</author>
  </authors>
  <commentList>
    <comment ref="B14" authorId="0" shapeId="0">
      <text>
        <t>Par défaut : aujourd'hui. Tape une autre date pour voir une autre journée.</t>
      </text>
    </comment>
  </commentList>
</comments>
</file>

<file path=xl/comments/comment2.xml><?xml version="1.0" encoding="utf-8"?>
<comments xmlns="http://schemas.openxmlformats.org/spreadsheetml/2006/main">
  <authors>
    <author>Compta</author>
  </authors>
  <commentList>
    <comment ref="B5" authorId="0" shapeId="0">
      <text>
        <t>Ligne d'exemple : efface-la (date, employé, produit, quantité) quand tu commences.</t>
      </text>
    </comment>
  </commentList>
</comments>
</file>

<file path=xl/comments/comment3.xml><?xml version="1.0" encoding="utf-8"?>
<comments xmlns="http://schemas.openxmlformats.org/spreadsheetml/2006/main">
  <authors>
    <author>Compta</author>
  </authors>
  <commentList>
    <comment ref="B5" authorId="0" shapeId="0">
      <text>
        <t>Prix fournis par la direction de Yellow Jake.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26" customHeight="1">
      <c r="A1" s="1" t="inlineStr">
        <is>
          <t>YELLOW JAKE — Tableau de bord</t>
        </is>
      </c>
    </row>
    <row r="2">
      <c r="A2" s="2" t="inlineStr">
        <is>
          <t>Tout se calcule depuis les onglets Commandes et Salaires.</t>
        </is>
      </c>
    </row>
    <row r="3">
      <c r="A3" s="3" t="inlineStr">
        <is>
          <t>Légende : cellules jaunes à texte bleu = à remplir / choisir. Le reste est automatique.</t>
        </is>
      </c>
    </row>
    <row r="5">
      <c r="A5" s="4" t="inlineStr">
        <is>
          <t>BILAN GÉNÉRAL (toutes les commandes)</t>
        </is>
      </c>
      <c r="B5" s="5" t="n"/>
    </row>
    <row r="6">
      <c r="A6" s="6" t="inlineStr">
        <is>
          <t>Chiffre d'affaires</t>
        </is>
      </c>
      <c r="B6" s="7">
        <f>SUM(Commandes!$G$5:$G$504)</f>
        <v/>
      </c>
    </row>
    <row r="7">
      <c r="A7" s="6" t="inlineStr">
        <is>
          <t>Coût des matières premières</t>
        </is>
      </c>
      <c r="B7" s="7">
        <f>SUM(Commandes!$H$5:$H$504)</f>
        <v/>
      </c>
    </row>
    <row r="8">
      <c r="A8" s="8" t="inlineStr">
        <is>
          <t>Bénéfice avant salaires</t>
        </is>
      </c>
      <c r="B8" s="9">
        <f>B6-B7</f>
        <v/>
      </c>
    </row>
    <row r="9">
      <c r="A9" s="6" t="inlineStr">
        <is>
          <t>Masse salariale</t>
        </is>
      </c>
      <c r="B9" s="7">
        <f>SUM(Salaires!$E$5:$E$504)</f>
        <v/>
      </c>
    </row>
    <row r="10">
      <c r="A10" s="8" t="inlineStr">
        <is>
          <t>Bénéfice final (après salaires)</t>
        </is>
      </c>
      <c r="B10" s="9">
        <f>B8-B9</f>
        <v/>
      </c>
    </row>
    <row r="11">
      <c r="A11" s="6" t="inlineStr">
        <is>
          <t>Marge finale</t>
        </is>
      </c>
      <c r="B11" s="26">
        <f>IFERROR(B10/B6,0)</f>
        <v/>
      </c>
    </row>
    <row r="13">
      <c r="A13" s="4" t="inlineStr">
        <is>
          <t>BILAN D'UNE JOURNÉE</t>
        </is>
      </c>
      <c r="B13" s="5" t="n"/>
    </row>
    <row r="14">
      <c r="A14" s="6" t="inlineStr">
        <is>
          <t>Journée analysée</t>
        </is>
      </c>
      <c r="B14" s="27">
        <f>TODAY()</f>
        <v/>
      </c>
    </row>
    <row r="15">
      <c r="A15" s="6" t="inlineStr">
        <is>
          <t>Chiffre d'affaires</t>
        </is>
      </c>
      <c r="B15" s="7">
        <f>SUMIFS(Commandes!$G$5:$G$504,Commandes!$A$5:$A$504,$B$14)</f>
        <v/>
      </c>
    </row>
    <row r="16">
      <c r="A16" s="6" t="inlineStr">
        <is>
          <t>Coût des matières premières</t>
        </is>
      </c>
      <c r="B16" s="7">
        <f>SUMIFS(Commandes!$H$5:$H$504,Commandes!$A$5:$A$504,$B$14)</f>
        <v/>
      </c>
    </row>
    <row r="17">
      <c r="A17" s="8" t="inlineStr">
        <is>
          <t>Bénéfice avant salaires</t>
        </is>
      </c>
      <c r="B17" s="9">
        <f>B15-B16</f>
        <v/>
      </c>
    </row>
    <row r="18">
      <c r="A18" s="6" t="inlineStr">
        <is>
          <t>Masse salariale</t>
        </is>
      </c>
      <c r="B18" s="7">
        <f>SUMIFS(Salaires!$E$5:$E$504,Salaires!$A$5:$A$504,$B$14)</f>
        <v/>
      </c>
    </row>
    <row r="19">
      <c r="A19" s="8" t="inlineStr">
        <is>
          <t>Bénéfice final (après salaires)</t>
        </is>
      </c>
      <c r="B19" s="9">
        <f>B17-B18</f>
        <v/>
      </c>
    </row>
    <row r="20">
      <c r="A20" s="12" t="inlineStr">
        <is>
          <t>⚠️ Commandes sans date (non comptées dans la journée)</t>
        </is>
      </c>
      <c r="B20" s="13">
        <f>SUMPRODUCT((Commandes!$C$5:$C$504&lt;&gt;"")*(Commandes!$A$5:$A$504=""))</f>
        <v/>
      </c>
    </row>
    <row r="22">
      <c r="A22" s="4" t="inlineStr">
        <is>
          <t>VENTES PAR PRODUIT (toutes les commandes)</t>
        </is>
      </c>
      <c r="B22" s="5" t="n"/>
      <c r="C22" s="5" t="n"/>
      <c r="D22" s="5" t="n"/>
      <c r="E22" s="5" t="n"/>
      <c r="F22" s="5" t="n"/>
    </row>
    <row r="23">
      <c r="A23" s="14" t="inlineStr">
        <is>
          <t>Produit</t>
        </is>
      </c>
      <c r="B23" s="14" t="inlineStr">
        <is>
          <t>Quantité vendue</t>
        </is>
      </c>
      <c r="C23" s="14" t="inlineStr">
        <is>
          <t>Chiffre d'affaires</t>
        </is>
      </c>
      <c r="D23" s="14" t="inlineStr">
        <is>
          <t>Coût matières</t>
        </is>
      </c>
      <c r="E23" s="14" t="inlineStr">
        <is>
          <t>Bénéfice</t>
        </is>
      </c>
      <c r="F23" s="14" t="inlineStr">
        <is>
          <t>Marge</t>
        </is>
      </c>
    </row>
    <row r="24">
      <c r="A24" s="15">
        <f>Produits!A5</f>
        <v/>
      </c>
      <c r="B24" s="28">
        <f>SUMIFS(Commandes!$D$5:$D$504,Commandes!$C$5:$C$504,$A24)</f>
        <v/>
      </c>
      <c r="C24" s="7">
        <f>SUMIFS(Commandes!$G$5:$G$504,Commandes!$C$5:$C$504,$A24)</f>
        <v/>
      </c>
      <c r="D24" s="7">
        <f>SUMIFS(Commandes!$H$5:$H$504,Commandes!$C$5:$C$504,$A24)</f>
        <v/>
      </c>
      <c r="E24" s="7">
        <f>C24-D24</f>
        <v/>
      </c>
      <c r="F24" s="26">
        <f>IFERROR(E24/C24,0)</f>
        <v/>
      </c>
    </row>
    <row r="25">
      <c r="A25" s="15">
        <f>Produits!A6</f>
        <v/>
      </c>
      <c r="B25" s="28">
        <f>SUMIFS(Commandes!$D$5:$D$504,Commandes!$C$5:$C$504,$A25)</f>
        <v/>
      </c>
      <c r="C25" s="7">
        <f>SUMIFS(Commandes!$G$5:$G$504,Commandes!$C$5:$C$504,$A25)</f>
        <v/>
      </c>
      <c r="D25" s="7">
        <f>SUMIFS(Commandes!$H$5:$H$504,Commandes!$C$5:$C$504,$A25)</f>
        <v/>
      </c>
      <c r="E25" s="7">
        <f>C25-D25</f>
        <v/>
      </c>
      <c r="F25" s="26">
        <f>IFERROR(E25/C25,0)</f>
        <v/>
      </c>
    </row>
    <row r="26">
      <c r="A26" s="15">
        <f>Produits!A7</f>
        <v/>
      </c>
      <c r="B26" s="28">
        <f>SUMIFS(Commandes!$D$5:$D$504,Commandes!$C$5:$C$504,$A26)</f>
        <v/>
      </c>
      <c r="C26" s="7">
        <f>SUMIFS(Commandes!$G$5:$G$504,Commandes!$C$5:$C$504,$A26)</f>
        <v/>
      </c>
      <c r="D26" s="7">
        <f>SUMIFS(Commandes!$H$5:$H$504,Commandes!$C$5:$C$504,$A26)</f>
        <v/>
      </c>
      <c r="E26" s="7">
        <f>C26-D26</f>
        <v/>
      </c>
      <c r="F26" s="26">
        <f>IFERROR(E26/C26,0)</f>
        <v/>
      </c>
    </row>
    <row r="27">
      <c r="A27" s="15">
        <f>Produits!A8</f>
        <v/>
      </c>
      <c r="B27" s="28">
        <f>SUMIFS(Commandes!$D$5:$D$504,Commandes!$C$5:$C$504,$A27)</f>
        <v/>
      </c>
      <c r="C27" s="7">
        <f>SUMIFS(Commandes!$G$5:$G$504,Commandes!$C$5:$C$504,$A27)</f>
        <v/>
      </c>
      <c r="D27" s="7">
        <f>SUMIFS(Commandes!$H$5:$H$504,Commandes!$C$5:$C$504,$A27)</f>
        <v/>
      </c>
      <c r="E27" s="7">
        <f>C27-D27</f>
        <v/>
      </c>
      <c r="F27" s="26">
        <f>IFERROR(E27/C27,0)</f>
        <v/>
      </c>
    </row>
    <row r="28">
      <c r="A28" s="15">
        <f>Produits!A9</f>
        <v/>
      </c>
      <c r="B28" s="28">
        <f>SUMIFS(Commandes!$D$5:$D$504,Commandes!$C$5:$C$504,$A28)</f>
        <v/>
      </c>
      <c r="C28" s="7">
        <f>SUMIFS(Commandes!$G$5:$G$504,Commandes!$C$5:$C$504,$A28)</f>
        <v/>
      </c>
      <c r="D28" s="7">
        <f>SUMIFS(Commandes!$H$5:$H$504,Commandes!$C$5:$C$504,$A28)</f>
        <v/>
      </c>
      <c r="E28" s="7">
        <f>C28-D28</f>
        <v/>
      </c>
      <c r="F28" s="26">
        <f>IFERROR(E28/C28,0)</f>
        <v/>
      </c>
    </row>
    <row r="29">
      <c r="A29" s="15">
        <f>Produits!A10</f>
        <v/>
      </c>
      <c r="B29" s="28">
        <f>SUMIFS(Commandes!$D$5:$D$504,Commandes!$C$5:$C$504,$A29)</f>
        <v/>
      </c>
      <c r="C29" s="7">
        <f>SUMIFS(Commandes!$G$5:$G$504,Commandes!$C$5:$C$504,$A29)</f>
        <v/>
      </c>
      <c r="D29" s="7">
        <f>SUMIFS(Commandes!$H$5:$H$504,Commandes!$C$5:$C$504,$A29)</f>
        <v/>
      </c>
      <c r="E29" s="7">
        <f>C29-D29</f>
        <v/>
      </c>
      <c r="F29" s="26">
        <f>IFERROR(E29/C29,0)</f>
        <v/>
      </c>
    </row>
    <row r="30">
      <c r="A30" s="15">
        <f>Produits!A11</f>
        <v/>
      </c>
      <c r="B30" s="28">
        <f>SUMIFS(Commandes!$D$5:$D$504,Commandes!$C$5:$C$504,$A30)</f>
        <v/>
      </c>
      <c r="C30" s="7">
        <f>SUMIFS(Commandes!$G$5:$G$504,Commandes!$C$5:$C$504,$A30)</f>
        <v/>
      </c>
      <c r="D30" s="7">
        <f>SUMIFS(Commandes!$H$5:$H$504,Commandes!$C$5:$C$504,$A30)</f>
        <v/>
      </c>
      <c r="E30" s="7">
        <f>C30-D30</f>
        <v/>
      </c>
      <c r="F30" s="26">
        <f>IFERROR(E30/C30,0)</f>
        <v/>
      </c>
    </row>
    <row r="31">
      <c r="A31" s="15">
        <f>Produits!A12</f>
        <v/>
      </c>
      <c r="B31" s="28">
        <f>SUMIFS(Commandes!$D$5:$D$504,Commandes!$C$5:$C$504,$A31)</f>
        <v/>
      </c>
      <c r="C31" s="7">
        <f>SUMIFS(Commandes!$G$5:$G$504,Commandes!$C$5:$C$504,$A31)</f>
        <v/>
      </c>
      <c r="D31" s="7">
        <f>SUMIFS(Commandes!$H$5:$H$504,Commandes!$C$5:$C$504,$A31)</f>
        <v/>
      </c>
      <c r="E31" s="7">
        <f>C31-D31</f>
        <v/>
      </c>
      <c r="F31" s="26">
        <f>IFERROR(E31/C31,0)</f>
        <v/>
      </c>
    </row>
    <row r="32">
      <c r="A32" s="15">
        <f>Produits!A13</f>
        <v/>
      </c>
      <c r="B32" s="28">
        <f>SUMIFS(Commandes!$D$5:$D$504,Commandes!$C$5:$C$504,$A32)</f>
        <v/>
      </c>
      <c r="C32" s="7">
        <f>SUMIFS(Commandes!$G$5:$G$504,Commandes!$C$5:$C$504,$A32)</f>
        <v/>
      </c>
      <c r="D32" s="7">
        <f>SUMIFS(Commandes!$H$5:$H$504,Commandes!$C$5:$C$504,$A32)</f>
        <v/>
      </c>
      <c r="E32" s="7">
        <f>C32-D32</f>
        <v/>
      </c>
      <c r="F32" s="26">
        <f>IFERROR(E32/C32,0)</f>
        <v/>
      </c>
    </row>
    <row r="33">
      <c r="A33" s="15">
        <f>Produits!A14</f>
        <v/>
      </c>
      <c r="B33" s="28">
        <f>SUMIFS(Commandes!$D$5:$D$504,Commandes!$C$5:$C$504,$A33)</f>
        <v/>
      </c>
      <c r="C33" s="7">
        <f>SUMIFS(Commandes!$G$5:$G$504,Commandes!$C$5:$C$504,$A33)</f>
        <v/>
      </c>
      <c r="D33" s="7">
        <f>SUMIFS(Commandes!$H$5:$H$504,Commandes!$C$5:$C$504,$A33)</f>
        <v/>
      </c>
      <c r="E33" s="7">
        <f>C33-D33</f>
        <v/>
      </c>
      <c r="F33" s="26">
        <f>IFERROR(E33/C33,0)</f>
        <v/>
      </c>
    </row>
    <row r="34">
      <c r="A34" s="15">
        <f>Produits!A15</f>
        <v/>
      </c>
      <c r="B34" s="28">
        <f>SUMIFS(Commandes!$D$5:$D$504,Commandes!$C$5:$C$504,$A34)</f>
        <v/>
      </c>
      <c r="C34" s="7">
        <f>SUMIFS(Commandes!$G$5:$G$504,Commandes!$C$5:$C$504,$A34)</f>
        <v/>
      </c>
      <c r="D34" s="7">
        <f>SUMIFS(Commandes!$H$5:$H$504,Commandes!$C$5:$C$504,$A34)</f>
        <v/>
      </c>
      <c r="E34" s="7">
        <f>C34-D34</f>
        <v/>
      </c>
      <c r="F34" s="26">
        <f>IFERROR(E34/C34,0)</f>
        <v/>
      </c>
    </row>
    <row r="35">
      <c r="A35" s="15">
        <f>Produits!A16</f>
        <v/>
      </c>
      <c r="B35" s="28">
        <f>SUMIFS(Commandes!$D$5:$D$504,Commandes!$C$5:$C$504,$A35)</f>
        <v/>
      </c>
      <c r="C35" s="7">
        <f>SUMIFS(Commandes!$G$5:$G$504,Commandes!$C$5:$C$504,$A35)</f>
        <v/>
      </c>
      <c r="D35" s="7">
        <f>SUMIFS(Commandes!$H$5:$H$504,Commandes!$C$5:$C$504,$A35)</f>
        <v/>
      </c>
      <c r="E35" s="7">
        <f>C35-D35</f>
        <v/>
      </c>
      <c r="F35" s="26">
        <f>IFERROR(E35/C35,0)</f>
        <v/>
      </c>
    </row>
    <row r="36">
      <c r="A36" s="15">
        <f>Produits!A17</f>
        <v/>
      </c>
      <c r="B36" s="28">
        <f>SUMIFS(Commandes!$D$5:$D$504,Commandes!$C$5:$C$504,$A36)</f>
        <v/>
      </c>
      <c r="C36" s="7">
        <f>SUMIFS(Commandes!$G$5:$G$504,Commandes!$C$5:$C$504,$A36)</f>
        <v/>
      </c>
      <c r="D36" s="7">
        <f>SUMIFS(Commandes!$H$5:$H$504,Commandes!$C$5:$C$504,$A36)</f>
        <v/>
      </c>
      <c r="E36" s="7">
        <f>C36-D36</f>
        <v/>
      </c>
      <c r="F36" s="26">
        <f>IFERROR(E36/C36,0)</f>
        <v/>
      </c>
    </row>
    <row r="37">
      <c r="A37" s="8" t="inlineStr">
        <is>
          <t>TOTAL</t>
        </is>
      </c>
      <c r="B37" s="17">
        <f>SUM(B24:B36)</f>
        <v/>
      </c>
      <c r="C37" s="9">
        <f>SUM(C24:C36)</f>
        <v/>
      </c>
      <c r="D37" s="9">
        <f>SUM(D24:D36)</f>
        <v/>
      </c>
      <c r="E37" s="9">
        <f>SUM(E24:E36)</f>
        <v/>
      </c>
      <c r="F37" s="29">
        <f>IFERROR(E37/C37,0)</f>
        <v/>
      </c>
    </row>
  </sheetData>
  <mergeCells count="2">
    <mergeCell ref="A2:F2"/>
    <mergeCell ref="A1:F1"/>
  </mergeCells>
  <conditionalFormatting sqref="B6:B19">
    <cfRule type="expression" priority="1" dxfId="0">
      <formula>AND(ISNUMBER(B6),B6&lt;0)</formula>
    </cfRule>
  </conditionalFormatting>
  <conditionalFormatting sqref="E24:E37">
    <cfRule type="expression" priority="2" dxfId="0">
      <formula>AND(ISNUMBER(E24),E24&lt;0)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2" customWidth="1" min="3" max="3"/>
    <col width="10" customWidth="1" min="4" max="4"/>
    <col width="13" customWidth="1" min="5" max="5"/>
    <col width="13" customWidth="1" min="6" max="6"/>
    <col width="16" customWidth="1" min="7" max="7"/>
    <col width="15" customWidth="1" min="8" max="8"/>
    <col width="15" customWidth="1" min="9" max="9"/>
    <col width="10" customWidth="1" min="10" max="10"/>
  </cols>
  <sheetData>
    <row r="1" ht="26" customHeight="1">
      <c r="A1" s="1" t="inlineStr">
        <is>
          <t>Commandes — Yellow Jake</t>
        </is>
      </c>
    </row>
    <row r="2">
      <c r="A2" s="2" t="inlineStr">
        <is>
          <t>Remplis les colonnes jaunes (date, employé, produit dans la liste, quantité). Le reste se calcule tout seul.</t>
        </is>
      </c>
    </row>
    <row r="4" ht="30" customHeight="1">
      <c r="A4" s="19" t="inlineStr">
        <is>
          <t>Date</t>
        </is>
      </c>
      <c r="B4" s="19" t="inlineStr">
        <is>
          <t>Employé</t>
        </is>
      </c>
      <c r="C4" s="19" t="inlineStr">
        <is>
          <t>Produit</t>
        </is>
      </c>
      <c r="D4" s="19" t="inlineStr">
        <is>
          <t>Quantité</t>
        </is>
      </c>
      <c r="E4" s="19" t="inlineStr">
        <is>
          <t>Prix de vente</t>
        </is>
      </c>
      <c r="F4" s="19" t="inlineStr">
        <is>
          <t>Coût unitaire</t>
        </is>
      </c>
      <c r="G4" s="19" t="inlineStr">
        <is>
          <t>Chiffre d'affaires</t>
        </is>
      </c>
      <c r="H4" s="19" t="inlineStr">
        <is>
          <t>Coût matières</t>
        </is>
      </c>
      <c r="I4" s="19" t="inlineStr">
        <is>
          <t>Bénéfice</t>
        </is>
      </c>
      <c r="J4" s="19" t="inlineStr">
        <is>
          <t>Marge</t>
        </is>
      </c>
    </row>
    <row r="5">
      <c r="A5" s="27" t="n">
        <v>46296</v>
      </c>
      <c r="B5" s="20" t="inlineStr">
        <is>
          <t>Exemple</t>
        </is>
      </c>
      <c r="C5" s="20" t="inlineStr">
        <is>
          <t>Téquila</t>
        </is>
      </c>
      <c r="D5" s="21" t="n">
        <v>5</v>
      </c>
      <c r="E5" s="22">
        <f>IF($C5="","",IFERROR(INDEX(Produits!$E$5:$E$17,MATCH($C5,Produits!$A$5:$A$17,0)),"Produit ?"))</f>
        <v/>
      </c>
      <c r="F5" s="22">
        <f>IF($C5="","",IFERROR(INDEX(Produits!$D$5:$D$17,MATCH($C5,Produits!$A$5:$A$17,0)),"Produit ?"))</f>
        <v/>
      </c>
      <c r="G5" s="7">
        <f>IF(OR($C5="",$D5=""),"",IFERROR(D5*E5,""))</f>
        <v/>
      </c>
      <c r="H5" s="7">
        <f>IF(G5="","",D5*F5)</f>
        <v/>
      </c>
      <c r="I5" s="7">
        <f>IF(G5="","",G5-H5)</f>
        <v/>
      </c>
      <c r="J5" s="26">
        <f>IF(G5="","",IFERROR(I5/G5,0))</f>
        <v/>
      </c>
    </row>
    <row r="6">
      <c r="A6" s="27" t="n"/>
      <c r="B6" s="20" t="n"/>
      <c r="C6" s="20" t="n"/>
      <c r="D6" s="21" t="n"/>
      <c r="E6" s="22">
        <f>IF($C6="","",IFERROR(INDEX(Produits!$E$5:$E$17,MATCH($C6,Produits!$A$5:$A$17,0)),"Produit ?"))</f>
        <v/>
      </c>
      <c r="F6" s="22">
        <f>IF($C6="","",IFERROR(INDEX(Produits!$D$5:$D$17,MATCH($C6,Produits!$A$5:$A$17,0)),"Produit ?"))</f>
        <v/>
      </c>
      <c r="G6" s="7">
        <f>IF(OR($C6="",$D6=""),"",IFERROR(D6*E6,""))</f>
        <v/>
      </c>
      <c r="H6" s="7">
        <f>IF(G6="","",D6*F6)</f>
        <v/>
      </c>
      <c r="I6" s="7">
        <f>IF(G6="","",G6-H6)</f>
        <v/>
      </c>
      <c r="J6" s="26">
        <f>IF(G6="","",IFERROR(I6/G6,0))</f>
        <v/>
      </c>
    </row>
    <row r="7">
      <c r="A7" s="27" t="n"/>
      <c r="B7" s="20" t="n"/>
      <c r="C7" s="20" t="n"/>
      <c r="D7" s="21" t="n"/>
      <c r="E7" s="22">
        <f>IF($C7="","",IFERROR(INDEX(Produits!$E$5:$E$17,MATCH($C7,Produits!$A$5:$A$17,0)),"Produit ?"))</f>
        <v/>
      </c>
      <c r="F7" s="22">
        <f>IF($C7="","",IFERROR(INDEX(Produits!$D$5:$D$17,MATCH($C7,Produits!$A$5:$A$17,0)),"Produit ?"))</f>
        <v/>
      </c>
      <c r="G7" s="7">
        <f>IF(OR($C7="",$D7=""),"",IFERROR(D7*E7,""))</f>
        <v/>
      </c>
      <c r="H7" s="7">
        <f>IF(G7="","",D7*F7)</f>
        <v/>
      </c>
      <c r="I7" s="7">
        <f>IF(G7="","",G7-H7)</f>
        <v/>
      </c>
      <c r="J7" s="26">
        <f>IF(G7="","",IFERROR(I7/G7,0))</f>
        <v/>
      </c>
    </row>
    <row r="8">
      <c r="A8" s="27" t="n"/>
      <c r="B8" s="20" t="n"/>
      <c r="C8" s="20" t="n"/>
      <c r="D8" s="21" t="n"/>
      <c r="E8" s="22">
        <f>IF($C8="","",IFERROR(INDEX(Produits!$E$5:$E$17,MATCH($C8,Produits!$A$5:$A$17,0)),"Produit ?"))</f>
        <v/>
      </c>
      <c r="F8" s="22">
        <f>IF($C8="","",IFERROR(INDEX(Produits!$D$5:$D$17,MATCH($C8,Produits!$A$5:$A$17,0)),"Produit ?"))</f>
        <v/>
      </c>
      <c r="G8" s="7">
        <f>IF(OR($C8="",$D8=""),"",IFERROR(D8*E8,""))</f>
        <v/>
      </c>
      <c r="H8" s="7">
        <f>IF(G8="","",D8*F8)</f>
        <v/>
      </c>
      <c r="I8" s="7">
        <f>IF(G8="","",G8-H8)</f>
        <v/>
      </c>
      <c r="J8" s="26">
        <f>IF(G8="","",IFERROR(I8/G8,0))</f>
        <v/>
      </c>
    </row>
    <row r="9">
      <c r="A9" s="27" t="n"/>
      <c r="B9" s="20" t="n"/>
      <c r="C9" s="20" t="n"/>
      <c r="D9" s="21" t="n"/>
      <c r="E9" s="22">
        <f>IF($C9="","",IFERROR(INDEX(Produits!$E$5:$E$17,MATCH($C9,Produits!$A$5:$A$17,0)),"Produit ?"))</f>
        <v/>
      </c>
      <c r="F9" s="22">
        <f>IF($C9="","",IFERROR(INDEX(Produits!$D$5:$D$17,MATCH($C9,Produits!$A$5:$A$17,0)),"Produit ?"))</f>
        <v/>
      </c>
      <c r="G9" s="7">
        <f>IF(OR($C9="",$D9=""),"",IFERROR(D9*E9,""))</f>
        <v/>
      </c>
      <c r="H9" s="7">
        <f>IF(G9="","",D9*F9)</f>
        <v/>
      </c>
      <c r="I9" s="7">
        <f>IF(G9="","",G9-H9)</f>
        <v/>
      </c>
      <c r="J9" s="26">
        <f>IF(G9="","",IFERROR(I9/G9,0))</f>
        <v/>
      </c>
    </row>
    <row r="10">
      <c r="A10" s="27" t="n"/>
      <c r="B10" s="20" t="n"/>
      <c r="C10" s="20" t="n"/>
      <c r="D10" s="21" t="n"/>
      <c r="E10" s="22">
        <f>IF($C10="","",IFERROR(INDEX(Produits!$E$5:$E$17,MATCH($C10,Produits!$A$5:$A$17,0)),"Produit ?"))</f>
        <v/>
      </c>
      <c r="F10" s="22">
        <f>IF($C10="","",IFERROR(INDEX(Produits!$D$5:$D$17,MATCH($C10,Produits!$A$5:$A$17,0)),"Produit ?"))</f>
        <v/>
      </c>
      <c r="G10" s="7">
        <f>IF(OR($C10="",$D10=""),"",IFERROR(D10*E10,""))</f>
        <v/>
      </c>
      <c r="H10" s="7">
        <f>IF(G10="","",D10*F10)</f>
        <v/>
      </c>
      <c r="I10" s="7">
        <f>IF(G10="","",G10-H10)</f>
        <v/>
      </c>
      <c r="J10" s="26">
        <f>IF(G10="","",IFERROR(I10/G10,0))</f>
        <v/>
      </c>
    </row>
    <row r="11">
      <c r="A11" s="27" t="n"/>
      <c r="B11" s="20" t="n"/>
      <c r="C11" s="20" t="n"/>
      <c r="D11" s="21" t="n"/>
      <c r="E11" s="22">
        <f>IF($C11="","",IFERROR(INDEX(Produits!$E$5:$E$17,MATCH($C11,Produits!$A$5:$A$17,0)),"Produit ?"))</f>
        <v/>
      </c>
      <c r="F11" s="22">
        <f>IF($C11="","",IFERROR(INDEX(Produits!$D$5:$D$17,MATCH($C11,Produits!$A$5:$A$17,0)),"Produit ?"))</f>
        <v/>
      </c>
      <c r="G11" s="7">
        <f>IF(OR($C11="",$D11=""),"",IFERROR(D11*E11,""))</f>
        <v/>
      </c>
      <c r="H11" s="7">
        <f>IF(G11="","",D11*F11)</f>
        <v/>
      </c>
      <c r="I11" s="7">
        <f>IF(G11="","",G11-H11)</f>
        <v/>
      </c>
      <c r="J11" s="26">
        <f>IF(G11="","",IFERROR(I11/G11,0))</f>
        <v/>
      </c>
    </row>
    <row r="12">
      <c r="A12" s="27" t="n"/>
      <c r="B12" s="20" t="n"/>
      <c r="C12" s="20" t="n"/>
      <c r="D12" s="21" t="n"/>
      <c r="E12" s="22">
        <f>IF($C12="","",IFERROR(INDEX(Produits!$E$5:$E$17,MATCH($C12,Produits!$A$5:$A$17,0)),"Produit ?"))</f>
        <v/>
      </c>
      <c r="F12" s="22">
        <f>IF($C12="","",IFERROR(INDEX(Produits!$D$5:$D$17,MATCH($C12,Produits!$A$5:$A$17,0)),"Produit ?"))</f>
        <v/>
      </c>
      <c r="G12" s="7">
        <f>IF(OR($C12="",$D12=""),"",IFERROR(D12*E12,""))</f>
        <v/>
      </c>
      <c r="H12" s="7">
        <f>IF(G12="","",D12*F12)</f>
        <v/>
      </c>
      <c r="I12" s="7">
        <f>IF(G12="","",G12-H12)</f>
        <v/>
      </c>
      <c r="J12" s="26">
        <f>IF(G12="","",IFERROR(I12/G12,0))</f>
        <v/>
      </c>
    </row>
    <row r="13">
      <c r="A13" s="27" t="n"/>
      <c r="B13" s="20" t="n"/>
      <c r="C13" s="20" t="n"/>
      <c r="D13" s="21" t="n"/>
      <c r="E13" s="22">
        <f>IF($C13="","",IFERROR(INDEX(Produits!$E$5:$E$17,MATCH($C13,Produits!$A$5:$A$17,0)),"Produit ?"))</f>
        <v/>
      </c>
      <c r="F13" s="22">
        <f>IF($C13="","",IFERROR(INDEX(Produits!$D$5:$D$17,MATCH($C13,Produits!$A$5:$A$17,0)),"Produit ?"))</f>
        <v/>
      </c>
      <c r="G13" s="7">
        <f>IF(OR($C13="",$D13=""),"",IFERROR(D13*E13,""))</f>
        <v/>
      </c>
      <c r="H13" s="7">
        <f>IF(G13="","",D13*F13)</f>
        <v/>
      </c>
      <c r="I13" s="7">
        <f>IF(G13="","",G13-H13)</f>
        <v/>
      </c>
      <c r="J13" s="26">
        <f>IF(G13="","",IFERROR(I13/G13,0))</f>
        <v/>
      </c>
    </row>
    <row r="14">
      <c r="A14" s="27" t="n"/>
      <c r="B14" s="20" t="n"/>
      <c r="C14" s="20" t="n"/>
      <c r="D14" s="21" t="n"/>
      <c r="E14" s="22">
        <f>IF($C14="","",IFERROR(INDEX(Produits!$E$5:$E$17,MATCH($C14,Produits!$A$5:$A$17,0)),"Produit ?"))</f>
        <v/>
      </c>
      <c r="F14" s="22">
        <f>IF($C14="","",IFERROR(INDEX(Produits!$D$5:$D$17,MATCH($C14,Produits!$A$5:$A$17,0)),"Produit ?"))</f>
        <v/>
      </c>
      <c r="G14" s="7">
        <f>IF(OR($C14="",$D14=""),"",IFERROR(D14*E14,""))</f>
        <v/>
      </c>
      <c r="H14" s="7">
        <f>IF(G14="","",D14*F14)</f>
        <v/>
      </c>
      <c r="I14" s="7">
        <f>IF(G14="","",G14-H14)</f>
        <v/>
      </c>
      <c r="J14" s="26">
        <f>IF(G14="","",IFERROR(I14/G14,0))</f>
        <v/>
      </c>
    </row>
    <row r="15">
      <c r="A15" s="27" t="n"/>
      <c r="B15" s="20" t="n"/>
      <c r="C15" s="20" t="n"/>
      <c r="D15" s="21" t="n"/>
      <c r="E15" s="22">
        <f>IF($C15="","",IFERROR(INDEX(Produits!$E$5:$E$17,MATCH($C15,Produits!$A$5:$A$17,0)),"Produit ?"))</f>
        <v/>
      </c>
      <c r="F15" s="22">
        <f>IF($C15="","",IFERROR(INDEX(Produits!$D$5:$D$17,MATCH($C15,Produits!$A$5:$A$17,0)),"Produit ?"))</f>
        <v/>
      </c>
      <c r="G15" s="7">
        <f>IF(OR($C15="",$D15=""),"",IFERROR(D15*E15,""))</f>
        <v/>
      </c>
      <c r="H15" s="7">
        <f>IF(G15="","",D15*F15)</f>
        <v/>
      </c>
      <c r="I15" s="7">
        <f>IF(G15="","",G15-H15)</f>
        <v/>
      </c>
      <c r="J15" s="26">
        <f>IF(G15="","",IFERROR(I15/G15,0))</f>
        <v/>
      </c>
    </row>
    <row r="16">
      <c r="A16" s="27" t="n"/>
      <c r="B16" s="20" t="n"/>
      <c r="C16" s="20" t="n"/>
      <c r="D16" s="21" t="n"/>
      <c r="E16" s="22">
        <f>IF($C16="","",IFERROR(INDEX(Produits!$E$5:$E$17,MATCH($C16,Produits!$A$5:$A$17,0)),"Produit ?"))</f>
        <v/>
      </c>
      <c r="F16" s="22">
        <f>IF($C16="","",IFERROR(INDEX(Produits!$D$5:$D$17,MATCH($C16,Produits!$A$5:$A$17,0)),"Produit ?"))</f>
        <v/>
      </c>
      <c r="G16" s="7">
        <f>IF(OR($C16="",$D16=""),"",IFERROR(D16*E16,""))</f>
        <v/>
      </c>
      <c r="H16" s="7">
        <f>IF(G16="","",D16*F16)</f>
        <v/>
      </c>
      <c r="I16" s="7">
        <f>IF(G16="","",G16-H16)</f>
        <v/>
      </c>
      <c r="J16" s="26">
        <f>IF(G16="","",IFERROR(I16/G16,0))</f>
        <v/>
      </c>
    </row>
    <row r="17">
      <c r="A17" s="27" t="n"/>
      <c r="B17" s="20" t="n"/>
      <c r="C17" s="20" t="n"/>
      <c r="D17" s="21" t="n"/>
      <c r="E17" s="22">
        <f>IF($C17="","",IFERROR(INDEX(Produits!$E$5:$E$17,MATCH($C17,Produits!$A$5:$A$17,0)),"Produit ?"))</f>
        <v/>
      </c>
      <c r="F17" s="22">
        <f>IF($C17="","",IFERROR(INDEX(Produits!$D$5:$D$17,MATCH($C17,Produits!$A$5:$A$17,0)),"Produit ?"))</f>
        <v/>
      </c>
      <c r="G17" s="7">
        <f>IF(OR($C17="",$D17=""),"",IFERROR(D17*E17,""))</f>
        <v/>
      </c>
      <c r="H17" s="7">
        <f>IF(G17="","",D17*F17)</f>
        <v/>
      </c>
      <c r="I17" s="7">
        <f>IF(G17="","",G17-H17)</f>
        <v/>
      </c>
      <c r="J17" s="26">
        <f>IF(G17="","",IFERROR(I17/G17,0))</f>
        <v/>
      </c>
    </row>
    <row r="18">
      <c r="A18" s="27" t="n"/>
      <c r="B18" s="20" t="n"/>
      <c r="C18" s="20" t="n"/>
      <c r="D18" s="21" t="n"/>
      <c r="E18" s="22">
        <f>IF($C18="","",IFERROR(INDEX(Produits!$E$5:$E$17,MATCH($C18,Produits!$A$5:$A$17,0)),"Produit ?"))</f>
        <v/>
      </c>
      <c r="F18" s="22">
        <f>IF($C18="","",IFERROR(INDEX(Produits!$D$5:$D$17,MATCH($C18,Produits!$A$5:$A$17,0)),"Produit ?"))</f>
        <v/>
      </c>
      <c r="G18" s="7">
        <f>IF(OR($C18="",$D18=""),"",IFERROR(D18*E18,""))</f>
        <v/>
      </c>
      <c r="H18" s="7">
        <f>IF(G18="","",D18*F18)</f>
        <v/>
      </c>
      <c r="I18" s="7">
        <f>IF(G18="","",G18-H18)</f>
        <v/>
      </c>
      <c r="J18" s="26">
        <f>IF(G18="","",IFERROR(I18/G18,0))</f>
        <v/>
      </c>
    </row>
    <row r="19">
      <c r="A19" s="27" t="n"/>
      <c r="B19" s="20" t="n"/>
      <c r="C19" s="20" t="n"/>
      <c r="D19" s="21" t="n"/>
      <c r="E19" s="22">
        <f>IF($C19="","",IFERROR(INDEX(Produits!$E$5:$E$17,MATCH($C19,Produits!$A$5:$A$17,0)),"Produit ?"))</f>
        <v/>
      </c>
      <c r="F19" s="22">
        <f>IF($C19="","",IFERROR(INDEX(Produits!$D$5:$D$17,MATCH($C19,Produits!$A$5:$A$17,0)),"Produit ?"))</f>
        <v/>
      </c>
      <c r="G19" s="7">
        <f>IF(OR($C19="",$D19=""),"",IFERROR(D19*E19,""))</f>
        <v/>
      </c>
      <c r="H19" s="7">
        <f>IF(G19="","",D19*F19)</f>
        <v/>
      </c>
      <c r="I19" s="7">
        <f>IF(G19="","",G19-H19)</f>
        <v/>
      </c>
      <c r="J19" s="26">
        <f>IF(G19="","",IFERROR(I19/G19,0))</f>
        <v/>
      </c>
    </row>
    <row r="20">
      <c r="A20" s="27" t="n"/>
      <c r="B20" s="20" t="n"/>
      <c r="C20" s="20" t="n"/>
      <c r="D20" s="21" t="n"/>
      <c r="E20" s="22">
        <f>IF($C20="","",IFERROR(INDEX(Produits!$E$5:$E$17,MATCH($C20,Produits!$A$5:$A$17,0)),"Produit ?"))</f>
        <v/>
      </c>
      <c r="F20" s="22">
        <f>IF($C20="","",IFERROR(INDEX(Produits!$D$5:$D$17,MATCH($C20,Produits!$A$5:$A$17,0)),"Produit ?"))</f>
        <v/>
      </c>
      <c r="G20" s="7">
        <f>IF(OR($C20="",$D20=""),"",IFERROR(D20*E20,""))</f>
        <v/>
      </c>
      <c r="H20" s="7">
        <f>IF(G20="","",D20*F20)</f>
        <v/>
      </c>
      <c r="I20" s="7">
        <f>IF(G20="","",G20-H20)</f>
        <v/>
      </c>
      <c r="J20" s="26">
        <f>IF(G20="","",IFERROR(I20/G20,0))</f>
        <v/>
      </c>
    </row>
    <row r="21">
      <c r="A21" s="27" t="n"/>
      <c r="B21" s="20" t="n"/>
      <c r="C21" s="20" t="n"/>
      <c r="D21" s="21" t="n"/>
      <c r="E21" s="22">
        <f>IF($C21="","",IFERROR(INDEX(Produits!$E$5:$E$17,MATCH($C21,Produits!$A$5:$A$17,0)),"Produit ?"))</f>
        <v/>
      </c>
      <c r="F21" s="22">
        <f>IF($C21="","",IFERROR(INDEX(Produits!$D$5:$D$17,MATCH($C21,Produits!$A$5:$A$17,0)),"Produit ?"))</f>
        <v/>
      </c>
      <c r="G21" s="7">
        <f>IF(OR($C21="",$D21=""),"",IFERROR(D21*E21,""))</f>
        <v/>
      </c>
      <c r="H21" s="7">
        <f>IF(G21="","",D21*F21)</f>
        <v/>
      </c>
      <c r="I21" s="7">
        <f>IF(G21="","",G21-H21)</f>
        <v/>
      </c>
      <c r="J21" s="26">
        <f>IF(G21="","",IFERROR(I21/G21,0))</f>
        <v/>
      </c>
    </row>
    <row r="22">
      <c r="A22" s="27" t="n"/>
      <c r="B22" s="20" t="n"/>
      <c r="C22" s="20" t="n"/>
      <c r="D22" s="21" t="n"/>
      <c r="E22" s="22">
        <f>IF($C22="","",IFERROR(INDEX(Produits!$E$5:$E$17,MATCH($C22,Produits!$A$5:$A$17,0)),"Produit ?"))</f>
        <v/>
      </c>
      <c r="F22" s="22">
        <f>IF($C22="","",IFERROR(INDEX(Produits!$D$5:$D$17,MATCH($C22,Produits!$A$5:$A$17,0)),"Produit ?"))</f>
        <v/>
      </c>
      <c r="G22" s="7">
        <f>IF(OR($C22="",$D22=""),"",IFERROR(D22*E22,""))</f>
        <v/>
      </c>
      <c r="H22" s="7">
        <f>IF(G22="","",D22*F22)</f>
        <v/>
      </c>
      <c r="I22" s="7">
        <f>IF(G22="","",G22-H22)</f>
        <v/>
      </c>
      <c r="J22" s="26">
        <f>IF(G22="","",IFERROR(I22/G22,0))</f>
        <v/>
      </c>
    </row>
    <row r="23">
      <c r="A23" s="27" t="n"/>
      <c r="B23" s="20" t="n"/>
      <c r="C23" s="20" t="n"/>
      <c r="D23" s="21" t="n"/>
      <c r="E23" s="22">
        <f>IF($C23="","",IFERROR(INDEX(Produits!$E$5:$E$17,MATCH($C23,Produits!$A$5:$A$17,0)),"Produit ?"))</f>
        <v/>
      </c>
      <c r="F23" s="22">
        <f>IF($C23="","",IFERROR(INDEX(Produits!$D$5:$D$17,MATCH($C23,Produits!$A$5:$A$17,0)),"Produit ?"))</f>
        <v/>
      </c>
      <c r="G23" s="7">
        <f>IF(OR($C23="",$D23=""),"",IFERROR(D23*E23,""))</f>
        <v/>
      </c>
      <c r="H23" s="7">
        <f>IF(G23="","",D23*F23)</f>
        <v/>
      </c>
      <c r="I23" s="7">
        <f>IF(G23="","",G23-H23)</f>
        <v/>
      </c>
      <c r="J23" s="26">
        <f>IF(G23="","",IFERROR(I23/G23,0))</f>
        <v/>
      </c>
    </row>
    <row r="24">
      <c r="A24" s="27" t="n"/>
      <c r="B24" s="20" t="n"/>
      <c r="C24" s="20" t="n"/>
      <c r="D24" s="21" t="n"/>
      <c r="E24" s="22">
        <f>IF($C24="","",IFERROR(INDEX(Produits!$E$5:$E$17,MATCH($C24,Produits!$A$5:$A$17,0)),"Produit ?"))</f>
        <v/>
      </c>
      <c r="F24" s="22">
        <f>IF($C24="","",IFERROR(INDEX(Produits!$D$5:$D$17,MATCH($C24,Produits!$A$5:$A$17,0)),"Produit ?"))</f>
        <v/>
      </c>
      <c r="G24" s="7">
        <f>IF(OR($C24="",$D24=""),"",IFERROR(D24*E24,""))</f>
        <v/>
      </c>
      <c r="H24" s="7">
        <f>IF(G24="","",D24*F24)</f>
        <v/>
      </c>
      <c r="I24" s="7">
        <f>IF(G24="","",G24-H24)</f>
        <v/>
      </c>
      <c r="J24" s="26">
        <f>IF(G24="","",IFERROR(I24/G24,0))</f>
        <v/>
      </c>
    </row>
    <row r="25">
      <c r="A25" s="27" t="n"/>
      <c r="B25" s="20" t="n"/>
      <c r="C25" s="20" t="n"/>
      <c r="D25" s="21" t="n"/>
      <c r="E25" s="22">
        <f>IF($C25="","",IFERROR(INDEX(Produits!$E$5:$E$17,MATCH($C25,Produits!$A$5:$A$17,0)),"Produit ?"))</f>
        <v/>
      </c>
      <c r="F25" s="22">
        <f>IF($C25="","",IFERROR(INDEX(Produits!$D$5:$D$17,MATCH($C25,Produits!$A$5:$A$17,0)),"Produit ?"))</f>
        <v/>
      </c>
      <c r="G25" s="7">
        <f>IF(OR($C25="",$D25=""),"",IFERROR(D25*E25,""))</f>
        <v/>
      </c>
      <c r="H25" s="7">
        <f>IF(G25="","",D25*F25)</f>
        <v/>
      </c>
      <c r="I25" s="7">
        <f>IF(G25="","",G25-H25)</f>
        <v/>
      </c>
      <c r="J25" s="26">
        <f>IF(G25="","",IFERROR(I25/G25,0))</f>
        <v/>
      </c>
    </row>
    <row r="26">
      <c r="A26" s="27" t="n"/>
      <c r="B26" s="20" t="n"/>
      <c r="C26" s="20" t="n"/>
      <c r="D26" s="21" t="n"/>
      <c r="E26" s="22">
        <f>IF($C26="","",IFERROR(INDEX(Produits!$E$5:$E$17,MATCH($C26,Produits!$A$5:$A$17,0)),"Produit ?"))</f>
        <v/>
      </c>
      <c r="F26" s="22">
        <f>IF($C26="","",IFERROR(INDEX(Produits!$D$5:$D$17,MATCH($C26,Produits!$A$5:$A$17,0)),"Produit ?"))</f>
        <v/>
      </c>
      <c r="G26" s="7">
        <f>IF(OR($C26="",$D26=""),"",IFERROR(D26*E26,""))</f>
        <v/>
      </c>
      <c r="H26" s="7">
        <f>IF(G26="","",D26*F26)</f>
        <v/>
      </c>
      <c r="I26" s="7">
        <f>IF(G26="","",G26-H26)</f>
        <v/>
      </c>
      <c r="J26" s="26">
        <f>IF(G26="","",IFERROR(I26/G26,0))</f>
        <v/>
      </c>
    </row>
    <row r="27">
      <c r="A27" s="27" t="n"/>
      <c r="B27" s="20" t="n"/>
      <c r="C27" s="20" t="n"/>
      <c r="D27" s="21" t="n"/>
      <c r="E27" s="22">
        <f>IF($C27="","",IFERROR(INDEX(Produits!$E$5:$E$17,MATCH($C27,Produits!$A$5:$A$17,0)),"Produit ?"))</f>
        <v/>
      </c>
      <c r="F27" s="22">
        <f>IF($C27="","",IFERROR(INDEX(Produits!$D$5:$D$17,MATCH($C27,Produits!$A$5:$A$17,0)),"Produit ?"))</f>
        <v/>
      </c>
      <c r="G27" s="7">
        <f>IF(OR($C27="",$D27=""),"",IFERROR(D27*E27,""))</f>
        <v/>
      </c>
      <c r="H27" s="7">
        <f>IF(G27="","",D27*F27)</f>
        <v/>
      </c>
      <c r="I27" s="7">
        <f>IF(G27="","",G27-H27)</f>
        <v/>
      </c>
      <c r="J27" s="26">
        <f>IF(G27="","",IFERROR(I27/G27,0))</f>
        <v/>
      </c>
    </row>
    <row r="28">
      <c r="A28" s="27" t="n"/>
      <c r="B28" s="20" t="n"/>
      <c r="C28" s="20" t="n"/>
      <c r="D28" s="21" t="n"/>
      <c r="E28" s="22">
        <f>IF($C28="","",IFERROR(INDEX(Produits!$E$5:$E$17,MATCH($C28,Produits!$A$5:$A$17,0)),"Produit ?"))</f>
        <v/>
      </c>
      <c r="F28" s="22">
        <f>IF($C28="","",IFERROR(INDEX(Produits!$D$5:$D$17,MATCH($C28,Produits!$A$5:$A$17,0)),"Produit ?"))</f>
        <v/>
      </c>
      <c r="G28" s="7">
        <f>IF(OR($C28="",$D28=""),"",IFERROR(D28*E28,""))</f>
        <v/>
      </c>
      <c r="H28" s="7">
        <f>IF(G28="","",D28*F28)</f>
        <v/>
      </c>
      <c r="I28" s="7">
        <f>IF(G28="","",G28-H28)</f>
        <v/>
      </c>
      <c r="J28" s="26">
        <f>IF(G28="","",IFERROR(I28/G28,0))</f>
        <v/>
      </c>
    </row>
    <row r="29">
      <c r="A29" s="27" t="n"/>
      <c r="B29" s="20" t="n"/>
      <c r="C29" s="20" t="n"/>
      <c r="D29" s="21" t="n"/>
      <c r="E29" s="22">
        <f>IF($C29="","",IFERROR(INDEX(Produits!$E$5:$E$17,MATCH($C29,Produits!$A$5:$A$17,0)),"Produit ?"))</f>
        <v/>
      </c>
      <c r="F29" s="22">
        <f>IF($C29="","",IFERROR(INDEX(Produits!$D$5:$D$17,MATCH($C29,Produits!$A$5:$A$17,0)),"Produit ?"))</f>
        <v/>
      </c>
      <c r="G29" s="7">
        <f>IF(OR($C29="",$D29=""),"",IFERROR(D29*E29,""))</f>
        <v/>
      </c>
      <c r="H29" s="7">
        <f>IF(G29="","",D29*F29)</f>
        <v/>
      </c>
      <c r="I29" s="7">
        <f>IF(G29="","",G29-H29)</f>
        <v/>
      </c>
      <c r="J29" s="26">
        <f>IF(G29="","",IFERROR(I29/G29,0))</f>
        <v/>
      </c>
    </row>
    <row r="30">
      <c r="A30" s="27" t="n"/>
      <c r="B30" s="20" t="n"/>
      <c r="C30" s="20" t="n"/>
      <c r="D30" s="21" t="n"/>
      <c r="E30" s="22">
        <f>IF($C30="","",IFERROR(INDEX(Produits!$E$5:$E$17,MATCH($C30,Produits!$A$5:$A$17,0)),"Produit ?"))</f>
        <v/>
      </c>
      <c r="F30" s="22">
        <f>IF($C30="","",IFERROR(INDEX(Produits!$D$5:$D$17,MATCH($C30,Produits!$A$5:$A$17,0)),"Produit ?"))</f>
        <v/>
      </c>
      <c r="G30" s="7">
        <f>IF(OR($C30="",$D30=""),"",IFERROR(D30*E30,""))</f>
        <v/>
      </c>
      <c r="H30" s="7">
        <f>IF(G30="","",D30*F30)</f>
        <v/>
      </c>
      <c r="I30" s="7">
        <f>IF(G30="","",G30-H30)</f>
        <v/>
      </c>
      <c r="J30" s="26">
        <f>IF(G30="","",IFERROR(I30/G30,0))</f>
        <v/>
      </c>
    </row>
    <row r="31">
      <c r="A31" s="27" t="n"/>
      <c r="B31" s="20" t="n"/>
      <c r="C31" s="20" t="n"/>
      <c r="D31" s="21" t="n"/>
      <c r="E31" s="22">
        <f>IF($C31="","",IFERROR(INDEX(Produits!$E$5:$E$17,MATCH($C31,Produits!$A$5:$A$17,0)),"Produit ?"))</f>
        <v/>
      </c>
      <c r="F31" s="22">
        <f>IF($C31="","",IFERROR(INDEX(Produits!$D$5:$D$17,MATCH($C31,Produits!$A$5:$A$17,0)),"Produit ?"))</f>
        <v/>
      </c>
      <c r="G31" s="7">
        <f>IF(OR($C31="",$D31=""),"",IFERROR(D31*E31,""))</f>
        <v/>
      </c>
      <c r="H31" s="7">
        <f>IF(G31="","",D31*F31)</f>
        <v/>
      </c>
      <c r="I31" s="7">
        <f>IF(G31="","",G31-H31)</f>
        <v/>
      </c>
      <c r="J31" s="26">
        <f>IF(G31="","",IFERROR(I31/G31,0))</f>
        <v/>
      </c>
    </row>
    <row r="32">
      <c r="A32" s="27" t="n"/>
      <c r="B32" s="20" t="n"/>
      <c r="C32" s="20" t="n"/>
      <c r="D32" s="21" t="n"/>
      <c r="E32" s="22">
        <f>IF($C32="","",IFERROR(INDEX(Produits!$E$5:$E$17,MATCH($C32,Produits!$A$5:$A$17,0)),"Produit ?"))</f>
        <v/>
      </c>
      <c r="F32" s="22">
        <f>IF($C32="","",IFERROR(INDEX(Produits!$D$5:$D$17,MATCH($C32,Produits!$A$5:$A$17,0)),"Produit ?"))</f>
        <v/>
      </c>
      <c r="G32" s="7">
        <f>IF(OR($C32="",$D32=""),"",IFERROR(D32*E32,""))</f>
        <v/>
      </c>
      <c r="H32" s="7">
        <f>IF(G32="","",D32*F32)</f>
        <v/>
      </c>
      <c r="I32" s="7">
        <f>IF(G32="","",G32-H32)</f>
        <v/>
      </c>
      <c r="J32" s="26">
        <f>IF(G32="","",IFERROR(I32/G32,0))</f>
        <v/>
      </c>
    </row>
    <row r="33">
      <c r="A33" s="27" t="n"/>
      <c r="B33" s="20" t="n"/>
      <c r="C33" s="20" t="n"/>
      <c r="D33" s="21" t="n"/>
      <c r="E33" s="22">
        <f>IF($C33="","",IFERROR(INDEX(Produits!$E$5:$E$17,MATCH($C33,Produits!$A$5:$A$17,0)),"Produit ?"))</f>
        <v/>
      </c>
      <c r="F33" s="22">
        <f>IF($C33="","",IFERROR(INDEX(Produits!$D$5:$D$17,MATCH($C33,Produits!$A$5:$A$17,0)),"Produit ?"))</f>
        <v/>
      </c>
      <c r="G33" s="7">
        <f>IF(OR($C33="",$D33=""),"",IFERROR(D33*E33,""))</f>
        <v/>
      </c>
      <c r="H33" s="7">
        <f>IF(G33="","",D33*F33)</f>
        <v/>
      </c>
      <c r="I33" s="7">
        <f>IF(G33="","",G33-H33)</f>
        <v/>
      </c>
      <c r="J33" s="26">
        <f>IF(G33="","",IFERROR(I33/G33,0))</f>
        <v/>
      </c>
    </row>
    <row r="34">
      <c r="A34" s="27" t="n"/>
      <c r="B34" s="20" t="n"/>
      <c r="C34" s="20" t="n"/>
      <c r="D34" s="21" t="n"/>
      <c r="E34" s="22">
        <f>IF($C34="","",IFERROR(INDEX(Produits!$E$5:$E$17,MATCH($C34,Produits!$A$5:$A$17,0)),"Produit ?"))</f>
        <v/>
      </c>
      <c r="F34" s="22">
        <f>IF($C34="","",IFERROR(INDEX(Produits!$D$5:$D$17,MATCH($C34,Produits!$A$5:$A$17,0)),"Produit ?"))</f>
        <v/>
      </c>
      <c r="G34" s="7">
        <f>IF(OR($C34="",$D34=""),"",IFERROR(D34*E34,""))</f>
        <v/>
      </c>
      <c r="H34" s="7">
        <f>IF(G34="","",D34*F34)</f>
        <v/>
      </c>
      <c r="I34" s="7">
        <f>IF(G34="","",G34-H34)</f>
        <v/>
      </c>
      <c r="J34" s="26">
        <f>IF(G34="","",IFERROR(I34/G34,0))</f>
        <v/>
      </c>
    </row>
    <row r="35">
      <c r="A35" s="27" t="n"/>
      <c r="B35" s="20" t="n"/>
      <c r="C35" s="20" t="n"/>
      <c r="D35" s="21" t="n"/>
      <c r="E35" s="22">
        <f>IF($C35="","",IFERROR(INDEX(Produits!$E$5:$E$17,MATCH($C35,Produits!$A$5:$A$17,0)),"Produit ?"))</f>
        <v/>
      </c>
      <c r="F35" s="22">
        <f>IF($C35="","",IFERROR(INDEX(Produits!$D$5:$D$17,MATCH($C35,Produits!$A$5:$A$17,0)),"Produit ?"))</f>
        <v/>
      </c>
      <c r="G35" s="7">
        <f>IF(OR($C35="",$D35=""),"",IFERROR(D35*E35,""))</f>
        <v/>
      </c>
      <c r="H35" s="7">
        <f>IF(G35="","",D35*F35)</f>
        <v/>
      </c>
      <c r="I35" s="7">
        <f>IF(G35="","",G35-H35)</f>
        <v/>
      </c>
      <c r="J35" s="26">
        <f>IF(G35="","",IFERROR(I35/G35,0))</f>
        <v/>
      </c>
    </row>
    <row r="36">
      <c r="A36" s="27" t="n"/>
      <c r="B36" s="20" t="n"/>
      <c r="C36" s="20" t="n"/>
      <c r="D36" s="21" t="n"/>
      <c r="E36" s="22">
        <f>IF($C36="","",IFERROR(INDEX(Produits!$E$5:$E$17,MATCH($C36,Produits!$A$5:$A$17,0)),"Produit ?"))</f>
        <v/>
      </c>
      <c r="F36" s="22">
        <f>IF($C36="","",IFERROR(INDEX(Produits!$D$5:$D$17,MATCH($C36,Produits!$A$5:$A$17,0)),"Produit ?"))</f>
        <v/>
      </c>
      <c r="G36" s="7">
        <f>IF(OR($C36="",$D36=""),"",IFERROR(D36*E36,""))</f>
        <v/>
      </c>
      <c r="H36" s="7">
        <f>IF(G36="","",D36*F36)</f>
        <v/>
      </c>
      <c r="I36" s="7">
        <f>IF(G36="","",G36-H36)</f>
        <v/>
      </c>
      <c r="J36" s="26">
        <f>IF(G36="","",IFERROR(I36/G36,0))</f>
        <v/>
      </c>
    </row>
    <row r="37">
      <c r="A37" s="27" t="n"/>
      <c r="B37" s="20" t="n"/>
      <c r="C37" s="20" t="n"/>
      <c r="D37" s="21" t="n"/>
      <c r="E37" s="22">
        <f>IF($C37="","",IFERROR(INDEX(Produits!$E$5:$E$17,MATCH($C37,Produits!$A$5:$A$17,0)),"Produit ?"))</f>
        <v/>
      </c>
      <c r="F37" s="22">
        <f>IF($C37="","",IFERROR(INDEX(Produits!$D$5:$D$17,MATCH($C37,Produits!$A$5:$A$17,0)),"Produit ?"))</f>
        <v/>
      </c>
      <c r="G37" s="7">
        <f>IF(OR($C37="",$D37=""),"",IFERROR(D37*E37,""))</f>
        <v/>
      </c>
      <c r="H37" s="7">
        <f>IF(G37="","",D37*F37)</f>
        <v/>
      </c>
      <c r="I37" s="7">
        <f>IF(G37="","",G37-H37)</f>
        <v/>
      </c>
      <c r="J37" s="26">
        <f>IF(G37="","",IFERROR(I37/G37,0))</f>
        <v/>
      </c>
    </row>
    <row r="38">
      <c r="A38" s="27" t="n"/>
      <c r="B38" s="20" t="n"/>
      <c r="C38" s="20" t="n"/>
      <c r="D38" s="21" t="n"/>
      <c r="E38" s="22">
        <f>IF($C38="","",IFERROR(INDEX(Produits!$E$5:$E$17,MATCH($C38,Produits!$A$5:$A$17,0)),"Produit ?"))</f>
        <v/>
      </c>
      <c r="F38" s="22">
        <f>IF($C38="","",IFERROR(INDEX(Produits!$D$5:$D$17,MATCH($C38,Produits!$A$5:$A$17,0)),"Produit ?"))</f>
        <v/>
      </c>
      <c r="G38" s="7">
        <f>IF(OR($C38="",$D38=""),"",IFERROR(D38*E38,""))</f>
        <v/>
      </c>
      <c r="H38" s="7">
        <f>IF(G38="","",D38*F38)</f>
        <v/>
      </c>
      <c r="I38" s="7">
        <f>IF(G38="","",G38-H38)</f>
        <v/>
      </c>
      <c r="J38" s="26">
        <f>IF(G38="","",IFERROR(I38/G38,0))</f>
        <v/>
      </c>
    </row>
    <row r="39">
      <c r="A39" s="27" t="n"/>
      <c r="B39" s="20" t="n"/>
      <c r="C39" s="20" t="n"/>
      <c r="D39" s="21" t="n"/>
      <c r="E39" s="22">
        <f>IF($C39="","",IFERROR(INDEX(Produits!$E$5:$E$17,MATCH($C39,Produits!$A$5:$A$17,0)),"Produit ?"))</f>
        <v/>
      </c>
      <c r="F39" s="22">
        <f>IF($C39="","",IFERROR(INDEX(Produits!$D$5:$D$17,MATCH($C39,Produits!$A$5:$A$17,0)),"Produit ?"))</f>
        <v/>
      </c>
      <c r="G39" s="7">
        <f>IF(OR($C39="",$D39=""),"",IFERROR(D39*E39,""))</f>
        <v/>
      </c>
      <c r="H39" s="7">
        <f>IF(G39="","",D39*F39)</f>
        <v/>
      </c>
      <c r="I39" s="7">
        <f>IF(G39="","",G39-H39)</f>
        <v/>
      </c>
      <c r="J39" s="26">
        <f>IF(G39="","",IFERROR(I39/G39,0))</f>
        <v/>
      </c>
    </row>
    <row r="40">
      <c r="A40" s="27" t="n"/>
      <c r="B40" s="20" t="n"/>
      <c r="C40" s="20" t="n"/>
      <c r="D40" s="21" t="n"/>
      <c r="E40" s="22">
        <f>IF($C40="","",IFERROR(INDEX(Produits!$E$5:$E$17,MATCH($C40,Produits!$A$5:$A$17,0)),"Produit ?"))</f>
        <v/>
      </c>
      <c r="F40" s="22">
        <f>IF($C40="","",IFERROR(INDEX(Produits!$D$5:$D$17,MATCH($C40,Produits!$A$5:$A$17,0)),"Produit ?"))</f>
        <v/>
      </c>
      <c r="G40" s="7">
        <f>IF(OR($C40="",$D40=""),"",IFERROR(D40*E40,""))</f>
        <v/>
      </c>
      <c r="H40" s="7">
        <f>IF(G40="","",D40*F40)</f>
        <v/>
      </c>
      <c r="I40" s="7">
        <f>IF(G40="","",G40-H40)</f>
        <v/>
      </c>
      <c r="J40" s="26">
        <f>IF(G40="","",IFERROR(I40/G40,0))</f>
        <v/>
      </c>
    </row>
    <row r="41">
      <c r="A41" s="27" t="n"/>
      <c r="B41" s="20" t="n"/>
      <c r="C41" s="20" t="n"/>
      <c r="D41" s="21" t="n"/>
      <c r="E41" s="22">
        <f>IF($C41="","",IFERROR(INDEX(Produits!$E$5:$E$17,MATCH($C41,Produits!$A$5:$A$17,0)),"Produit ?"))</f>
        <v/>
      </c>
      <c r="F41" s="22">
        <f>IF($C41="","",IFERROR(INDEX(Produits!$D$5:$D$17,MATCH($C41,Produits!$A$5:$A$17,0)),"Produit ?"))</f>
        <v/>
      </c>
      <c r="G41" s="7">
        <f>IF(OR($C41="",$D41=""),"",IFERROR(D41*E41,""))</f>
        <v/>
      </c>
      <c r="H41" s="7">
        <f>IF(G41="","",D41*F41)</f>
        <v/>
      </c>
      <c r="I41" s="7">
        <f>IF(G41="","",G41-H41)</f>
        <v/>
      </c>
      <c r="J41" s="26">
        <f>IF(G41="","",IFERROR(I41/G41,0))</f>
        <v/>
      </c>
    </row>
    <row r="42">
      <c r="A42" s="27" t="n"/>
      <c r="B42" s="20" t="n"/>
      <c r="C42" s="20" t="n"/>
      <c r="D42" s="21" t="n"/>
      <c r="E42" s="22">
        <f>IF($C42="","",IFERROR(INDEX(Produits!$E$5:$E$17,MATCH($C42,Produits!$A$5:$A$17,0)),"Produit ?"))</f>
        <v/>
      </c>
      <c r="F42" s="22">
        <f>IF($C42="","",IFERROR(INDEX(Produits!$D$5:$D$17,MATCH($C42,Produits!$A$5:$A$17,0)),"Produit ?"))</f>
        <v/>
      </c>
      <c r="G42" s="7">
        <f>IF(OR($C42="",$D42=""),"",IFERROR(D42*E42,""))</f>
        <v/>
      </c>
      <c r="H42" s="7">
        <f>IF(G42="","",D42*F42)</f>
        <v/>
      </c>
      <c r="I42" s="7">
        <f>IF(G42="","",G42-H42)</f>
        <v/>
      </c>
      <c r="J42" s="26">
        <f>IF(G42="","",IFERROR(I42/G42,0))</f>
        <v/>
      </c>
    </row>
    <row r="43">
      <c r="A43" s="27" t="n"/>
      <c r="B43" s="20" t="n"/>
      <c r="C43" s="20" t="n"/>
      <c r="D43" s="21" t="n"/>
      <c r="E43" s="22">
        <f>IF($C43="","",IFERROR(INDEX(Produits!$E$5:$E$17,MATCH($C43,Produits!$A$5:$A$17,0)),"Produit ?"))</f>
        <v/>
      </c>
      <c r="F43" s="22">
        <f>IF($C43="","",IFERROR(INDEX(Produits!$D$5:$D$17,MATCH($C43,Produits!$A$5:$A$17,0)),"Produit ?"))</f>
        <v/>
      </c>
      <c r="G43" s="7">
        <f>IF(OR($C43="",$D43=""),"",IFERROR(D43*E43,""))</f>
        <v/>
      </c>
      <c r="H43" s="7">
        <f>IF(G43="","",D43*F43)</f>
        <v/>
      </c>
      <c r="I43" s="7">
        <f>IF(G43="","",G43-H43)</f>
        <v/>
      </c>
      <c r="J43" s="26">
        <f>IF(G43="","",IFERROR(I43/G43,0))</f>
        <v/>
      </c>
    </row>
    <row r="44">
      <c r="A44" s="27" t="n"/>
      <c r="B44" s="20" t="n"/>
      <c r="C44" s="20" t="n"/>
      <c r="D44" s="21" t="n"/>
      <c r="E44" s="22">
        <f>IF($C44="","",IFERROR(INDEX(Produits!$E$5:$E$17,MATCH($C44,Produits!$A$5:$A$17,0)),"Produit ?"))</f>
        <v/>
      </c>
      <c r="F44" s="22">
        <f>IF($C44="","",IFERROR(INDEX(Produits!$D$5:$D$17,MATCH($C44,Produits!$A$5:$A$17,0)),"Produit ?"))</f>
        <v/>
      </c>
      <c r="G44" s="7">
        <f>IF(OR($C44="",$D44=""),"",IFERROR(D44*E44,""))</f>
        <v/>
      </c>
      <c r="H44" s="7">
        <f>IF(G44="","",D44*F44)</f>
        <v/>
      </c>
      <c r="I44" s="7">
        <f>IF(G44="","",G44-H44)</f>
        <v/>
      </c>
      <c r="J44" s="26">
        <f>IF(G44="","",IFERROR(I44/G44,0))</f>
        <v/>
      </c>
    </row>
    <row r="45">
      <c r="A45" s="27" t="n"/>
      <c r="B45" s="20" t="n"/>
      <c r="C45" s="20" t="n"/>
      <c r="D45" s="21" t="n"/>
      <c r="E45" s="22">
        <f>IF($C45="","",IFERROR(INDEX(Produits!$E$5:$E$17,MATCH($C45,Produits!$A$5:$A$17,0)),"Produit ?"))</f>
        <v/>
      </c>
      <c r="F45" s="22">
        <f>IF($C45="","",IFERROR(INDEX(Produits!$D$5:$D$17,MATCH($C45,Produits!$A$5:$A$17,0)),"Produit ?"))</f>
        <v/>
      </c>
      <c r="G45" s="7">
        <f>IF(OR($C45="",$D45=""),"",IFERROR(D45*E45,""))</f>
        <v/>
      </c>
      <c r="H45" s="7">
        <f>IF(G45="","",D45*F45)</f>
        <v/>
      </c>
      <c r="I45" s="7">
        <f>IF(G45="","",G45-H45)</f>
        <v/>
      </c>
      <c r="J45" s="26">
        <f>IF(G45="","",IFERROR(I45/G45,0))</f>
        <v/>
      </c>
    </row>
    <row r="46">
      <c r="A46" s="27" t="n"/>
      <c r="B46" s="20" t="n"/>
      <c r="C46" s="20" t="n"/>
      <c r="D46" s="21" t="n"/>
      <c r="E46" s="22">
        <f>IF($C46="","",IFERROR(INDEX(Produits!$E$5:$E$17,MATCH($C46,Produits!$A$5:$A$17,0)),"Produit ?"))</f>
        <v/>
      </c>
      <c r="F46" s="22">
        <f>IF($C46="","",IFERROR(INDEX(Produits!$D$5:$D$17,MATCH($C46,Produits!$A$5:$A$17,0)),"Produit ?"))</f>
        <v/>
      </c>
      <c r="G46" s="7">
        <f>IF(OR($C46="",$D46=""),"",IFERROR(D46*E46,""))</f>
        <v/>
      </c>
      <c r="H46" s="7">
        <f>IF(G46="","",D46*F46)</f>
        <v/>
      </c>
      <c r="I46" s="7">
        <f>IF(G46="","",G46-H46)</f>
        <v/>
      </c>
      <c r="J46" s="26">
        <f>IF(G46="","",IFERROR(I46/G46,0))</f>
        <v/>
      </c>
    </row>
    <row r="47">
      <c r="A47" s="27" t="n"/>
      <c r="B47" s="20" t="n"/>
      <c r="C47" s="20" t="n"/>
      <c r="D47" s="21" t="n"/>
      <c r="E47" s="22">
        <f>IF($C47="","",IFERROR(INDEX(Produits!$E$5:$E$17,MATCH($C47,Produits!$A$5:$A$17,0)),"Produit ?"))</f>
        <v/>
      </c>
      <c r="F47" s="22">
        <f>IF($C47="","",IFERROR(INDEX(Produits!$D$5:$D$17,MATCH($C47,Produits!$A$5:$A$17,0)),"Produit ?"))</f>
        <v/>
      </c>
      <c r="G47" s="7">
        <f>IF(OR($C47="",$D47=""),"",IFERROR(D47*E47,""))</f>
        <v/>
      </c>
      <c r="H47" s="7">
        <f>IF(G47="","",D47*F47)</f>
        <v/>
      </c>
      <c r="I47" s="7">
        <f>IF(G47="","",G47-H47)</f>
        <v/>
      </c>
      <c r="J47" s="26">
        <f>IF(G47="","",IFERROR(I47/G47,0))</f>
        <v/>
      </c>
    </row>
    <row r="48">
      <c r="A48" s="27" t="n"/>
      <c r="B48" s="20" t="n"/>
      <c r="C48" s="20" t="n"/>
      <c r="D48" s="21" t="n"/>
      <c r="E48" s="22">
        <f>IF($C48="","",IFERROR(INDEX(Produits!$E$5:$E$17,MATCH($C48,Produits!$A$5:$A$17,0)),"Produit ?"))</f>
        <v/>
      </c>
      <c r="F48" s="22">
        <f>IF($C48="","",IFERROR(INDEX(Produits!$D$5:$D$17,MATCH($C48,Produits!$A$5:$A$17,0)),"Produit ?"))</f>
        <v/>
      </c>
      <c r="G48" s="7">
        <f>IF(OR($C48="",$D48=""),"",IFERROR(D48*E48,""))</f>
        <v/>
      </c>
      <c r="H48" s="7">
        <f>IF(G48="","",D48*F48)</f>
        <v/>
      </c>
      <c r="I48" s="7">
        <f>IF(G48="","",G48-H48)</f>
        <v/>
      </c>
      <c r="J48" s="26">
        <f>IF(G48="","",IFERROR(I48/G48,0))</f>
        <v/>
      </c>
    </row>
    <row r="49">
      <c r="A49" s="27" t="n"/>
      <c r="B49" s="20" t="n"/>
      <c r="C49" s="20" t="n"/>
      <c r="D49" s="21" t="n"/>
      <c r="E49" s="22">
        <f>IF($C49="","",IFERROR(INDEX(Produits!$E$5:$E$17,MATCH($C49,Produits!$A$5:$A$17,0)),"Produit ?"))</f>
        <v/>
      </c>
      <c r="F49" s="22">
        <f>IF($C49="","",IFERROR(INDEX(Produits!$D$5:$D$17,MATCH($C49,Produits!$A$5:$A$17,0)),"Produit ?"))</f>
        <v/>
      </c>
      <c r="G49" s="7">
        <f>IF(OR($C49="",$D49=""),"",IFERROR(D49*E49,""))</f>
        <v/>
      </c>
      <c r="H49" s="7">
        <f>IF(G49="","",D49*F49)</f>
        <v/>
      </c>
      <c r="I49" s="7">
        <f>IF(G49="","",G49-H49)</f>
        <v/>
      </c>
      <c r="J49" s="26">
        <f>IF(G49="","",IFERROR(I49/G49,0))</f>
        <v/>
      </c>
    </row>
    <row r="50">
      <c r="A50" s="27" t="n"/>
      <c r="B50" s="20" t="n"/>
      <c r="C50" s="20" t="n"/>
      <c r="D50" s="21" t="n"/>
      <c r="E50" s="22">
        <f>IF($C50="","",IFERROR(INDEX(Produits!$E$5:$E$17,MATCH($C50,Produits!$A$5:$A$17,0)),"Produit ?"))</f>
        <v/>
      </c>
      <c r="F50" s="22">
        <f>IF($C50="","",IFERROR(INDEX(Produits!$D$5:$D$17,MATCH($C50,Produits!$A$5:$A$17,0)),"Produit ?"))</f>
        <v/>
      </c>
      <c r="G50" s="7">
        <f>IF(OR($C50="",$D50=""),"",IFERROR(D50*E50,""))</f>
        <v/>
      </c>
      <c r="H50" s="7">
        <f>IF(G50="","",D50*F50)</f>
        <v/>
      </c>
      <c r="I50" s="7">
        <f>IF(G50="","",G50-H50)</f>
        <v/>
      </c>
      <c r="J50" s="26">
        <f>IF(G50="","",IFERROR(I50/G50,0))</f>
        <v/>
      </c>
    </row>
    <row r="51">
      <c r="A51" s="27" t="n"/>
      <c r="B51" s="20" t="n"/>
      <c r="C51" s="20" t="n"/>
      <c r="D51" s="21" t="n"/>
      <c r="E51" s="22">
        <f>IF($C51="","",IFERROR(INDEX(Produits!$E$5:$E$17,MATCH($C51,Produits!$A$5:$A$17,0)),"Produit ?"))</f>
        <v/>
      </c>
      <c r="F51" s="22">
        <f>IF($C51="","",IFERROR(INDEX(Produits!$D$5:$D$17,MATCH($C51,Produits!$A$5:$A$17,0)),"Produit ?"))</f>
        <v/>
      </c>
      <c r="G51" s="7">
        <f>IF(OR($C51="",$D51=""),"",IFERROR(D51*E51,""))</f>
        <v/>
      </c>
      <c r="H51" s="7">
        <f>IF(G51="","",D51*F51)</f>
        <v/>
      </c>
      <c r="I51" s="7">
        <f>IF(G51="","",G51-H51)</f>
        <v/>
      </c>
      <c r="J51" s="26">
        <f>IF(G51="","",IFERROR(I51/G51,0))</f>
        <v/>
      </c>
    </row>
    <row r="52">
      <c r="A52" s="27" t="n"/>
      <c r="B52" s="20" t="n"/>
      <c r="C52" s="20" t="n"/>
      <c r="D52" s="21" t="n"/>
      <c r="E52" s="22">
        <f>IF($C52="","",IFERROR(INDEX(Produits!$E$5:$E$17,MATCH($C52,Produits!$A$5:$A$17,0)),"Produit ?"))</f>
        <v/>
      </c>
      <c r="F52" s="22">
        <f>IF($C52="","",IFERROR(INDEX(Produits!$D$5:$D$17,MATCH($C52,Produits!$A$5:$A$17,0)),"Produit ?"))</f>
        <v/>
      </c>
      <c r="G52" s="7">
        <f>IF(OR($C52="",$D52=""),"",IFERROR(D52*E52,""))</f>
        <v/>
      </c>
      <c r="H52" s="7">
        <f>IF(G52="","",D52*F52)</f>
        <v/>
      </c>
      <c r="I52" s="7">
        <f>IF(G52="","",G52-H52)</f>
        <v/>
      </c>
      <c r="J52" s="26">
        <f>IF(G52="","",IFERROR(I52/G52,0))</f>
        <v/>
      </c>
    </row>
    <row r="53">
      <c r="A53" s="27" t="n"/>
      <c r="B53" s="20" t="n"/>
      <c r="C53" s="20" t="n"/>
      <c r="D53" s="21" t="n"/>
      <c r="E53" s="22">
        <f>IF($C53="","",IFERROR(INDEX(Produits!$E$5:$E$17,MATCH($C53,Produits!$A$5:$A$17,0)),"Produit ?"))</f>
        <v/>
      </c>
      <c r="F53" s="22">
        <f>IF($C53="","",IFERROR(INDEX(Produits!$D$5:$D$17,MATCH($C53,Produits!$A$5:$A$17,0)),"Produit ?"))</f>
        <v/>
      </c>
      <c r="G53" s="7">
        <f>IF(OR($C53="",$D53=""),"",IFERROR(D53*E53,""))</f>
        <v/>
      </c>
      <c r="H53" s="7">
        <f>IF(G53="","",D53*F53)</f>
        <v/>
      </c>
      <c r="I53" s="7">
        <f>IF(G53="","",G53-H53)</f>
        <v/>
      </c>
      <c r="J53" s="26">
        <f>IF(G53="","",IFERROR(I53/G53,0))</f>
        <v/>
      </c>
    </row>
    <row r="54">
      <c r="A54" s="27" t="n"/>
      <c r="B54" s="20" t="n"/>
      <c r="C54" s="20" t="n"/>
      <c r="D54" s="21" t="n"/>
      <c r="E54" s="22">
        <f>IF($C54="","",IFERROR(INDEX(Produits!$E$5:$E$17,MATCH($C54,Produits!$A$5:$A$17,0)),"Produit ?"))</f>
        <v/>
      </c>
      <c r="F54" s="22">
        <f>IF($C54="","",IFERROR(INDEX(Produits!$D$5:$D$17,MATCH($C54,Produits!$A$5:$A$17,0)),"Produit ?"))</f>
        <v/>
      </c>
      <c r="G54" s="7">
        <f>IF(OR($C54="",$D54=""),"",IFERROR(D54*E54,""))</f>
        <v/>
      </c>
      <c r="H54" s="7">
        <f>IF(G54="","",D54*F54)</f>
        <v/>
      </c>
      <c r="I54" s="7">
        <f>IF(G54="","",G54-H54)</f>
        <v/>
      </c>
      <c r="J54" s="26">
        <f>IF(G54="","",IFERROR(I54/G54,0))</f>
        <v/>
      </c>
    </row>
    <row r="55">
      <c r="A55" s="27" t="n"/>
      <c r="B55" s="20" t="n"/>
      <c r="C55" s="20" t="n"/>
      <c r="D55" s="21" t="n"/>
      <c r="E55" s="22">
        <f>IF($C55="","",IFERROR(INDEX(Produits!$E$5:$E$17,MATCH($C55,Produits!$A$5:$A$17,0)),"Produit ?"))</f>
        <v/>
      </c>
      <c r="F55" s="22">
        <f>IF($C55="","",IFERROR(INDEX(Produits!$D$5:$D$17,MATCH($C55,Produits!$A$5:$A$17,0)),"Produit ?"))</f>
        <v/>
      </c>
      <c r="G55" s="7">
        <f>IF(OR($C55="",$D55=""),"",IFERROR(D55*E55,""))</f>
        <v/>
      </c>
      <c r="H55" s="7">
        <f>IF(G55="","",D55*F55)</f>
        <v/>
      </c>
      <c r="I55" s="7">
        <f>IF(G55="","",G55-H55)</f>
        <v/>
      </c>
      <c r="J55" s="26">
        <f>IF(G55="","",IFERROR(I55/G55,0))</f>
        <v/>
      </c>
    </row>
    <row r="56">
      <c r="A56" s="27" t="n"/>
      <c r="B56" s="20" t="n"/>
      <c r="C56" s="20" t="n"/>
      <c r="D56" s="21" t="n"/>
      <c r="E56" s="22">
        <f>IF($C56="","",IFERROR(INDEX(Produits!$E$5:$E$17,MATCH($C56,Produits!$A$5:$A$17,0)),"Produit ?"))</f>
        <v/>
      </c>
      <c r="F56" s="22">
        <f>IF($C56="","",IFERROR(INDEX(Produits!$D$5:$D$17,MATCH($C56,Produits!$A$5:$A$17,0)),"Produit ?"))</f>
        <v/>
      </c>
      <c r="G56" s="7">
        <f>IF(OR($C56="",$D56=""),"",IFERROR(D56*E56,""))</f>
        <v/>
      </c>
      <c r="H56" s="7">
        <f>IF(G56="","",D56*F56)</f>
        <v/>
      </c>
      <c r="I56" s="7">
        <f>IF(G56="","",G56-H56)</f>
        <v/>
      </c>
      <c r="J56" s="26">
        <f>IF(G56="","",IFERROR(I56/G56,0))</f>
        <v/>
      </c>
    </row>
    <row r="57">
      <c r="A57" s="27" t="n"/>
      <c r="B57" s="20" t="n"/>
      <c r="C57" s="20" t="n"/>
      <c r="D57" s="21" t="n"/>
      <c r="E57" s="22">
        <f>IF($C57="","",IFERROR(INDEX(Produits!$E$5:$E$17,MATCH($C57,Produits!$A$5:$A$17,0)),"Produit ?"))</f>
        <v/>
      </c>
      <c r="F57" s="22">
        <f>IF($C57="","",IFERROR(INDEX(Produits!$D$5:$D$17,MATCH($C57,Produits!$A$5:$A$17,0)),"Produit ?"))</f>
        <v/>
      </c>
      <c r="G57" s="7">
        <f>IF(OR($C57="",$D57=""),"",IFERROR(D57*E57,""))</f>
        <v/>
      </c>
      <c r="H57" s="7">
        <f>IF(G57="","",D57*F57)</f>
        <v/>
      </c>
      <c r="I57" s="7">
        <f>IF(G57="","",G57-H57)</f>
        <v/>
      </c>
      <c r="J57" s="26">
        <f>IF(G57="","",IFERROR(I57/G57,0))</f>
        <v/>
      </c>
    </row>
    <row r="58">
      <c r="A58" s="27" t="n"/>
      <c r="B58" s="20" t="n"/>
      <c r="C58" s="20" t="n"/>
      <c r="D58" s="21" t="n"/>
      <c r="E58" s="22">
        <f>IF($C58="","",IFERROR(INDEX(Produits!$E$5:$E$17,MATCH($C58,Produits!$A$5:$A$17,0)),"Produit ?"))</f>
        <v/>
      </c>
      <c r="F58" s="22">
        <f>IF($C58="","",IFERROR(INDEX(Produits!$D$5:$D$17,MATCH($C58,Produits!$A$5:$A$17,0)),"Produit ?"))</f>
        <v/>
      </c>
      <c r="G58" s="7">
        <f>IF(OR($C58="",$D58=""),"",IFERROR(D58*E58,""))</f>
        <v/>
      </c>
      <c r="H58" s="7">
        <f>IF(G58="","",D58*F58)</f>
        <v/>
      </c>
      <c r="I58" s="7">
        <f>IF(G58="","",G58-H58)</f>
        <v/>
      </c>
      <c r="J58" s="26">
        <f>IF(G58="","",IFERROR(I58/G58,0))</f>
        <v/>
      </c>
    </row>
    <row r="59">
      <c r="A59" s="27" t="n"/>
      <c r="B59" s="20" t="n"/>
      <c r="C59" s="20" t="n"/>
      <c r="D59" s="21" t="n"/>
      <c r="E59" s="22">
        <f>IF($C59="","",IFERROR(INDEX(Produits!$E$5:$E$17,MATCH($C59,Produits!$A$5:$A$17,0)),"Produit ?"))</f>
        <v/>
      </c>
      <c r="F59" s="22">
        <f>IF($C59="","",IFERROR(INDEX(Produits!$D$5:$D$17,MATCH($C59,Produits!$A$5:$A$17,0)),"Produit ?"))</f>
        <v/>
      </c>
      <c r="G59" s="7">
        <f>IF(OR($C59="",$D59=""),"",IFERROR(D59*E59,""))</f>
        <v/>
      </c>
      <c r="H59" s="7">
        <f>IF(G59="","",D59*F59)</f>
        <v/>
      </c>
      <c r="I59" s="7">
        <f>IF(G59="","",G59-H59)</f>
        <v/>
      </c>
      <c r="J59" s="26">
        <f>IF(G59="","",IFERROR(I59/G59,0))</f>
        <v/>
      </c>
    </row>
    <row r="60">
      <c r="A60" s="27" t="n"/>
      <c r="B60" s="20" t="n"/>
      <c r="C60" s="20" t="n"/>
      <c r="D60" s="21" t="n"/>
      <c r="E60" s="22">
        <f>IF($C60="","",IFERROR(INDEX(Produits!$E$5:$E$17,MATCH($C60,Produits!$A$5:$A$17,0)),"Produit ?"))</f>
        <v/>
      </c>
      <c r="F60" s="22">
        <f>IF($C60="","",IFERROR(INDEX(Produits!$D$5:$D$17,MATCH($C60,Produits!$A$5:$A$17,0)),"Produit ?"))</f>
        <v/>
      </c>
      <c r="G60" s="7">
        <f>IF(OR($C60="",$D60=""),"",IFERROR(D60*E60,""))</f>
        <v/>
      </c>
      <c r="H60" s="7">
        <f>IF(G60="","",D60*F60)</f>
        <v/>
      </c>
      <c r="I60" s="7">
        <f>IF(G60="","",G60-H60)</f>
        <v/>
      </c>
      <c r="J60" s="26">
        <f>IF(G60="","",IFERROR(I60/G60,0))</f>
        <v/>
      </c>
    </row>
    <row r="61">
      <c r="A61" s="27" t="n"/>
      <c r="B61" s="20" t="n"/>
      <c r="C61" s="20" t="n"/>
      <c r="D61" s="21" t="n"/>
      <c r="E61" s="22">
        <f>IF($C61="","",IFERROR(INDEX(Produits!$E$5:$E$17,MATCH($C61,Produits!$A$5:$A$17,0)),"Produit ?"))</f>
        <v/>
      </c>
      <c r="F61" s="22">
        <f>IF($C61="","",IFERROR(INDEX(Produits!$D$5:$D$17,MATCH($C61,Produits!$A$5:$A$17,0)),"Produit ?"))</f>
        <v/>
      </c>
      <c r="G61" s="7">
        <f>IF(OR($C61="",$D61=""),"",IFERROR(D61*E61,""))</f>
        <v/>
      </c>
      <c r="H61" s="7">
        <f>IF(G61="","",D61*F61)</f>
        <v/>
      </c>
      <c r="I61" s="7">
        <f>IF(G61="","",G61-H61)</f>
        <v/>
      </c>
      <c r="J61" s="26">
        <f>IF(G61="","",IFERROR(I61/G61,0))</f>
        <v/>
      </c>
    </row>
    <row r="62">
      <c r="A62" s="27" t="n"/>
      <c r="B62" s="20" t="n"/>
      <c r="C62" s="20" t="n"/>
      <c r="D62" s="21" t="n"/>
      <c r="E62" s="22">
        <f>IF($C62="","",IFERROR(INDEX(Produits!$E$5:$E$17,MATCH($C62,Produits!$A$5:$A$17,0)),"Produit ?"))</f>
        <v/>
      </c>
      <c r="F62" s="22">
        <f>IF($C62="","",IFERROR(INDEX(Produits!$D$5:$D$17,MATCH($C62,Produits!$A$5:$A$17,0)),"Produit ?"))</f>
        <v/>
      </c>
      <c r="G62" s="7">
        <f>IF(OR($C62="",$D62=""),"",IFERROR(D62*E62,""))</f>
        <v/>
      </c>
      <c r="H62" s="7">
        <f>IF(G62="","",D62*F62)</f>
        <v/>
      </c>
      <c r="I62" s="7">
        <f>IF(G62="","",G62-H62)</f>
        <v/>
      </c>
      <c r="J62" s="26">
        <f>IF(G62="","",IFERROR(I62/G62,0))</f>
        <v/>
      </c>
    </row>
    <row r="63">
      <c r="A63" s="27" t="n"/>
      <c r="B63" s="20" t="n"/>
      <c r="C63" s="20" t="n"/>
      <c r="D63" s="21" t="n"/>
      <c r="E63" s="22">
        <f>IF($C63="","",IFERROR(INDEX(Produits!$E$5:$E$17,MATCH($C63,Produits!$A$5:$A$17,0)),"Produit ?"))</f>
        <v/>
      </c>
      <c r="F63" s="22">
        <f>IF($C63="","",IFERROR(INDEX(Produits!$D$5:$D$17,MATCH($C63,Produits!$A$5:$A$17,0)),"Produit ?"))</f>
        <v/>
      </c>
      <c r="G63" s="7">
        <f>IF(OR($C63="",$D63=""),"",IFERROR(D63*E63,""))</f>
        <v/>
      </c>
      <c r="H63" s="7">
        <f>IF(G63="","",D63*F63)</f>
        <v/>
      </c>
      <c r="I63" s="7">
        <f>IF(G63="","",G63-H63)</f>
        <v/>
      </c>
      <c r="J63" s="26">
        <f>IF(G63="","",IFERROR(I63/G63,0))</f>
        <v/>
      </c>
    </row>
    <row r="64">
      <c r="A64" s="27" t="n"/>
      <c r="B64" s="20" t="n"/>
      <c r="C64" s="20" t="n"/>
      <c r="D64" s="21" t="n"/>
      <c r="E64" s="22">
        <f>IF($C64="","",IFERROR(INDEX(Produits!$E$5:$E$17,MATCH($C64,Produits!$A$5:$A$17,0)),"Produit ?"))</f>
        <v/>
      </c>
      <c r="F64" s="22">
        <f>IF($C64="","",IFERROR(INDEX(Produits!$D$5:$D$17,MATCH($C64,Produits!$A$5:$A$17,0)),"Produit ?"))</f>
        <v/>
      </c>
      <c r="G64" s="7">
        <f>IF(OR($C64="",$D64=""),"",IFERROR(D64*E64,""))</f>
        <v/>
      </c>
      <c r="H64" s="7">
        <f>IF(G64="","",D64*F64)</f>
        <v/>
      </c>
      <c r="I64" s="7">
        <f>IF(G64="","",G64-H64)</f>
        <v/>
      </c>
      <c r="J64" s="26">
        <f>IF(G64="","",IFERROR(I64/G64,0))</f>
        <v/>
      </c>
    </row>
    <row r="65">
      <c r="A65" s="27" t="n"/>
      <c r="B65" s="20" t="n"/>
      <c r="C65" s="20" t="n"/>
      <c r="D65" s="21" t="n"/>
      <c r="E65" s="22">
        <f>IF($C65="","",IFERROR(INDEX(Produits!$E$5:$E$17,MATCH($C65,Produits!$A$5:$A$17,0)),"Produit ?"))</f>
        <v/>
      </c>
      <c r="F65" s="22">
        <f>IF($C65="","",IFERROR(INDEX(Produits!$D$5:$D$17,MATCH($C65,Produits!$A$5:$A$17,0)),"Produit ?"))</f>
        <v/>
      </c>
      <c r="G65" s="7">
        <f>IF(OR($C65="",$D65=""),"",IFERROR(D65*E65,""))</f>
        <v/>
      </c>
      <c r="H65" s="7">
        <f>IF(G65="","",D65*F65)</f>
        <v/>
      </c>
      <c r="I65" s="7">
        <f>IF(G65="","",G65-H65)</f>
        <v/>
      </c>
      <c r="J65" s="26">
        <f>IF(G65="","",IFERROR(I65/G65,0))</f>
        <v/>
      </c>
    </row>
    <row r="66">
      <c r="A66" s="27" t="n"/>
      <c r="B66" s="20" t="n"/>
      <c r="C66" s="20" t="n"/>
      <c r="D66" s="21" t="n"/>
      <c r="E66" s="22">
        <f>IF($C66="","",IFERROR(INDEX(Produits!$E$5:$E$17,MATCH($C66,Produits!$A$5:$A$17,0)),"Produit ?"))</f>
        <v/>
      </c>
      <c r="F66" s="22">
        <f>IF($C66="","",IFERROR(INDEX(Produits!$D$5:$D$17,MATCH($C66,Produits!$A$5:$A$17,0)),"Produit ?"))</f>
        <v/>
      </c>
      <c r="G66" s="7">
        <f>IF(OR($C66="",$D66=""),"",IFERROR(D66*E66,""))</f>
        <v/>
      </c>
      <c r="H66" s="7">
        <f>IF(G66="","",D66*F66)</f>
        <v/>
      </c>
      <c r="I66" s="7">
        <f>IF(G66="","",G66-H66)</f>
        <v/>
      </c>
      <c r="J66" s="26">
        <f>IF(G66="","",IFERROR(I66/G66,0))</f>
        <v/>
      </c>
    </row>
    <row r="67">
      <c r="A67" s="27" t="n"/>
      <c r="B67" s="20" t="n"/>
      <c r="C67" s="20" t="n"/>
      <c r="D67" s="21" t="n"/>
      <c r="E67" s="22">
        <f>IF($C67="","",IFERROR(INDEX(Produits!$E$5:$E$17,MATCH($C67,Produits!$A$5:$A$17,0)),"Produit ?"))</f>
        <v/>
      </c>
      <c r="F67" s="22">
        <f>IF($C67="","",IFERROR(INDEX(Produits!$D$5:$D$17,MATCH($C67,Produits!$A$5:$A$17,0)),"Produit ?"))</f>
        <v/>
      </c>
      <c r="G67" s="7">
        <f>IF(OR($C67="",$D67=""),"",IFERROR(D67*E67,""))</f>
        <v/>
      </c>
      <c r="H67" s="7">
        <f>IF(G67="","",D67*F67)</f>
        <v/>
      </c>
      <c r="I67" s="7">
        <f>IF(G67="","",G67-H67)</f>
        <v/>
      </c>
      <c r="J67" s="26">
        <f>IF(G67="","",IFERROR(I67/G67,0))</f>
        <v/>
      </c>
    </row>
    <row r="68">
      <c r="A68" s="27" t="n"/>
      <c r="B68" s="20" t="n"/>
      <c r="C68" s="20" t="n"/>
      <c r="D68" s="21" t="n"/>
      <c r="E68" s="22">
        <f>IF($C68="","",IFERROR(INDEX(Produits!$E$5:$E$17,MATCH($C68,Produits!$A$5:$A$17,0)),"Produit ?"))</f>
        <v/>
      </c>
      <c r="F68" s="22">
        <f>IF($C68="","",IFERROR(INDEX(Produits!$D$5:$D$17,MATCH($C68,Produits!$A$5:$A$17,0)),"Produit ?"))</f>
        <v/>
      </c>
      <c r="G68" s="7">
        <f>IF(OR($C68="",$D68=""),"",IFERROR(D68*E68,""))</f>
        <v/>
      </c>
      <c r="H68" s="7">
        <f>IF(G68="","",D68*F68)</f>
        <v/>
      </c>
      <c r="I68" s="7">
        <f>IF(G68="","",G68-H68)</f>
        <v/>
      </c>
      <c r="J68" s="26">
        <f>IF(G68="","",IFERROR(I68/G68,0))</f>
        <v/>
      </c>
    </row>
    <row r="69">
      <c r="A69" s="27" t="n"/>
      <c r="B69" s="20" t="n"/>
      <c r="C69" s="20" t="n"/>
      <c r="D69" s="21" t="n"/>
      <c r="E69" s="22">
        <f>IF($C69="","",IFERROR(INDEX(Produits!$E$5:$E$17,MATCH($C69,Produits!$A$5:$A$17,0)),"Produit ?"))</f>
        <v/>
      </c>
      <c r="F69" s="22">
        <f>IF($C69="","",IFERROR(INDEX(Produits!$D$5:$D$17,MATCH($C69,Produits!$A$5:$A$17,0)),"Produit ?"))</f>
        <v/>
      </c>
      <c r="G69" s="7">
        <f>IF(OR($C69="",$D69=""),"",IFERROR(D69*E69,""))</f>
        <v/>
      </c>
      <c r="H69" s="7">
        <f>IF(G69="","",D69*F69)</f>
        <v/>
      </c>
      <c r="I69" s="7">
        <f>IF(G69="","",G69-H69)</f>
        <v/>
      </c>
      <c r="J69" s="26">
        <f>IF(G69="","",IFERROR(I69/G69,0))</f>
        <v/>
      </c>
    </row>
    <row r="70">
      <c r="A70" s="27" t="n"/>
      <c r="B70" s="20" t="n"/>
      <c r="C70" s="20" t="n"/>
      <c r="D70" s="21" t="n"/>
      <c r="E70" s="22">
        <f>IF($C70="","",IFERROR(INDEX(Produits!$E$5:$E$17,MATCH($C70,Produits!$A$5:$A$17,0)),"Produit ?"))</f>
        <v/>
      </c>
      <c r="F70" s="22">
        <f>IF($C70="","",IFERROR(INDEX(Produits!$D$5:$D$17,MATCH($C70,Produits!$A$5:$A$17,0)),"Produit ?"))</f>
        <v/>
      </c>
      <c r="G70" s="7">
        <f>IF(OR($C70="",$D70=""),"",IFERROR(D70*E70,""))</f>
        <v/>
      </c>
      <c r="H70" s="7">
        <f>IF(G70="","",D70*F70)</f>
        <v/>
      </c>
      <c r="I70" s="7">
        <f>IF(G70="","",G70-H70)</f>
        <v/>
      </c>
      <c r="J70" s="26">
        <f>IF(G70="","",IFERROR(I70/G70,0))</f>
        <v/>
      </c>
    </row>
    <row r="71">
      <c r="A71" s="27" t="n"/>
      <c r="B71" s="20" t="n"/>
      <c r="C71" s="20" t="n"/>
      <c r="D71" s="21" t="n"/>
      <c r="E71" s="22">
        <f>IF($C71="","",IFERROR(INDEX(Produits!$E$5:$E$17,MATCH($C71,Produits!$A$5:$A$17,0)),"Produit ?"))</f>
        <v/>
      </c>
      <c r="F71" s="22">
        <f>IF($C71="","",IFERROR(INDEX(Produits!$D$5:$D$17,MATCH($C71,Produits!$A$5:$A$17,0)),"Produit ?"))</f>
        <v/>
      </c>
      <c r="G71" s="7">
        <f>IF(OR($C71="",$D71=""),"",IFERROR(D71*E71,""))</f>
        <v/>
      </c>
      <c r="H71" s="7">
        <f>IF(G71="","",D71*F71)</f>
        <v/>
      </c>
      <c r="I71" s="7">
        <f>IF(G71="","",G71-H71)</f>
        <v/>
      </c>
      <c r="J71" s="26">
        <f>IF(G71="","",IFERROR(I71/G71,0))</f>
        <v/>
      </c>
    </row>
    <row r="72">
      <c r="A72" s="27" t="n"/>
      <c r="B72" s="20" t="n"/>
      <c r="C72" s="20" t="n"/>
      <c r="D72" s="21" t="n"/>
      <c r="E72" s="22">
        <f>IF($C72="","",IFERROR(INDEX(Produits!$E$5:$E$17,MATCH($C72,Produits!$A$5:$A$17,0)),"Produit ?"))</f>
        <v/>
      </c>
      <c r="F72" s="22">
        <f>IF($C72="","",IFERROR(INDEX(Produits!$D$5:$D$17,MATCH($C72,Produits!$A$5:$A$17,0)),"Produit ?"))</f>
        <v/>
      </c>
      <c r="G72" s="7">
        <f>IF(OR($C72="",$D72=""),"",IFERROR(D72*E72,""))</f>
        <v/>
      </c>
      <c r="H72" s="7">
        <f>IF(G72="","",D72*F72)</f>
        <v/>
      </c>
      <c r="I72" s="7">
        <f>IF(G72="","",G72-H72)</f>
        <v/>
      </c>
      <c r="J72" s="26">
        <f>IF(G72="","",IFERROR(I72/G72,0))</f>
        <v/>
      </c>
    </row>
    <row r="73">
      <c r="A73" s="27" t="n"/>
      <c r="B73" s="20" t="n"/>
      <c r="C73" s="20" t="n"/>
      <c r="D73" s="21" t="n"/>
      <c r="E73" s="22">
        <f>IF($C73="","",IFERROR(INDEX(Produits!$E$5:$E$17,MATCH($C73,Produits!$A$5:$A$17,0)),"Produit ?"))</f>
        <v/>
      </c>
      <c r="F73" s="22">
        <f>IF($C73="","",IFERROR(INDEX(Produits!$D$5:$D$17,MATCH($C73,Produits!$A$5:$A$17,0)),"Produit ?"))</f>
        <v/>
      </c>
      <c r="G73" s="7">
        <f>IF(OR($C73="",$D73=""),"",IFERROR(D73*E73,""))</f>
        <v/>
      </c>
      <c r="H73" s="7">
        <f>IF(G73="","",D73*F73)</f>
        <v/>
      </c>
      <c r="I73" s="7">
        <f>IF(G73="","",G73-H73)</f>
        <v/>
      </c>
      <c r="J73" s="26">
        <f>IF(G73="","",IFERROR(I73/G73,0))</f>
        <v/>
      </c>
    </row>
    <row r="74">
      <c r="A74" s="27" t="n"/>
      <c r="B74" s="20" t="n"/>
      <c r="C74" s="20" t="n"/>
      <c r="D74" s="21" t="n"/>
      <c r="E74" s="22">
        <f>IF($C74="","",IFERROR(INDEX(Produits!$E$5:$E$17,MATCH($C74,Produits!$A$5:$A$17,0)),"Produit ?"))</f>
        <v/>
      </c>
      <c r="F74" s="22">
        <f>IF($C74="","",IFERROR(INDEX(Produits!$D$5:$D$17,MATCH($C74,Produits!$A$5:$A$17,0)),"Produit ?"))</f>
        <v/>
      </c>
      <c r="G74" s="7">
        <f>IF(OR($C74="",$D74=""),"",IFERROR(D74*E74,""))</f>
        <v/>
      </c>
      <c r="H74" s="7">
        <f>IF(G74="","",D74*F74)</f>
        <v/>
      </c>
      <c r="I74" s="7">
        <f>IF(G74="","",G74-H74)</f>
        <v/>
      </c>
      <c r="J74" s="26">
        <f>IF(G74="","",IFERROR(I74/G74,0))</f>
        <v/>
      </c>
    </row>
    <row r="75">
      <c r="A75" s="27" t="n"/>
      <c r="B75" s="20" t="n"/>
      <c r="C75" s="20" t="n"/>
      <c r="D75" s="21" t="n"/>
      <c r="E75" s="22">
        <f>IF($C75="","",IFERROR(INDEX(Produits!$E$5:$E$17,MATCH($C75,Produits!$A$5:$A$17,0)),"Produit ?"))</f>
        <v/>
      </c>
      <c r="F75" s="22">
        <f>IF($C75="","",IFERROR(INDEX(Produits!$D$5:$D$17,MATCH($C75,Produits!$A$5:$A$17,0)),"Produit ?"))</f>
        <v/>
      </c>
      <c r="G75" s="7">
        <f>IF(OR($C75="",$D75=""),"",IFERROR(D75*E75,""))</f>
        <v/>
      </c>
      <c r="H75" s="7">
        <f>IF(G75="","",D75*F75)</f>
        <v/>
      </c>
      <c r="I75" s="7">
        <f>IF(G75="","",G75-H75)</f>
        <v/>
      </c>
      <c r="J75" s="26">
        <f>IF(G75="","",IFERROR(I75/G75,0))</f>
        <v/>
      </c>
    </row>
    <row r="76">
      <c r="A76" s="27" t="n"/>
      <c r="B76" s="20" t="n"/>
      <c r="C76" s="20" t="n"/>
      <c r="D76" s="21" t="n"/>
      <c r="E76" s="22">
        <f>IF($C76="","",IFERROR(INDEX(Produits!$E$5:$E$17,MATCH($C76,Produits!$A$5:$A$17,0)),"Produit ?"))</f>
        <v/>
      </c>
      <c r="F76" s="22">
        <f>IF($C76="","",IFERROR(INDEX(Produits!$D$5:$D$17,MATCH($C76,Produits!$A$5:$A$17,0)),"Produit ?"))</f>
        <v/>
      </c>
      <c r="G76" s="7">
        <f>IF(OR($C76="",$D76=""),"",IFERROR(D76*E76,""))</f>
        <v/>
      </c>
      <c r="H76" s="7">
        <f>IF(G76="","",D76*F76)</f>
        <v/>
      </c>
      <c r="I76" s="7">
        <f>IF(G76="","",G76-H76)</f>
        <v/>
      </c>
      <c r="J76" s="26">
        <f>IF(G76="","",IFERROR(I76/G76,0))</f>
        <v/>
      </c>
    </row>
    <row r="77">
      <c r="A77" s="27" t="n"/>
      <c r="B77" s="20" t="n"/>
      <c r="C77" s="20" t="n"/>
      <c r="D77" s="21" t="n"/>
      <c r="E77" s="22">
        <f>IF($C77="","",IFERROR(INDEX(Produits!$E$5:$E$17,MATCH($C77,Produits!$A$5:$A$17,0)),"Produit ?"))</f>
        <v/>
      </c>
      <c r="F77" s="22">
        <f>IF($C77="","",IFERROR(INDEX(Produits!$D$5:$D$17,MATCH($C77,Produits!$A$5:$A$17,0)),"Produit ?"))</f>
        <v/>
      </c>
      <c r="G77" s="7">
        <f>IF(OR($C77="",$D77=""),"",IFERROR(D77*E77,""))</f>
        <v/>
      </c>
      <c r="H77" s="7">
        <f>IF(G77="","",D77*F77)</f>
        <v/>
      </c>
      <c r="I77" s="7">
        <f>IF(G77="","",G77-H77)</f>
        <v/>
      </c>
      <c r="J77" s="26">
        <f>IF(G77="","",IFERROR(I77/G77,0))</f>
        <v/>
      </c>
    </row>
    <row r="78">
      <c r="A78" s="27" t="n"/>
      <c r="B78" s="20" t="n"/>
      <c r="C78" s="20" t="n"/>
      <c r="D78" s="21" t="n"/>
      <c r="E78" s="22">
        <f>IF($C78="","",IFERROR(INDEX(Produits!$E$5:$E$17,MATCH($C78,Produits!$A$5:$A$17,0)),"Produit ?"))</f>
        <v/>
      </c>
      <c r="F78" s="22">
        <f>IF($C78="","",IFERROR(INDEX(Produits!$D$5:$D$17,MATCH($C78,Produits!$A$5:$A$17,0)),"Produit ?"))</f>
        <v/>
      </c>
      <c r="G78" s="7">
        <f>IF(OR($C78="",$D78=""),"",IFERROR(D78*E78,""))</f>
        <v/>
      </c>
      <c r="H78" s="7">
        <f>IF(G78="","",D78*F78)</f>
        <v/>
      </c>
      <c r="I78" s="7">
        <f>IF(G78="","",G78-H78)</f>
        <v/>
      </c>
      <c r="J78" s="26">
        <f>IF(G78="","",IFERROR(I78/G78,0))</f>
        <v/>
      </c>
    </row>
    <row r="79">
      <c r="A79" s="27" t="n"/>
      <c r="B79" s="20" t="n"/>
      <c r="C79" s="20" t="n"/>
      <c r="D79" s="21" t="n"/>
      <c r="E79" s="22">
        <f>IF($C79="","",IFERROR(INDEX(Produits!$E$5:$E$17,MATCH($C79,Produits!$A$5:$A$17,0)),"Produit ?"))</f>
        <v/>
      </c>
      <c r="F79" s="22">
        <f>IF($C79="","",IFERROR(INDEX(Produits!$D$5:$D$17,MATCH($C79,Produits!$A$5:$A$17,0)),"Produit ?"))</f>
        <v/>
      </c>
      <c r="G79" s="7">
        <f>IF(OR($C79="",$D79=""),"",IFERROR(D79*E79,""))</f>
        <v/>
      </c>
      <c r="H79" s="7">
        <f>IF(G79="","",D79*F79)</f>
        <v/>
      </c>
      <c r="I79" s="7">
        <f>IF(G79="","",G79-H79)</f>
        <v/>
      </c>
      <c r="J79" s="26">
        <f>IF(G79="","",IFERROR(I79/G79,0))</f>
        <v/>
      </c>
    </row>
    <row r="80">
      <c r="A80" s="27" t="n"/>
      <c r="B80" s="20" t="n"/>
      <c r="C80" s="20" t="n"/>
      <c r="D80" s="21" t="n"/>
      <c r="E80" s="22">
        <f>IF($C80="","",IFERROR(INDEX(Produits!$E$5:$E$17,MATCH($C80,Produits!$A$5:$A$17,0)),"Produit ?"))</f>
        <v/>
      </c>
      <c r="F80" s="22">
        <f>IF($C80="","",IFERROR(INDEX(Produits!$D$5:$D$17,MATCH($C80,Produits!$A$5:$A$17,0)),"Produit ?"))</f>
        <v/>
      </c>
      <c r="G80" s="7">
        <f>IF(OR($C80="",$D80=""),"",IFERROR(D80*E80,""))</f>
        <v/>
      </c>
      <c r="H80" s="7">
        <f>IF(G80="","",D80*F80)</f>
        <v/>
      </c>
      <c r="I80" s="7">
        <f>IF(G80="","",G80-H80)</f>
        <v/>
      </c>
      <c r="J80" s="26">
        <f>IF(G80="","",IFERROR(I80/G80,0))</f>
        <v/>
      </c>
    </row>
    <row r="81">
      <c r="A81" s="27" t="n"/>
      <c r="B81" s="20" t="n"/>
      <c r="C81" s="20" t="n"/>
      <c r="D81" s="21" t="n"/>
      <c r="E81" s="22">
        <f>IF($C81="","",IFERROR(INDEX(Produits!$E$5:$E$17,MATCH($C81,Produits!$A$5:$A$17,0)),"Produit ?"))</f>
        <v/>
      </c>
      <c r="F81" s="22">
        <f>IF($C81="","",IFERROR(INDEX(Produits!$D$5:$D$17,MATCH($C81,Produits!$A$5:$A$17,0)),"Produit ?"))</f>
        <v/>
      </c>
      <c r="G81" s="7">
        <f>IF(OR($C81="",$D81=""),"",IFERROR(D81*E81,""))</f>
        <v/>
      </c>
      <c r="H81" s="7">
        <f>IF(G81="","",D81*F81)</f>
        <v/>
      </c>
      <c r="I81" s="7">
        <f>IF(G81="","",G81-H81)</f>
        <v/>
      </c>
      <c r="J81" s="26">
        <f>IF(G81="","",IFERROR(I81/G81,0))</f>
        <v/>
      </c>
    </row>
    <row r="82">
      <c r="A82" s="27" t="n"/>
      <c r="B82" s="20" t="n"/>
      <c r="C82" s="20" t="n"/>
      <c r="D82" s="21" t="n"/>
      <c r="E82" s="22">
        <f>IF($C82="","",IFERROR(INDEX(Produits!$E$5:$E$17,MATCH($C82,Produits!$A$5:$A$17,0)),"Produit ?"))</f>
        <v/>
      </c>
      <c r="F82" s="22">
        <f>IF($C82="","",IFERROR(INDEX(Produits!$D$5:$D$17,MATCH($C82,Produits!$A$5:$A$17,0)),"Produit ?"))</f>
        <v/>
      </c>
      <c r="G82" s="7">
        <f>IF(OR($C82="",$D82=""),"",IFERROR(D82*E82,""))</f>
        <v/>
      </c>
      <c r="H82" s="7">
        <f>IF(G82="","",D82*F82)</f>
        <v/>
      </c>
      <c r="I82" s="7">
        <f>IF(G82="","",G82-H82)</f>
        <v/>
      </c>
      <c r="J82" s="26">
        <f>IF(G82="","",IFERROR(I82/G82,0))</f>
        <v/>
      </c>
    </row>
    <row r="83">
      <c r="A83" s="27" t="n"/>
      <c r="B83" s="20" t="n"/>
      <c r="C83" s="20" t="n"/>
      <c r="D83" s="21" t="n"/>
      <c r="E83" s="22">
        <f>IF($C83="","",IFERROR(INDEX(Produits!$E$5:$E$17,MATCH($C83,Produits!$A$5:$A$17,0)),"Produit ?"))</f>
        <v/>
      </c>
      <c r="F83" s="22">
        <f>IF($C83="","",IFERROR(INDEX(Produits!$D$5:$D$17,MATCH($C83,Produits!$A$5:$A$17,0)),"Produit ?"))</f>
        <v/>
      </c>
      <c r="G83" s="7">
        <f>IF(OR($C83="",$D83=""),"",IFERROR(D83*E83,""))</f>
        <v/>
      </c>
      <c r="H83" s="7">
        <f>IF(G83="","",D83*F83)</f>
        <v/>
      </c>
      <c r="I83" s="7">
        <f>IF(G83="","",G83-H83)</f>
        <v/>
      </c>
      <c r="J83" s="26">
        <f>IF(G83="","",IFERROR(I83/G83,0))</f>
        <v/>
      </c>
    </row>
    <row r="84">
      <c r="A84" s="27" t="n"/>
      <c r="B84" s="20" t="n"/>
      <c r="C84" s="20" t="n"/>
      <c r="D84" s="21" t="n"/>
      <c r="E84" s="22">
        <f>IF($C84="","",IFERROR(INDEX(Produits!$E$5:$E$17,MATCH($C84,Produits!$A$5:$A$17,0)),"Produit ?"))</f>
        <v/>
      </c>
      <c r="F84" s="22">
        <f>IF($C84="","",IFERROR(INDEX(Produits!$D$5:$D$17,MATCH($C84,Produits!$A$5:$A$17,0)),"Produit ?"))</f>
        <v/>
      </c>
      <c r="G84" s="7">
        <f>IF(OR($C84="",$D84=""),"",IFERROR(D84*E84,""))</f>
        <v/>
      </c>
      <c r="H84" s="7">
        <f>IF(G84="","",D84*F84)</f>
        <v/>
      </c>
      <c r="I84" s="7">
        <f>IF(G84="","",G84-H84)</f>
        <v/>
      </c>
      <c r="J84" s="26">
        <f>IF(G84="","",IFERROR(I84/G84,0))</f>
        <v/>
      </c>
    </row>
    <row r="85">
      <c r="A85" s="27" t="n"/>
      <c r="B85" s="20" t="n"/>
      <c r="C85" s="20" t="n"/>
      <c r="D85" s="21" t="n"/>
      <c r="E85" s="22">
        <f>IF($C85="","",IFERROR(INDEX(Produits!$E$5:$E$17,MATCH($C85,Produits!$A$5:$A$17,0)),"Produit ?"))</f>
        <v/>
      </c>
      <c r="F85" s="22">
        <f>IF($C85="","",IFERROR(INDEX(Produits!$D$5:$D$17,MATCH($C85,Produits!$A$5:$A$17,0)),"Produit ?"))</f>
        <v/>
      </c>
      <c r="G85" s="7">
        <f>IF(OR($C85="",$D85=""),"",IFERROR(D85*E85,""))</f>
        <v/>
      </c>
      <c r="H85" s="7">
        <f>IF(G85="","",D85*F85)</f>
        <v/>
      </c>
      <c r="I85" s="7">
        <f>IF(G85="","",G85-H85)</f>
        <v/>
      </c>
      <c r="J85" s="26">
        <f>IF(G85="","",IFERROR(I85/G85,0))</f>
        <v/>
      </c>
    </row>
    <row r="86">
      <c r="A86" s="27" t="n"/>
      <c r="B86" s="20" t="n"/>
      <c r="C86" s="20" t="n"/>
      <c r="D86" s="21" t="n"/>
      <c r="E86" s="22">
        <f>IF($C86="","",IFERROR(INDEX(Produits!$E$5:$E$17,MATCH($C86,Produits!$A$5:$A$17,0)),"Produit ?"))</f>
        <v/>
      </c>
      <c r="F86" s="22">
        <f>IF($C86="","",IFERROR(INDEX(Produits!$D$5:$D$17,MATCH($C86,Produits!$A$5:$A$17,0)),"Produit ?"))</f>
        <v/>
      </c>
      <c r="G86" s="7">
        <f>IF(OR($C86="",$D86=""),"",IFERROR(D86*E86,""))</f>
        <v/>
      </c>
      <c r="H86" s="7">
        <f>IF(G86="","",D86*F86)</f>
        <v/>
      </c>
      <c r="I86" s="7">
        <f>IF(G86="","",G86-H86)</f>
        <v/>
      </c>
      <c r="J86" s="26">
        <f>IF(G86="","",IFERROR(I86/G86,0))</f>
        <v/>
      </c>
    </row>
    <row r="87">
      <c r="A87" s="27" t="n"/>
      <c r="B87" s="20" t="n"/>
      <c r="C87" s="20" t="n"/>
      <c r="D87" s="21" t="n"/>
      <c r="E87" s="22">
        <f>IF($C87="","",IFERROR(INDEX(Produits!$E$5:$E$17,MATCH($C87,Produits!$A$5:$A$17,0)),"Produit ?"))</f>
        <v/>
      </c>
      <c r="F87" s="22">
        <f>IF($C87="","",IFERROR(INDEX(Produits!$D$5:$D$17,MATCH($C87,Produits!$A$5:$A$17,0)),"Produit ?"))</f>
        <v/>
      </c>
      <c r="G87" s="7">
        <f>IF(OR($C87="",$D87=""),"",IFERROR(D87*E87,""))</f>
        <v/>
      </c>
      <c r="H87" s="7">
        <f>IF(G87="","",D87*F87)</f>
        <v/>
      </c>
      <c r="I87" s="7">
        <f>IF(G87="","",G87-H87)</f>
        <v/>
      </c>
      <c r="J87" s="26">
        <f>IF(G87="","",IFERROR(I87/G87,0))</f>
        <v/>
      </c>
    </row>
    <row r="88">
      <c r="A88" s="27" t="n"/>
      <c r="B88" s="20" t="n"/>
      <c r="C88" s="20" t="n"/>
      <c r="D88" s="21" t="n"/>
      <c r="E88" s="22">
        <f>IF($C88="","",IFERROR(INDEX(Produits!$E$5:$E$17,MATCH($C88,Produits!$A$5:$A$17,0)),"Produit ?"))</f>
        <v/>
      </c>
      <c r="F88" s="22">
        <f>IF($C88="","",IFERROR(INDEX(Produits!$D$5:$D$17,MATCH($C88,Produits!$A$5:$A$17,0)),"Produit ?"))</f>
        <v/>
      </c>
      <c r="G88" s="7">
        <f>IF(OR($C88="",$D88=""),"",IFERROR(D88*E88,""))</f>
        <v/>
      </c>
      <c r="H88" s="7">
        <f>IF(G88="","",D88*F88)</f>
        <v/>
      </c>
      <c r="I88" s="7">
        <f>IF(G88="","",G88-H88)</f>
        <v/>
      </c>
      <c r="J88" s="26">
        <f>IF(G88="","",IFERROR(I88/G88,0))</f>
        <v/>
      </c>
    </row>
    <row r="89">
      <c r="A89" s="27" t="n"/>
      <c r="B89" s="20" t="n"/>
      <c r="C89" s="20" t="n"/>
      <c r="D89" s="21" t="n"/>
      <c r="E89" s="22">
        <f>IF($C89="","",IFERROR(INDEX(Produits!$E$5:$E$17,MATCH($C89,Produits!$A$5:$A$17,0)),"Produit ?"))</f>
        <v/>
      </c>
      <c r="F89" s="22">
        <f>IF($C89="","",IFERROR(INDEX(Produits!$D$5:$D$17,MATCH($C89,Produits!$A$5:$A$17,0)),"Produit ?"))</f>
        <v/>
      </c>
      <c r="G89" s="7">
        <f>IF(OR($C89="",$D89=""),"",IFERROR(D89*E89,""))</f>
        <v/>
      </c>
      <c r="H89" s="7">
        <f>IF(G89="","",D89*F89)</f>
        <v/>
      </c>
      <c r="I89" s="7">
        <f>IF(G89="","",G89-H89)</f>
        <v/>
      </c>
      <c r="J89" s="26">
        <f>IF(G89="","",IFERROR(I89/G89,0))</f>
        <v/>
      </c>
    </row>
    <row r="90">
      <c r="A90" s="27" t="n"/>
      <c r="B90" s="20" t="n"/>
      <c r="C90" s="20" t="n"/>
      <c r="D90" s="21" t="n"/>
      <c r="E90" s="22">
        <f>IF($C90="","",IFERROR(INDEX(Produits!$E$5:$E$17,MATCH($C90,Produits!$A$5:$A$17,0)),"Produit ?"))</f>
        <v/>
      </c>
      <c r="F90" s="22">
        <f>IF($C90="","",IFERROR(INDEX(Produits!$D$5:$D$17,MATCH($C90,Produits!$A$5:$A$17,0)),"Produit ?"))</f>
        <v/>
      </c>
      <c r="G90" s="7">
        <f>IF(OR($C90="",$D90=""),"",IFERROR(D90*E90,""))</f>
        <v/>
      </c>
      <c r="H90" s="7">
        <f>IF(G90="","",D90*F90)</f>
        <v/>
      </c>
      <c r="I90" s="7">
        <f>IF(G90="","",G90-H90)</f>
        <v/>
      </c>
      <c r="J90" s="26">
        <f>IF(G90="","",IFERROR(I90/G90,0))</f>
        <v/>
      </c>
    </row>
    <row r="91">
      <c r="A91" s="27" t="n"/>
      <c r="B91" s="20" t="n"/>
      <c r="C91" s="20" t="n"/>
      <c r="D91" s="21" t="n"/>
      <c r="E91" s="22">
        <f>IF($C91="","",IFERROR(INDEX(Produits!$E$5:$E$17,MATCH($C91,Produits!$A$5:$A$17,0)),"Produit ?"))</f>
        <v/>
      </c>
      <c r="F91" s="22">
        <f>IF($C91="","",IFERROR(INDEX(Produits!$D$5:$D$17,MATCH($C91,Produits!$A$5:$A$17,0)),"Produit ?"))</f>
        <v/>
      </c>
      <c r="G91" s="7">
        <f>IF(OR($C91="",$D91=""),"",IFERROR(D91*E91,""))</f>
        <v/>
      </c>
      <c r="H91" s="7">
        <f>IF(G91="","",D91*F91)</f>
        <v/>
      </c>
      <c r="I91" s="7">
        <f>IF(G91="","",G91-H91)</f>
        <v/>
      </c>
      <c r="J91" s="26">
        <f>IF(G91="","",IFERROR(I91/G91,0))</f>
        <v/>
      </c>
    </row>
    <row r="92">
      <c r="A92" s="27" t="n"/>
      <c r="B92" s="20" t="n"/>
      <c r="C92" s="20" t="n"/>
      <c r="D92" s="21" t="n"/>
      <c r="E92" s="22">
        <f>IF($C92="","",IFERROR(INDEX(Produits!$E$5:$E$17,MATCH($C92,Produits!$A$5:$A$17,0)),"Produit ?"))</f>
        <v/>
      </c>
      <c r="F92" s="22">
        <f>IF($C92="","",IFERROR(INDEX(Produits!$D$5:$D$17,MATCH($C92,Produits!$A$5:$A$17,0)),"Produit ?"))</f>
        <v/>
      </c>
      <c r="G92" s="7">
        <f>IF(OR($C92="",$D92=""),"",IFERROR(D92*E92,""))</f>
        <v/>
      </c>
      <c r="H92" s="7">
        <f>IF(G92="","",D92*F92)</f>
        <v/>
      </c>
      <c r="I92" s="7">
        <f>IF(G92="","",G92-H92)</f>
        <v/>
      </c>
      <c r="J92" s="26">
        <f>IF(G92="","",IFERROR(I92/G92,0))</f>
        <v/>
      </c>
    </row>
    <row r="93">
      <c r="A93" s="27" t="n"/>
      <c r="B93" s="20" t="n"/>
      <c r="C93" s="20" t="n"/>
      <c r="D93" s="21" t="n"/>
      <c r="E93" s="22">
        <f>IF($C93="","",IFERROR(INDEX(Produits!$E$5:$E$17,MATCH($C93,Produits!$A$5:$A$17,0)),"Produit ?"))</f>
        <v/>
      </c>
      <c r="F93" s="22">
        <f>IF($C93="","",IFERROR(INDEX(Produits!$D$5:$D$17,MATCH($C93,Produits!$A$5:$A$17,0)),"Produit ?"))</f>
        <v/>
      </c>
      <c r="G93" s="7">
        <f>IF(OR($C93="",$D93=""),"",IFERROR(D93*E93,""))</f>
        <v/>
      </c>
      <c r="H93" s="7">
        <f>IF(G93="","",D93*F93)</f>
        <v/>
      </c>
      <c r="I93" s="7">
        <f>IF(G93="","",G93-H93)</f>
        <v/>
      </c>
      <c r="J93" s="26">
        <f>IF(G93="","",IFERROR(I93/G93,0))</f>
        <v/>
      </c>
    </row>
    <row r="94">
      <c r="A94" s="27" t="n"/>
      <c r="B94" s="20" t="n"/>
      <c r="C94" s="20" t="n"/>
      <c r="D94" s="21" t="n"/>
      <c r="E94" s="22">
        <f>IF($C94="","",IFERROR(INDEX(Produits!$E$5:$E$17,MATCH($C94,Produits!$A$5:$A$17,0)),"Produit ?"))</f>
        <v/>
      </c>
      <c r="F94" s="22">
        <f>IF($C94="","",IFERROR(INDEX(Produits!$D$5:$D$17,MATCH($C94,Produits!$A$5:$A$17,0)),"Produit ?"))</f>
        <v/>
      </c>
      <c r="G94" s="7">
        <f>IF(OR($C94="",$D94=""),"",IFERROR(D94*E94,""))</f>
        <v/>
      </c>
      <c r="H94" s="7">
        <f>IF(G94="","",D94*F94)</f>
        <v/>
      </c>
      <c r="I94" s="7">
        <f>IF(G94="","",G94-H94)</f>
        <v/>
      </c>
      <c r="J94" s="26">
        <f>IF(G94="","",IFERROR(I94/G94,0))</f>
        <v/>
      </c>
    </row>
    <row r="95">
      <c r="A95" s="27" t="n"/>
      <c r="B95" s="20" t="n"/>
      <c r="C95" s="20" t="n"/>
      <c r="D95" s="21" t="n"/>
      <c r="E95" s="22">
        <f>IF($C95="","",IFERROR(INDEX(Produits!$E$5:$E$17,MATCH($C95,Produits!$A$5:$A$17,0)),"Produit ?"))</f>
        <v/>
      </c>
      <c r="F95" s="22">
        <f>IF($C95="","",IFERROR(INDEX(Produits!$D$5:$D$17,MATCH($C95,Produits!$A$5:$A$17,0)),"Produit ?"))</f>
        <v/>
      </c>
      <c r="G95" s="7">
        <f>IF(OR($C95="",$D95=""),"",IFERROR(D95*E95,""))</f>
        <v/>
      </c>
      <c r="H95" s="7">
        <f>IF(G95="","",D95*F95)</f>
        <v/>
      </c>
      <c r="I95" s="7">
        <f>IF(G95="","",G95-H95)</f>
        <v/>
      </c>
      <c r="J95" s="26">
        <f>IF(G95="","",IFERROR(I95/G95,0))</f>
        <v/>
      </c>
    </row>
    <row r="96">
      <c r="A96" s="27" t="n"/>
      <c r="B96" s="20" t="n"/>
      <c r="C96" s="20" t="n"/>
      <c r="D96" s="21" t="n"/>
      <c r="E96" s="22">
        <f>IF($C96="","",IFERROR(INDEX(Produits!$E$5:$E$17,MATCH($C96,Produits!$A$5:$A$17,0)),"Produit ?"))</f>
        <v/>
      </c>
      <c r="F96" s="22">
        <f>IF($C96="","",IFERROR(INDEX(Produits!$D$5:$D$17,MATCH($C96,Produits!$A$5:$A$17,0)),"Produit ?"))</f>
        <v/>
      </c>
      <c r="G96" s="7">
        <f>IF(OR($C96="",$D96=""),"",IFERROR(D96*E96,""))</f>
        <v/>
      </c>
      <c r="H96" s="7">
        <f>IF(G96="","",D96*F96)</f>
        <v/>
      </c>
      <c r="I96" s="7">
        <f>IF(G96="","",G96-H96)</f>
        <v/>
      </c>
      <c r="J96" s="26">
        <f>IF(G96="","",IFERROR(I96/G96,0))</f>
        <v/>
      </c>
    </row>
    <row r="97">
      <c r="A97" s="27" t="n"/>
      <c r="B97" s="20" t="n"/>
      <c r="C97" s="20" t="n"/>
      <c r="D97" s="21" t="n"/>
      <c r="E97" s="22">
        <f>IF($C97="","",IFERROR(INDEX(Produits!$E$5:$E$17,MATCH($C97,Produits!$A$5:$A$17,0)),"Produit ?"))</f>
        <v/>
      </c>
      <c r="F97" s="22">
        <f>IF($C97="","",IFERROR(INDEX(Produits!$D$5:$D$17,MATCH($C97,Produits!$A$5:$A$17,0)),"Produit ?"))</f>
        <v/>
      </c>
      <c r="G97" s="7">
        <f>IF(OR($C97="",$D97=""),"",IFERROR(D97*E97,""))</f>
        <v/>
      </c>
      <c r="H97" s="7">
        <f>IF(G97="","",D97*F97)</f>
        <v/>
      </c>
      <c r="I97" s="7">
        <f>IF(G97="","",G97-H97)</f>
        <v/>
      </c>
      <c r="J97" s="26">
        <f>IF(G97="","",IFERROR(I97/G97,0))</f>
        <v/>
      </c>
    </row>
    <row r="98">
      <c r="A98" s="27" t="n"/>
      <c r="B98" s="20" t="n"/>
      <c r="C98" s="20" t="n"/>
      <c r="D98" s="21" t="n"/>
      <c r="E98" s="22">
        <f>IF($C98="","",IFERROR(INDEX(Produits!$E$5:$E$17,MATCH($C98,Produits!$A$5:$A$17,0)),"Produit ?"))</f>
        <v/>
      </c>
      <c r="F98" s="22">
        <f>IF($C98="","",IFERROR(INDEX(Produits!$D$5:$D$17,MATCH($C98,Produits!$A$5:$A$17,0)),"Produit ?"))</f>
        <v/>
      </c>
      <c r="G98" s="7">
        <f>IF(OR($C98="",$D98=""),"",IFERROR(D98*E98,""))</f>
        <v/>
      </c>
      <c r="H98" s="7">
        <f>IF(G98="","",D98*F98)</f>
        <v/>
      </c>
      <c r="I98" s="7">
        <f>IF(G98="","",G98-H98)</f>
        <v/>
      </c>
      <c r="J98" s="26">
        <f>IF(G98="","",IFERROR(I98/G98,0))</f>
        <v/>
      </c>
    </row>
    <row r="99">
      <c r="A99" s="27" t="n"/>
      <c r="B99" s="20" t="n"/>
      <c r="C99" s="20" t="n"/>
      <c r="D99" s="21" t="n"/>
      <c r="E99" s="22">
        <f>IF($C99="","",IFERROR(INDEX(Produits!$E$5:$E$17,MATCH($C99,Produits!$A$5:$A$17,0)),"Produit ?"))</f>
        <v/>
      </c>
      <c r="F99" s="22">
        <f>IF($C99="","",IFERROR(INDEX(Produits!$D$5:$D$17,MATCH($C99,Produits!$A$5:$A$17,0)),"Produit ?"))</f>
        <v/>
      </c>
      <c r="G99" s="7">
        <f>IF(OR($C99="",$D99=""),"",IFERROR(D99*E99,""))</f>
        <v/>
      </c>
      <c r="H99" s="7">
        <f>IF(G99="","",D99*F99)</f>
        <v/>
      </c>
      <c r="I99" s="7">
        <f>IF(G99="","",G99-H99)</f>
        <v/>
      </c>
      <c r="J99" s="26">
        <f>IF(G99="","",IFERROR(I99/G99,0))</f>
        <v/>
      </c>
    </row>
    <row r="100">
      <c r="A100" s="27" t="n"/>
      <c r="B100" s="20" t="n"/>
      <c r="C100" s="20" t="n"/>
      <c r="D100" s="21" t="n"/>
      <c r="E100" s="22">
        <f>IF($C100="","",IFERROR(INDEX(Produits!$E$5:$E$17,MATCH($C100,Produits!$A$5:$A$17,0)),"Produit ?"))</f>
        <v/>
      </c>
      <c r="F100" s="22">
        <f>IF($C100="","",IFERROR(INDEX(Produits!$D$5:$D$17,MATCH($C100,Produits!$A$5:$A$17,0)),"Produit ?"))</f>
        <v/>
      </c>
      <c r="G100" s="7">
        <f>IF(OR($C100="",$D100=""),"",IFERROR(D100*E100,""))</f>
        <v/>
      </c>
      <c r="H100" s="7">
        <f>IF(G100="","",D100*F100)</f>
        <v/>
      </c>
      <c r="I100" s="7">
        <f>IF(G100="","",G100-H100)</f>
        <v/>
      </c>
      <c r="J100" s="26">
        <f>IF(G100="","",IFERROR(I100/G100,0))</f>
        <v/>
      </c>
    </row>
    <row r="101">
      <c r="A101" s="27" t="n"/>
      <c r="B101" s="20" t="n"/>
      <c r="C101" s="20" t="n"/>
      <c r="D101" s="21" t="n"/>
      <c r="E101" s="22">
        <f>IF($C101="","",IFERROR(INDEX(Produits!$E$5:$E$17,MATCH($C101,Produits!$A$5:$A$17,0)),"Produit ?"))</f>
        <v/>
      </c>
      <c r="F101" s="22">
        <f>IF($C101="","",IFERROR(INDEX(Produits!$D$5:$D$17,MATCH($C101,Produits!$A$5:$A$17,0)),"Produit ?"))</f>
        <v/>
      </c>
      <c r="G101" s="7">
        <f>IF(OR($C101="",$D101=""),"",IFERROR(D101*E101,""))</f>
        <v/>
      </c>
      <c r="H101" s="7">
        <f>IF(G101="","",D101*F101)</f>
        <v/>
      </c>
      <c r="I101" s="7">
        <f>IF(G101="","",G101-H101)</f>
        <v/>
      </c>
      <c r="J101" s="26">
        <f>IF(G101="","",IFERROR(I101/G101,0))</f>
        <v/>
      </c>
    </row>
    <row r="102">
      <c r="A102" s="27" t="n"/>
      <c r="B102" s="20" t="n"/>
      <c r="C102" s="20" t="n"/>
      <c r="D102" s="21" t="n"/>
      <c r="E102" s="22">
        <f>IF($C102="","",IFERROR(INDEX(Produits!$E$5:$E$17,MATCH($C102,Produits!$A$5:$A$17,0)),"Produit ?"))</f>
        <v/>
      </c>
      <c r="F102" s="22">
        <f>IF($C102="","",IFERROR(INDEX(Produits!$D$5:$D$17,MATCH($C102,Produits!$A$5:$A$17,0)),"Produit ?"))</f>
        <v/>
      </c>
      <c r="G102" s="7">
        <f>IF(OR($C102="",$D102=""),"",IFERROR(D102*E102,""))</f>
        <v/>
      </c>
      <c r="H102" s="7">
        <f>IF(G102="","",D102*F102)</f>
        <v/>
      </c>
      <c r="I102" s="7">
        <f>IF(G102="","",G102-H102)</f>
        <v/>
      </c>
      <c r="J102" s="26">
        <f>IF(G102="","",IFERROR(I102/G102,0))</f>
        <v/>
      </c>
    </row>
    <row r="103">
      <c r="A103" s="27" t="n"/>
      <c r="B103" s="20" t="n"/>
      <c r="C103" s="20" t="n"/>
      <c r="D103" s="21" t="n"/>
      <c r="E103" s="22">
        <f>IF($C103="","",IFERROR(INDEX(Produits!$E$5:$E$17,MATCH($C103,Produits!$A$5:$A$17,0)),"Produit ?"))</f>
        <v/>
      </c>
      <c r="F103" s="22">
        <f>IF($C103="","",IFERROR(INDEX(Produits!$D$5:$D$17,MATCH($C103,Produits!$A$5:$A$17,0)),"Produit ?"))</f>
        <v/>
      </c>
      <c r="G103" s="7">
        <f>IF(OR($C103="",$D103=""),"",IFERROR(D103*E103,""))</f>
        <v/>
      </c>
      <c r="H103" s="7">
        <f>IF(G103="","",D103*F103)</f>
        <v/>
      </c>
      <c r="I103" s="7">
        <f>IF(G103="","",G103-H103)</f>
        <v/>
      </c>
      <c r="J103" s="26">
        <f>IF(G103="","",IFERROR(I103/G103,0))</f>
        <v/>
      </c>
    </row>
    <row r="104">
      <c r="A104" s="27" t="n"/>
      <c r="B104" s="20" t="n"/>
      <c r="C104" s="20" t="n"/>
      <c r="D104" s="21" t="n"/>
      <c r="E104" s="22">
        <f>IF($C104="","",IFERROR(INDEX(Produits!$E$5:$E$17,MATCH($C104,Produits!$A$5:$A$17,0)),"Produit ?"))</f>
        <v/>
      </c>
      <c r="F104" s="22">
        <f>IF($C104="","",IFERROR(INDEX(Produits!$D$5:$D$17,MATCH($C104,Produits!$A$5:$A$17,0)),"Produit ?"))</f>
        <v/>
      </c>
      <c r="G104" s="7">
        <f>IF(OR($C104="",$D104=""),"",IFERROR(D104*E104,""))</f>
        <v/>
      </c>
      <c r="H104" s="7">
        <f>IF(G104="","",D104*F104)</f>
        <v/>
      </c>
      <c r="I104" s="7">
        <f>IF(G104="","",G104-H104)</f>
        <v/>
      </c>
      <c r="J104" s="26">
        <f>IF(G104="","",IFERROR(I104/G104,0))</f>
        <v/>
      </c>
    </row>
    <row r="105">
      <c r="A105" s="27" t="n"/>
      <c r="B105" s="20" t="n"/>
      <c r="C105" s="20" t="n"/>
      <c r="D105" s="21" t="n"/>
      <c r="E105" s="22">
        <f>IF($C105="","",IFERROR(INDEX(Produits!$E$5:$E$17,MATCH($C105,Produits!$A$5:$A$17,0)),"Produit ?"))</f>
        <v/>
      </c>
      <c r="F105" s="22">
        <f>IF($C105="","",IFERROR(INDEX(Produits!$D$5:$D$17,MATCH($C105,Produits!$A$5:$A$17,0)),"Produit ?"))</f>
        <v/>
      </c>
      <c r="G105" s="7">
        <f>IF(OR($C105="",$D105=""),"",IFERROR(D105*E105,""))</f>
        <v/>
      </c>
      <c r="H105" s="7">
        <f>IF(G105="","",D105*F105)</f>
        <v/>
      </c>
      <c r="I105" s="7">
        <f>IF(G105="","",G105-H105)</f>
        <v/>
      </c>
      <c r="J105" s="26">
        <f>IF(G105="","",IFERROR(I105/G105,0))</f>
        <v/>
      </c>
    </row>
    <row r="106">
      <c r="A106" s="27" t="n"/>
      <c r="B106" s="20" t="n"/>
      <c r="C106" s="20" t="n"/>
      <c r="D106" s="21" t="n"/>
      <c r="E106" s="22">
        <f>IF($C106="","",IFERROR(INDEX(Produits!$E$5:$E$17,MATCH($C106,Produits!$A$5:$A$17,0)),"Produit ?"))</f>
        <v/>
      </c>
      <c r="F106" s="22">
        <f>IF($C106="","",IFERROR(INDEX(Produits!$D$5:$D$17,MATCH($C106,Produits!$A$5:$A$17,0)),"Produit ?"))</f>
        <v/>
      </c>
      <c r="G106" s="7">
        <f>IF(OR($C106="",$D106=""),"",IFERROR(D106*E106,""))</f>
        <v/>
      </c>
      <c r="H106" s="7">
        <f>IF(G106="","",D106*F106)</f>
        <v/>
      </c>
      <c r="I106" s="7">
        <f>IF(G106="","",G106-H106)</f>
        <v/>
      </c>
      <c r="J106" s="26">
        <f>IF(G106="","",IFERROR(I106/G106,0))</f>
        <v/>
      </c>
    </row>
    <row r="107">
      <c r="A107" s="27" t="n"/>
      <c r="B107" s="20" t="n"/>
      <c r="C107" s="20" t="n"/>
      <c r="D107" s="21" t="n"/>
      <c r="E107" s="22">
        <f>IF($C107="","",IFERROR(INDEX(Produits!$E$5:$E$17,MATCH($C107,Produits!$A$5:$A$17,0)),"Produit ?"))</f>
        <v/>
      </c>
      <c r="F107" s="22">
        <f>IF($C107="","",IFERROR(INDEX(Produits!$D$5:$D$17,MATCH($C107,Produits!$A$5:$A$17,0)),"Produit ?"))</f>
        <v/>
      </c>
      <c r="G107" s="7">
        <f>IF(OR($C107="",$D107=""),"",IFERROR(D107*E107,""))</f>
        <v/>
      </c>
      <c r="H107" s="7">
        <f>IF(G107="","",D107*F107)</f>
        <v/>
      </c>
      <c r="I107" s="7">
        <f>IF(G107="","",G107-H107)</f>
        <v/>
      </c>
      <c r="J107" s="26">
        <f>IF(G107="","",IFERROR(I107/G107,0))</f>
        <v/>
      </c>
    </row>
    <row r="108">
      <c r="A108" s="27" t="n"/>
      <c r="B108" s="20" t="n"/>
      <c r="C108" s="20" t="n"/>
      <c r="D108" s="21" t="n"/>
      <c r="E108" s="22">
        <f>IF($C108="","",IFERROR(INDEX(Produits!$E$5:$E$17,MATCH($C108,Produits!$A$5:$A$17,0)),"Produit ?"))</f>
        <v/>
      </c>
      <c r="F108" s="22">
        <f>IF($C108="","",IFERROR(INDEX(Produits!$D$5:$D$17,MATCH($C108,Produits!$A$5:$A$17,0)),"Produit ?"))</f>
        <v/>
      </c>
      <c r="G108" s="7">
        <f>IF(OR($C108="",$D108=""),"",IFERROR(D108*E108,""))</f>
        <v/>
      </c>
      <c r="H108" s="7">
        <f>IF(G108="","",D108*F108)</f>
        <v/>
      </c>
      <c r="I108" s="7">
        <f>IF(G108="","",G108-H108)</f>
        <v/>
      </c>
      <c r="J108" s="26">
        <f>IF(G108="","",IFERROR(I108/G108,0))</f>
        <v/>
      </c>
    </row>
    <row r="109">
      <c r="A109" s="27" t="n"/>
      <c r="B109" s="20" t="n"/>
      <c r="C109" s="20" t="n"/>
      <c r="D109" s="21" t="n"/>
      <c r="E109" s="22">
        <f>IF($C109="","",IFERROR(INDEX(Produits!$E$5:$E$17,MATCH($C109,Produits!$A$5:$A$17,0)),"Produit ?"))</f>
        <v/>
      </c>
      <c r="F109" s="22">
        <f>IF($C109="","",IFERROR(INDEX(Produits!$D$5:$D$17,MATCH($C109,Produits!$A$5:$A$17,0)),"Produit ?"))</f>
        <v/>
      </c>
      <c r="G109" s="7">
        <f>IF(OR($C109="",$D109=""),"",IFERROR(D109*E109,""))</f>
        <v/>
      </c>
      <c r="H109" s="7">
        <f>IF(G109="","",D109*F109)</f>
        <v/>
      </c>
      <c r="I109" s="7">
        <f>IF(G109="","",G109-H109)</f>
        <v/>
      </c>
      <c r="J109" s="26">
        <f>IF(G109="","",IFERROR(I109/G109,0))</f>
        <v/>
      </c>
    </row>
    <row r="110">
      <c r="A110" s="27" t="n"/>
      <c r="B110" s="20" t="n"/>
      <c r="C110" s="20" t="n"/>
      <c r="D110" s="21" t="n"/>
      <c r="E110" s="22">
        <f>IF($C110="","",IFERROR(INDEX(Produits!$E$5:$E$17,MATCH($C110,Produits!$A$5:$A$17,0)),"Produit ?"))</f>
        <v/>
      </c>
      <c r="F110" s="22">
        <f>IF($C110="","",IFERROR(INDEX(Produits!$D$5:$D$17,MATCH($C110,Produits!$A$5:$A$17,0)),"Produit ?"))</f>
        <v/>
      </c>
      <c r="G110" s="7">
        <f>IF(OR($C110="",$D110=""),"",IFERROR(D110*E110,""))</f>
        <v/>
      </c>
      <c r="H110" s="7">
        <f>IF(G110="","",D110*F110)</f>
        <v/>
      </c>
      <c r="I110" s="7">
        <f>IF(G110="","",G110-H110)</f>
        <v/>
      </c>
      <c r="J110" s="26">
        <f>IF(G110="","",IFERROR(I110/G110,0))</f>
        <v/>
      </c>
    </row>
    <row r="111">
      <c r="A111" s="27" t="n"/>
      <c r="B111" s="20" t="n"/>
      <c r="C111" s="20" t="n"/>
      <c r="D111" s="21" t="n"/>
      <c r="E111" s="22">
        <f>IF($C111="","",IFERROR(INDEX(Produits!$E$5:$E$17,MATCH($C111,Produits!$A$5:$A$17,0)),"Produit ?"))</f>
        <v/>
      </c>
      <c r="F111" s="22">
        <f>IF($C111="","",IFERROR(INDEX(Produits!$D$5:$D$17,MATCH($C111,Produits!$A$5:$A$17,0)),"Produit ?"))</f>
        <v/>
      </c>
      <c r="G111" s="7">
        <f>IF(OR($C111="",$D111=""),"",IFERROR(D111*E111,""))</f>
        <v/>
      </c>
      <c r="H111" s="7">
        <f>IF(G111="","",D111*F111)</f>
        <v/>
      </c>
      <c r="I111" s="7">
        <f>IF(G111="","",G111-H111)</f>
        <v/>
      </c>
      <c r="J111" s="26">
        <f>IF(G111="","",IFERROR(I111/G111,0))</f>
        <v/>
      </c>
    </row>
    <row r="112">
      <c r="A112" s="27" t="n"/>
      <c r="B112" s="20" t="n"/>
      <c r="C112" s="20" t="n"/>
      <c r="D112" s="21" t="n"/>
      <c r="E112" s="22">
        <f>IF($C112="","",IFERROR(INDEX(Produits!$E$5:$E$17,MATCH($C112,Produits!$A$5:$A$17,0)),"Produit ?"))</f>
        <v/>
      </c>
      <c r="F112" s="22">
        <f>IF($C112="","",IFERROR(INDEX(Produits!$D$5:$D$17,MATCH($C112,Produits!$A$5:$A$17,0)),"Produit ?"))</f>
        <v/>
      </c>
      <c r="G112" s="7">
        <f>IF(OR($C112="",$D112=""),"",IFERROR(D112*E112,""))</f>
        <v/>
      </c>
      <c r="H112" s="7">
        <f>IF(G112="","",D112*F112)</f>
        <v/>
      </c>
      <c r="I112" s="7">
        <f>IF(G112="","",G112-H112)</f>
        <v/>
      </c>
      <c r="J112" s="26">
        <f>IF(G112="","",IFERROR(I112/G112,0))</f>
        <v/>
      </c>
    </row>
    <row r="113">
      <c r="A113" s="27" t="n"/>
      <c r="B113" s="20" t="n"/>
      <c r="C113" s="20" t="n"/>
      <c r="D113" s="21" t="n"/>
      <c r="E113" s="22">
        <f>IF($C113="","",IFERROR(INDEX(Produits!$E$5:$E$17,MATCH($C113,Produits!$A$5:$A$17,0)),"Produit ?"))</f>
        <v/>
      </c>
      <c r="F113" s="22">
        <f>IF($C113="","",IFERROR(INDEX(Produits!$D$5:$D$17,MATCH($C113,Produits!$A$5:$A$17,0)),"Produit ?"))</f>
        <v/>
      </c>
      <c r="G113" s="7">
        <f>IF(OR($C113="",$D113=""),"",IFERROR(D113*E113,""))</f>
        <v/>
      </c>
      <c r="H113" s="7">
        <f>IF(G113="","",D113*F113)</f>
        <v/>
      </c>
      <c r="I113" s="7">
        <f>IF(G113="","",G113-H113)</f>
        <v/>
      </c>
      <c r="J113" s="26">
        <f>IF(G113="","",IFERROR(I113/G113,0))</f>
        <v/>
      </c>
    </row>
    <row r="114">
      <c r="A114" s="27" t="n"/>
      <c r="B114" s="20" t="n"/>
      <c r="C114" s="20" t="n"/>
      <c r="D114" s="21" t="n"/>
      <c r="E114" s="22">
        <f>IF($C114="","",IFERROR(INDEX(Produits!$E$5:$E$17,MATCH($C114,Produits!$A$5:$A$17,0)),"Produit ?"))</f>
        <v/>
      </c>
      <c r="F114" s="22">
        <f>IF($C114="","",IFERROR(INDEX(Produits!$D$5:$D$17,MATCH($C114,Produits!$A$5:$A$17,0)),"Produit ?"))</f>
        <v/>
      </c>
      <c r="G114" s="7">
        <f>IF(OR($C114="",$D114=""),"",IFERROR(D114*E114,""))</f>
        <v/>
      </c>
      <c r="H114" s="7">
        <f>IF(G114="","",D114*F114)</f>
        <v/>
      </c>
      <c r="I114" s="7">
        <f>IF(G114="","",G114-H114)</f>
        <v/>
      </c>
      <c r="J114" s="26">
        <f>IF(G114="","",IFERROR(I114/G114,0))</f>
        <v/>
      </c>
    </row>
    <row r="115">
      <c r="A115" s="27" t="n"/>
      <c r="B115" s="20" t="n"/>
      <c r="C115" s="20" t="n"/>
      <c r="D115" s="21" t="n"/>
      <c r="E115" s="22">
        <f>IF($C115="","",IFERROR(INDEX(Produits!$E$5:$E$17,MATCH($C115,Produits!$A$5:$A$17,0)),"Produit ?"))</f>
        <v/>
      </c>
      <c r="F115" s="22">
        <f>IF($C115="","",IFERROR(INDEX(Produits!$D$5:$D$17,MATCH($C115,Produits!$A$5:$A$17,0)),"Produit ?"))</f>
        <v/>
      </c>
      <c r="G115" s="7">
        <f>IF(OR($C115="",$D115=""),"",IFERROR(D115*E115,""))</f>
        <v/>
      </c>
      <c r="H115" s="7">
        <f>IF(G115="","",D115*F115)</f>
        <v/>
      </c>
      <c r="I115" s="7">
        <f>IF(G115="","",G115-H115)</f>
        <v/>
      </c>
      <c r="J115" s="26">
        <f>IF(G115="","",IFERROR(I115/G115,0))</f>
        <v/>
      </c>
    </row>
    <row r="116">
      <c r="A116" s="27" t="n"/>
      <c r="B116" s="20" t="n"/>
      <c r="C116" s="20" t="n"/>
      <c r="D116" s="21" t="n"/>
      <c r="E116" s="22">
        <f>IF($C116="","",IFERROR(INDEX(Produits!$E$5:$E$17,MATCH($C116,Produits!$A$5:$A$17,0)),"Produit ?"))</f>
        <v/>
      </c>
      <c r="F116" s="22">
        <f>IF($C116="","",IFERROR(INDEX(Produits!$D$5:$D$17,MATCH($C116,Produits!$A$5:$A$17,0)),"Produit ?"))</f>
        <v/>
      </c>
      <c r="G116" s="7">
        <f>IF(OR($C116="",$D116=""),"",IFERROR(D116*E116,""))</f>
        <v/>
      </c>
      <c r="H116" s="7">
        <f>IF(G116="","",D116*F116)</f>
        <v/>
      </c>
      <c r="I116" s="7">
        <f>IF(G116="","",G116-H116)</f>
        <v/>
      </c>
      <c r="J116" s="26">
        <f>IF(G116="","",IFERROR(I116/G116,0))</f>
        <v/>
      </c>
    </row>
    <row r="117">
      <c r="A117" s="27" t="n"/>
      <c r="B117" s="20" t="n"/>
      <c r="C117" s="20" t="n"/>
      <c r="D117" s="21" t="n"/>
      <c r="E117" s="22">
        <f>IF($C117="","",IFERROR(INDEX(Produits!$E$5:$E$17,MATCH($C117,Produits!$A$5:$A$17,0)),"Produit ?"))</f>
        <v/>
      </c>
      <c r="F117" s="22">
        <f>IF($C117="","",IFERROR(INDEX(Produits!$D$5:$D$17,MATCH($C117,Produits!$A$5:$A$17,0)),"Produit ?"))</f>
        <v/>
      </c>
      <c r="G117" s="7">
        <f>IF(OR($C117="",$D117=""),"",IFERROR(D117*E117,""))</f>
        <v/>
      </c>
      <c r="H117" s="7">
        <f>IF(G117="","",D117*F117)</f>
        <v/>
      </c>
      <c r="I117" s="7">
        <f>IF(G117="","",G117-H117)</f>
        <v/>
      </c>
      <c r="J117" s="26">
        <f>IF(G117="","",IFERROR(I117/G117,0))</f>
        <v/>
      </c>
    </row>
    <row r="118">
      <c r="A118" s="27" t="n"/>
      <c r="B118" s="20" t="n"/>
      <c r="C118" s="20" t="n"/>
      <c r="D118" s="21" t="n"/>
      <c r="E118" s="22">
        <f>IF($C118="","",IFERROR(INDEX(Produits!$E$5:$E$17,MATCH($C118,Produits!$A$5:$A$17,0)),"Produit ?"))</f>
        <v/>
      </c>
      <c r="F118" s="22">
        <f>IF($C118="","",IFERROR(INDEX(Produits!$D$5:$D$17,MATCH($C118,Produits!$A$5:$A$17,0)),"Produit ?"))</f>
        <v/>
      </c>
      <c r="G118" s="7">
        <f>IF(OR($C118="",$D118=""),"",IFERROR(D118*E118,""))</f>
        <v/>
      </c>
      <c r="H118" s="7">
        <f>IF(G118="","",D118*F118)</f>
        <v/>
      </c>
      <c r="I118" s="7">
        <f>IF(G118="","",G118-H118)</f>
        <v/>
      </c>
      <c r="J118" s="26">
        <f>IF(G118="","",IFERROR(I118/G118,0))</f>
        <v/>
      </c>
    </row>
    <row r="119">
      <c r="A119" s="27" t="n"/>
      <c r="B119" s="20" t="n"/>
      <c r="C119" s="20" t="n"/>
      <c r="D119" s="21" t="n"/>
      <c r="E119" s="22">
        <f>IF($C119="","",IFERROR(INDEX(Produits!$E$5:$E$17,MATCH($C119,Produits!$A$5:$A$17,0)),"Produit ?"))</f>
        <v/>
      </c>
      <c r="F119" s="22">
        <f>IF($C119="","",IFERROR(INDEX(Produits!$D$5:$D$17,MATCH($C119,Produits!$A$5:$A$17,0)),"Produit ?"))</f>
        <v/>
      </c>
      <c r="G119" s="7">
        <f>IF(OR($C119="",$D119=""),"",IFERROR(D119*E119,""))</f>
        <v/>
      </c>
      <c r="H119" s="7">
        <f>IF(G119="","",D119*F119)</f>
        <v/>
      </c>
      <c r="I119" s="7">
        <f>IF(G119="","",G119-H119)</f>
        <v/>
      </c>
      <c r="J119" s="26">
        <f>IF(G119="","",IFERROR(I119/G119,0))</f>
        <v/>
      </c>
    </row>
    <row r="120">
      <c r="A120" s="27" t="n"/>
      <c r="B120" s="20" t="n"/>
      <c r="C120" s="20" t="n"/>
      <c r="D120" s="21" t="n"/>
      <c r="E120" s="22">
        <f>IF($C120="","",IFERROR(INDEX(Produits!$E$5:$E$17,MATCH($C120,Produits!$A$5:$A$17,0)),"Produit ?"))</f>
        <v/>
      </c>
      <c r="F120" s="22">
        <f>IF($C120="","",IFERROR(INDEX(Produits!$D$5:$D$17,MATCH($C120,Produits!$A$5:$A$17,0)),"Produit ?"))</f>
        <v/>
      </c>
      <c r="G120" s="7">
        <f>IF(OR($C120="",$D120=""),"",IFERROR(D120*E120,""))</f>
        <v/>
      </c>
      <c r="H120" s="7">
        <f>IF(G120="","",D120*F120)</f>
        <v/>
      </c>
      <c r="I120" s="7">
        <f>IF(G120="","",G120-H120)</f>
        <v/>
      </c>
      <c r="J120" s="26">
        <f>IF(G120="","",IFERROR(I120/G120,0))</f>
        <v/>
      </c>
    </row>
    <row r="121">
      <c r="A121" s="27" t="n"/>
      <c r="B121" s="20" t="n"/>
      <c r="C121" s="20" t="n"/>
      <c r="D121" s="21" t="n"/>
      <c r="E121" s="22">
        <f>IF($C121="","",IFERROR(INDEX(Produits!$E$5:$E$17,MATCH($C121,Produits!$A$5:$A$17,0)),"Produit ?"))</f>
        <v/>
      </c>
      <c r="F121" s="22">
        <f>IF($C121="","",IFERROR(INDEX(Produits!$D$5:$D$17,MATCH($C121,Produits!$A$5:$A$17,0)),"Produit ?"))</f>
        <v/>
      </c>
      <c r="G121" s="7">
        <f>IF(OR($C121="",$D121=""),"",IFERROR(D121*E121,""))</f>
        <v/>
      </c>
      <c r="H121" s="7">
        <f>IF(G121="","",D121*F121)</f>
        <v/>
      </c>
      <c r="I121" s="7">
        <f>IF(G121="","",G121-H121)</f>
        <v/>
      </c>
      <c r="J121" s="26">
        <f>IF(G121="","",IFERROR(I121/G121,0))</f>
        <v/>
      </c>
    </row>
    <row r="122">
      <c r="A122" s="27" t="n"/>
      <c r="B122" s="20" t="n"/>
      <c r="C122" s="20" t="n"/>
      <c r="D122" s="21" t="n"/>
      <c r="E122" s="22">
        <f>IF($C122="","",IFERROR(INDEX(Produits!$E$5:$E$17,MATCH($C122,Produits!$A$5:$A$17,0)),"Produit ?"))</f>
        <v/>
      </c>
      <c r="F122" s="22">
        <f>IF($C122="","",IFERROR(INDEX(Produits!$D$5:$D$17,MATCH($C122,Produits!$A$5:$A$17,0)),"Produit ?"))</f>
        <v/>
      </c>
      <c r="G122" s="7">
        <f>IF(OR($C122="",$D122=""),"",IFERROR(D122*E122,""))</f>
        <v/>
      </c>
      <c r="H122" s="7">
        <f>IF(G122="","",D122*F122)</f>
        <v/>
      </c>
      <c r="I122" s="7">
        <f>IF(G122="","",G122-H122)</f>
        <v/>
      </c>
      <c r="J122" s="26">
        <f>IF(G122="","",IFERROR(I122/G122,0))</f>
        <v/>
      </c>
    </row>
    <row r="123">
      <c r="A123" s="27" t="n"/>
      <c r="B123" s="20" t="n"/>
      <c r="C123" s="20" t="n"/>
      <c r="D123" s="21" t="n"/>
      <c r="E123" s="22">
        <f>IF($C123="","",IFERROR(INDEX(Produits!$E$5:$E$17,MATCH($C123,Produits!$A$5:$A$17,0)),"Produit ?"))</f>
        <v/>
      </c>
      <c r="F123" s="22">
        <f>IF($C123="","",IFERROR(INDEX(Produits!$D$5:$D$17,MATCH($C123,Produits!$A$5:$A$17,0)),"Produit ?"))</f>
        <v/>
      </c>
      <c r="G123" s="7">
        <f>IF(OR($C123="",$D123=""),"",IFERROR(D123*E123,""))</f>
        <v/>
      </c>
      <c r="H123" s="7">
        <f>IF(G123="","",D123*F123)</f>
        <v/>
      </c>
      <c r="I123" s="7">
        <f>IF(G123="","",G123-H123)</f>
        <v/>
      </c>
      <c r="J123" s="26">
        <f>IF(G123="","",IFERROR(I123/G123,0))</f>
        <v/>
      </c>
    </row>
    <row r="124">
      <c r="A124" s="27" t="n"/>
      <c r="B124" s="20" t="n"/>
      <c r="C124" s="20" t="n"/>
      <c r="D124" s="21" t="n"/>
      <c r="E124" s="22">
        <f>IF($C124="","",IFERROR(INDEX(Produits!$E$5:$E$17,MATCH($C124,Produits!$A$5:$A$17,0)),"Produit ?"))</f>
        <v/>
      </c>
      <c r="F124" s="22">
        <f>IF($C124="","",IFERROR(INDEX(Produits!$D$5:$D$17,MATCH($C124,Produits!$A$5:$A$17,0)),"Produit ?"))</f>
        <v/>
      </c>
      <c r="G124" s="7">
        <f>IF(OR($C124="",$D124=""),"",IFERROR(D124*E124,""))</f>
        <v/>
      </c>
      <c r="H124" s="7">
        <f>IF(G124="","",D124*F124)</f>
        <v/>
      </c>
      <c r="I124" s="7">
        <f>IF(G124="","",G124-H124)</f>
        <v/>
      </c>
      <c r="J124" s="26">
        <f>IF(G124="","",IFERROR(I124/G124,0))</f>
        <v/>
      </c>
    </row>
    <row r="125">
      <c r="A125" s="27" t="n"/>
      <c r="B125" s="20" t="n"/>
      <c r="C125" s="20" t="n"/>
      <c r="D125" s="21" t="n"/>
      <c r="E125" s="22">
        <f>IF($C125="","",IFERROR(INDEX(Produits!$E$5:$E$17,MATCH($C125,Produits!$A$5:$A$17,0)),"Produit ?"))</f>
        <v/>
      </c>
      <c r="F125" s="22">
        <f>IF($C125="","",IFERROR(INDEX(Produits!$D$5:$D$17,MATCH($C125,Produits!$A$5:$A$17,0)),"Produit ?"))</f>
        <v/>
      </c>
      <c r="G125" s="7">
        <f>IF(OR($C125="",$D125=""),"",IFERROR(D125*E125,""))</f>
        <v/>
      </c>
      <c r="H125" s="7">
        <f>IF(G125="","",D125*F125)</f>
        <v/>
      </c>
      <c r="I125" s="7">
        <f>IF(G125="","",G125-H125)</f>
        <v/>
      </c>
      <c r="J125" s="26">
        <f>IF(G125="","",IFERROR(I125/G125,0))</f>
        <v/>
      </c>
    </row>
    <row r="126">
      <c r="A126" s="27" t="n"/>
      <c r="B126" s="20" t="n"/>
      <c r="C126" s="20" t="n"/>
      <c r="D126" s="21" t="n"/>
      <c r="E126" s="22">
        <f>IF($C126="","",IFERROR(INDEX(Produits!$E$5:$E$17,MATCH($C126,Produits!$A$5:$A$17,0)),"Produit ?"))</f>
        <v/>
      </c>
      <c r="F126" s="22">
        <f>IF($C126="","",IFERROR(INDEX(Produits!$D$5:$D$17,MATCH($C126,Produits!$A$5:$A$17,0)),"Produit ?"))</f>
        <v/>
      </c>
      <c r="G126" s="7">
        <f>IF(OR($C126="",$D126=""),"",IFERROR(D126*E126,""))</f>
        <v/>
      </c>
      <c r="H126" s="7">
        <f>IF(G126="","",D126*F126)</f>
        <v/>
      </c>
      <c r="I126" s="7">
        <f>IF(G126="","",G126-H126)</f>
        <v/>
      </c>
      <c r="J126" s="26">
        <f>IF(G126="","",IFERROR(I126/G126,0))</f>
        <v/>
      </c>
    </row>
    <row r="127">
      <c r="A127" s="27" t="n"/>
      <c r="B127" s="20" t="n"/>
      <c r="C127" s="20" t="n"/>
      <c r="D127" s="21" t="n"/>
      <c r="E127" s="22">
        <f>IF($C127="","",IFERROR(INDEX(Produits!$E$5:$E$17,MATCH($C127,Produits!$A$5:$A$17,0)),"Produit ?"))</f>
        <v/>
      </c>
      <c r="F127" s="22">
        <f>IF($C127="","",IFERROR(INDEX(Produits!$D$5:$D$17,MATCH($C127,Produits!$A$5:$A$17,0)),"Produit ?"))</f>
        <v/>
      </c>
      <c r="G127" s="7">
        <f>IF(OR($C127="",$D127=""),"",IFERROR(D127*E127,""))</f>
        <v/>
      </c>
      <c r="H127" s="7">
        <f>IF(G127="","",D127*F127)</f>
        <v/>
      </c>
      <c r="I127" s="7">
        <f>IF(G127="","",G127-H127)</f>
        <v/>
      </c>
      <c r="J127" s="26">
        <f>IF(G127="","",IFERROR(I127/G127,0))</f>
        <v/>
      </c>
    </row>
    <row r="128">
      <c r="A128" s="27" t="n"/>
      <c r="B128" s="20" t="n"/>
      <c r="C128" s="20" t="n"/>
      <c r="D128" s="21" t="n"/>
      <c r="E128" s="22">
        <f>IF($C128="","",IFERROR(INDEX(Produits!$E$5:$E$17,MATCH($C128,Produits!$A$5:$A$17,0)),"Produit ?"))</f>
        <v/>
      </c>
      <c r="F128" s="22">
        <f>IF($C128="","",IFERROR(INDEX(Produits!$D$5:$D$17,MATCH($C128,Produits!$A$5:$A$17,0)),"Produit ?"))</f>
        <v/>
      </c>
      <c r="G128" s="7">
        <f>IF(OR($C128="",$D128=""),"",IFERROR(D128*E128,""))</f>
        <v/>
      </c>
      <c r="H128" s="7">
        <f>IF(G128="","",D128*F128)</f>
        <v/>
      </c>
      <c r="I128" s="7">
        <f>IF(G128="","",G128-H128)</f>
        <v/>
      </c>
      <c r="J128" s="26">
        <f>IF(G128="","",IFERROR(I128/G128,0))</f>
        <v/>
      </c>
    </row>
    <row r="129">
      <c r="A129" s="27" t="n"/>
      <c r="B129" s="20" t="n"/>
      <c r="C129" s="20" t="n"/>
      <c r="D129" s="21" t="n"/>
      <c r="E129" s="22">
        <f>IF($C129="","",IFERROR(INDEX(Produits!$E$5:$E$17,MATCH($C129,Produits!$A$5:$A$17,0)),"Produit ?"))</f>
        <v/>
      </c>
      <c r="F129" s="22">
        <f>IF($C129="","",IFERROR(INDEX(Produits!$D$5:$D$17,MATCH($C129,Produits!$A$5:$A$17,0)),"Produit ?"))</f>
        <v/>
      </c>
      <c r="G129" s="7">
        <f>IF(OR($C129="",$D129=""),"",IFERROR(D129*E129,""))</f>
        <v/>
      </c>
      <c r="H129" s="7">
        <f>IF(G129="","",D129*F129)</f>
        <v/>
      </c>
      <c r="I129" s="7">
        <f>IF(G129="","",G129-H129)</f>
        <v/>
      </c>
      <c r="J129" s="26">
        <f>IF(G129="","",IFERROR(I129/G129,0))</f>
        <v/>
      </c>
    </row>
    <row r="130">
      <c r="A130" s="27" t="n"/>
      <c r="B130" s="20" t="n"/>
      <c r="C130" s="20" t="n"/>
      <c r="D130" s="21" t="n"/>
      <c r="E130" s="22">
        <f>IF($C130="","",IFERROR(INDEX(Produits!$E$5:$E$17,MATCH($C130,Produits!$A$5:$A$17,0)),"Produit ?"))</f>
        <v/>
      </c>
      <c r="F130" s="22">
        <f>IF($C130="","",IFERROR(INDEX(Produits!$D$5:$D$17,MATCH($C130,Produits!$A$5:$A$17,0)),"Produit ?"))</f>
        <v/>
      </c>
      <c r="G130" s="7">
        <f>IF(OR($C130="",$D130=""),"",IFERROR(D130*E130,""))</f>
        <v/>
      </c>
      <c r="H130" s="7">
        <f>IF(G130="","",D130*F130)</f>
        <v/>
      </c>
      <c r="I130" s="7">
        <f>IF(G130="","",G130-H130)</f>
        <v/>
      </c>
      <c r="J130" s="26">
        <f>IF(G130="","",IFERROR(I130/G130,0))</f>
        <v/>
      </c>
    </row>
    <row r="131">
      <c r="A131" s="27" t="n"/>
      <c r="B131" s="20" t="n"/>
      <c r="C131" s="20" t="n"/>
      <c r="D131" s="21" t="n"/>
      <c r="E131" s="22">
        <f>IF($C131="","",IFERROR(INDEX(Produits!$E$5:$E$17,MATCH($C131,Produits!$A$5:$A$17,0)),"Produit ?"))</f>
        <v/>
      </c>
      <c r="F131" s="22">
        <f>IF($C131="","",IFERROR(INDEX(Produits!$D$5:$D$17,MATCH($C131,Produits!$A$5:$A$17,0)),"Produit ?"))</f>
        <v/>
      </c>
      <c r="G131" s="7">
        <f>IF(OR($C131="",$D131=""),"",IFERROR(D131*E131,""))</f>
        <v/>
      </c>
      <c r="H131" s="7">
        <f>IF(G131="","",D131*F131)</f>
        <v/>
      </c>
      <c r="I131" s="7">
        <f>IF(G131="","",G131-H131)</f>
        <v/>
      </c>
      <c r="J131" s="26">
        <f>IF(G131="","",IFERROR(I131/G131,0))</f>
        <v/>
      </c>
    </row>
    <row r="132">
      <c r="A132" s="27" t="n"/>
      <c r="B132" s="20" t="n"/>
      <c r="C132" s="20" t="n"/>
      <c r="D132" s="21" t="n"/>
      <c r="E132" s="22">
        <f>IF($C132="","",IFERROR(INDEX(Produits!$E$5:$E$17,MATCH($C132,Produits!$A$5:$A$17,0)),"Produit ?"))</f>
        <v/>
      </c>
      <c r="F132" s="22">
        <f>IF($C132="","",IFERROR(INDEX(Produits!$D$5:$D$17,MATCH($C132,Produits!$A$5:$A$17,0)),"Produit ?"))</f>
        <v/>
      </c>
      <c r="G132" s="7">
        <f>IF(OR($C132="",$D132=""),"",IFERROR(D132*E132,""))</f>
        <v/>
      </c>
      <c r="H132" s="7">
        <f>IF(G132="","",D132*F132)</f>
        <v/>
      </c>
      <c r="I132" s="7">
        <f>IF(G132="","",G132-H132)</f>
        <v/>
      </c>
      <c r="J132" s="26">
        <f>IF(G132="","",IFERROR(I132/G132,0))</f>
        <v/>
      </c>
    </row>
    <row r="133">
      <c r="A133" s="27" t="n"/>
      <c r="B133" s="20" t="n"/>
      <c r="C133" s="20" t="n"/>
      <c r="D133" s="21" t="n"/>
      <c r="E133" s="22">
        <f>IF($C133="","",IFERROR(INDEX(Produits!$E$5:$E$17,MATCH($C133,Produits!$A$5:$A$17,0)),"Produit ?"))</f>
        <v/>
      </c>
      <c r="F133" s="22">
        <f>IF($C133="","",IFERROR(INDEX(Produits!$D$5:$D$17,MATCH($C133,Produits!$A$5:$A$17,0)),"Produit ?"))</f>
        <v/>
      </c>
      <c r="G133" s="7">
        <f>IF(OR($C133="",$D133=""),"",IFERROR(D133*E133,""))</f>
        <v/>
      </c>
      <c r="H133" s="7">
        <f>IF(G133="","",D133*F133)</f>
        <v/>
      </c>
      <c r="I133" s="7">
        <f>IF(G133="","",G133-H133)</f>
        <v/>
      </c>
      <c r="J133" s="26">
        <f>IF(G133="","",IFERROR(I133/G133,0))</f>
        <v/>
      </c>
    </row>
    <row r="134">
      <c r="A134" s="27" t="n"/>
      <c r="B134" s="20" t="n"/>
      <c r="C134" s="20" t="n"/>
      <c r="D134" s="21" t="n"/>
      <c r="E134" s="22">
        <f>IF($C134="","",IFERROR(INDEX(Produits!$E$5:$E$17,MATCH($C134,Produits!$A$5:$A$17,0)),"Produit ?"))</f>
        <v/>
      </c>
      <c r="F134" s="22">
        <f>IF($C134="","",IFERROR(INDEX(Produits!$D$5:$D$17,MATCH($C134,Produits!$A$5:$A$17,0)),"Produit ?"))</f>
        <v/>
      </c>
      <c r="G134" s="7">
        <f>IF(OR($C134="",$D134=""),"",IFERROR(D134*E134,""))</f>
        <v/>
      </c>
      <c r="H134" s="7">
        <f>IF(G134="","",D134*F134)</f>
        <v/>
      </c>
      <c r="I134" s="7">
        <f>IF(G134="","",G134-H134)</f>
        <v/>
      </c>
      <c r="J134" s="26">
        <f>IF(G134="","",IFERROR(I134/G134,0))</f>
        <v/>
      </c>
    </row>
    <row r="135">
      <c r="A135" s="27" t="n"/>
      <c r="B135" s="20" t="n"/>
      <c r="C135" s="20" t="n"/>
      <c r="D135" s="21" t="n"/>
      <c r="E135" s="22">
        <f>IF($C135="","",IFERROR(INDEX(Produits!$E$5:$E$17,MATCH($C135,Produits!$A$5:$A$17,0)),"Produit ?"))</f>
        <v/>
      </c>
      <c r="F135" s="22">
        <f>IF($C135="","",IFERROR(INDEX(Produits!$D$5:$D$17,MATCH($C135,Produits!$A$5:$A$17,0)),"Produit ?"))</f>
        <v/>
      </c>
      <c r="G135" s="7">
        <f>IF(OR($C135="",$D135=""),"",IFERROR(D135*E135,""))</f>
        <v/>
      </c>
      <c r="H135" s="7">
        <f>IF(G135="","",D135*F135)</f>
        <v/>
      </c>
      <c r="I135" s="7">
        <f>IF(G135="","",G135-H135)</f>
        <v/>
      </c>
      <c r="J135" s="26">
        <f>IF(G135="","",IFERROR(I135/G135,0))</f>
        <v/>
      </c>
    </row>
    <row r="136">
      <c r="A136" s="27" t="n"/>
      <c r="B136" s="20" t="n"/>
      <c r="C136" s="20" t="n"/>
      <c r="D136" s="21" t="n"/>
      <c r="E136" s="22">
        <f>IF($C136="","",IFERROR(INDEX(Produits!$E$5:$E$17,MATCH($C136,Produits!$A$5:$A$17,0)),"Produit ?"))</f>
        <v/>
      </c>
      <c r="F136" s="22">
        <f>IF($C136="","",IFERROR(INDEX(Produits!$D$5:$D$17,MATCH($C136,Produits!$A$5:$A$17,0)),"Produit ?"))</f>
        <v/>
      </c>
      <c r="G136" s="7">
        <f>IF(OR($C136="",$D136=""),"",IFERROR(D136*E136,""))</f>
        <v/>
      </c>
      <c r="H136" s="7">
        <f>IF(G136="","",D136*F136)</f>
        <v/>
      </c>
      <c r="I136" s="7">
        <f>IF(G136="","",G136-H136)</f>
        <v/>
      </c>
      <c r="J136" s="26">
        <f>IF(G136="","",IFERROR(I136/G136,0))</f>
        <v/>
      </c>
    </row>
    <row r="137">
      <c r="A137" s="27" t="n"/>
      <c r="B137" s="20" t="n"/>
      <c r="C137" s="20" t="n"/>
      <c r="D137" s="21" t="n"/>
      <c r="E137" s="22">
        <f>IF($C137="","",IFERROR(INDEX(Produits!$E$5:$E$17,MATCH($C137,Produits!$A$5:$A$17,0)),"Produit ?"))</f>
        <v/>
      </c>
      <c r="F137" s="22">
        <f>IF($C137="","",IFERROR(INDEX(Produits!$D$5:$D$17,MATCH($C137,Produits!$A$5:$A$17,0)),"Produit ?"))</f>
        <v/>
      </c>
      <c r="G137" s="7">
        <f>IF(OR($C137="",$D137=""),"",IFERROR(D137*E137,""))</f>
        <v/>
      </c>
      <c r="H137" s="7">
        <f>IF(G137="","",D137*F137)</f>
        <v/>
      </c>
      <c r="I137" s="7">
        <f>IF(G137="","",G137-H137)</f>
        <v/>
      </c>
      <c r="J137" s="26">
        <f>IF(G137="","",IFERROR(I137/G137,0))</f>
        <v/>
      </c>
    </row>
    <row r="138">
      <c r="A138" s="27" t="n"/>
      <c r="B138" s="20" t="n"/>
      <c r="C138" s="20" t="n"/>
      <c r="D138" s="21" t="n"/>
      <c r="E138" s="22">
        <f>IF($C138="","",IFERROR(INDEX(Produits!$E$5:$E$17,MATCH($C138,Produits!$A$5:$A$17,0)),"Produit ?"))</f>
        <v/>
      </c>
      <c r="F138" s="22">
        <f>IF($C138="","",IFERROR(INDEX(Produits!$D$5:$D$17,MATCH($C138,Produits!$A$5:$A$17,0)),"Produit ?"))</f>
        <v/>
      </c>
      <c r="G138" s="7">
        <f>IF(OR($C138="",$D138=""),"",IFERROR(D138*E138,""))</f>
        <v/>
      </c>
      <c r="H138" s="7">
        <f>IF(G138="","",D138*F138)</f>
        <v/>
      </c>
      <c r="I138" s="7">
        <f>IF(G138="","",G138-H138)</f>
        <v/>
      </c>
      <c r="J138" s="26">
        <f>IF(G138="","",IFERROR(I138/G138,0))</f>
        <v/>
      </c>
    </row>
    <row r="139">
      <c r="A139" s="27" t="n"/>
      <c r="B139" s="20" t="n"/>
      <c r="C139" s="20" t="n"/>
      <c r="D139" s="21" t="n"/>
      <c r="E139" s="22">
        <f>IF($C139="","",IFERROR(INDEX(Produits!$E$5:$E$17,MATCH($C139,Produits!$A$5:$A$17,0)),"Produit ?"))</f>
        <v/>
      </c>
      <c r="F139" s="22">
        <f>IF($C139="","",IFERROR(INDEX(Produits!$D$5:$D$17,MATCH($C139,Produits!$A$5:$A$17,0)),"Produit ?"))</f>
        <v/>
      </c>
      <c r="G139" s="7">
        <f>IF(OR($C139="",$D139=""),"",IFERROR(D139*E139,""))</f>
        <v/>
      </c>
      <c r="H139" s="7">
        <f>IF(G139="","",D139*F139)</f>
        <v/>
      </c>
      <c r="I139" s="7">
        <f>IF(G139="","",G139-H139)</f>
        <v/>
      </c>
      <c r="J139" s="26">
        <f>IF(G139="","",IFERROR(I139/G139,0))</f>
        <v/>
      </c>
    </row>
    <row r="140">
      <c r="A140" s="27" t="n"/>
      <c r="B140" s="20" t="n"/>
      <c r="C140" s="20" t="n"/>
      <c r="D140" s="21" t="n"/>
      <c r="E140" s="22">
        <f>IF($C140="","",IFERROR(INDEX(Produits!$E$5:$E$17,MATCH($C140,Produits!$A$5:$A$17,0)),"Produit ?"))</f>
        <v/>
      </c>
      <c r="F140" s="22">
        <f>IF($C140="","",IFERROR(INDEX(Produits!$D$5:$D$17,MATCH($C140,Produits!$A$5:$A$17,0)),"Produit ?"))</f>
        <v/>
      </c>
      <c r="G140" s="7">
        <f>IF(OR($C140="",$D140=""),"",IFERROR(D140*E140,""))</f>
        <v/>
      </c>
      <c r="H140" s="7">
        <f>IF(G140="","",D140*F140)</f>
        <v/>
      </c>
      <c r="I140" s="7">
        <f>IF(G140="","",G140-H140)</f>
        <v/>
      </c>
      <c r="J140" s="26">
        <f>IF(G140="","",IFERROR(I140/G140,0))</f>
        <v/>
      </c>
    </row>
    <row r="141">
      <c r="A141" s="27" t="n"/>
      <c r="B141" s="20" t="n"/>
      <c r="C141" s="20" t="n"/>
      <c r="D141" s="21" t="n"/>
      <c r="E141" s="22">
        <f>IF($C141="","",IFERROR(INDEX(Produits!$E$5:$E$17,MATCH($C141,Produits!$A$5:$A$17,0)),"Produit ?"))</f>
        <v/>
      </c>
      <c r="F141" s="22">
        <f>IF($C141="","",IFERROR(INDEX(Produits!$D$5:$D$17,MATCH($C141,Produits!$A$5:$A$17,0)),"Produit ?"))</f>
        <v/>
      </c>
      <c r="G141" s="7">
        <f>IF(OR($C141="",$D141=""),"",IFERROR(D141*E141,""))</f>
        <v/>
      </c>
      <c r="H141" s="7">
        <f>IF(G141="","",D141*F141)</f>
        <v/>
      </c>
      <c r="I141" s="7">
        <f>IF(G141="","",G141-H141)</f>
        <v/>
      </c>
      <c r="J141" s="26">
        <f>IF(G141="","",IFERROR(I141/G141,0))</f>
        <v/>
      </c>
    </row>
    <row r="142">
      <c r="A142" s="27" t="n"/>
      <c r="B142" s="20" t="n"/>
      <c r="C142" s="20" t="n"/>
      <c r="D142" s="21" t="n"/>
      <c r="E142" s="22">
        <f>IF($C142="","",IFERROR(INDEX(Produits!$E$5:$E$17,MATCH($C142,Produits!$A$5:$A$17,0)),"Produit ?"))</f>
        <v/>
      </c>
      <c r="F142" s="22">
        <f>IF($C142="","",IFERROR(INDEX(Produits!$D$5:$D$17,MATCH($C142,Produits!$A$5:$A$17,0)),"Produit ?"))</f>
        <v/>
      </c>
      <c r="G142" s="7">
        <f>IF(OR($C142="",$D142=""),"",IFERROR(D142*E142,""))</f>
        <v/>
      </c>
      <c r="H142" s="7">
        <f>IF(G142="","",D142*F142)</f>
        <v/>
      </c>
      <c r="I142" s="7">
        <f>IF(G142="","",G142-H142)</f>
        <v/>
      </c>
      <c r="J142" s="26">
        <f>IF(G142="","",IFERROR(I142/G142,0))</f>
        <v/>
      </c>
    </row>
    <row r="143">
      <c r="A143" s="27" t="n"/>
      <c r="B143" s="20" t="n"/>
      <c r="C143" s="20" t="n"/>
      <c r="D143" s="21" t="n"/>
      <c r="E143" s="22">
        <f>IF($C143="","",IFERROR(INDEX(Produits!$E$5:$E$17,MATCH($C143,Produits!$A$5:$A$17,0)),"Produit ?"))</f>
        <v/>
      </c>
      <c r="F143" s="22">
        <f>IF($C143="","",IFERROR(INDEX(Produits!$D$5:$D$17,MATCH($C143,Produits!$A$5:$A$17,0)),"Produit ?"))</f>
        <v/>
      </c>
      <c r="G143" s="7">
        <f>IF(OR($C143="",$D143=""),"",IFERROR(D143*E143,""))</f>
        <v/>
      </c>
      <c r="H143" s="7">
        <f>IF(G143="","",D143*F143)</f>
        <v/>
      </c>
      <c r="I143" s="7">
        <f>IF(G143="","",G143-H143)</f>
        <v/>
      </c>
      <c r="J143" s="26">
        <f>IF(G143="","",IFERROR(I143/G143,0))</f>
        <v/>
      </c>
    </row>
    <row r="144">
      <c r="A144" s="27" t="n"/>
      <c r="B144" s="20" t="n"/>
      <c r="C144" s="20" t="n"/>
      <c r="D144" s="21" t="n"/>
      <c r="E144" s="22">
        <f>IF($C144="","",IFERROR(INDEX(Produits!$E$5:$E$17,MATCH($C144,Produits!$A$5:$A$17,0)),"Produit ?"))</f>
        <v/>
      </c>
      <c r="F144" s="22">
        <f>IF($C144="","",IFERROR(INDEX(Produits!$D$5:$D$17,MATCH($C144,Produits!$A$5:$A$17,0)),"Produit ?"))</f>
        <v/>
      </c>
      <c r="G144" s="7">
        <f>IF(OR($C144="",$D144=""),"",IFERROR(D144*E144,""))</f>
        <v/>
      </c>
      <c r="H144" s="7">
        <f>IF(G144="","",D144*F144)</f>
        <v/>
      </c>
      <c r="I144" s="7">
        <f>IF(G144="","",G144-H144)</f>
        <v/>
      </c>
      <c r="J144" s="26">
        <f>IF(G144="","",IFERROR(I144/G144,0))</f>
        <v/>
      </c>
    </row>
    <row r="145">
      <c r="A145" s="27" t="n"/>
      <c r="B145" s="20" t="n"/>
      <c r="C145" s="20" t="n"/>
      <c r="D145" s="21" t="n"/>
      <c r="E145" s="22">
        <f>IF($C145="","",IFERROR(INDEX(Produits!$E$5:$E$17,MATCH($C145,Produits!$A$5:$A$17,0)),"Produit ?"))</f>
        <v/>
      </c>
      <c r="F145" s="22">
        <f>IF($C145="","",IFERROR(INDEX(Produits!$D$5:$D$17,MATCH($C145,Produits!$A$5:$A$17,0)),"Produit ?"))</f>
        <v/>
      </c>
      <c r="G145" s="7">
        <f>IF(OR($C145="",$D145=""),"",IFERROR(D145*E145,""))</f>
        <v/>
      </c>
      <c r="H145" s="7">
        <f>IF(G145="","",D145*F145)</f>
        <v/>
      </c>
      <c r="I145" s="7">
        <f>IF(G145="","",G145-H145)</f>
        <v/>
      </c>
      <c r="J145" s="26">
        <f>IF(G145="","",IFERROR(I145/G145,0))</f>
        <v/>
      </c>
    </row>
    <row r="146">
      <c r="A146" s="27" t="n"/>
      <c r="B146" s="20" t="n"/>
      <c r="C146" s="20" t="n"/>
      <c r="D146" s="21" t="n"/>
      <c r="E146" s="22">
        <f>IF($C146="","",IFERROR(INDEX(Produits!$E$5:$E$17,MATCH($C146,Produits!$A$5:$A$17,0)),"Produit ?"))</f>
        <v/>
      </c>
      <c r="F146" s="22">
        <f>IF($C146="","",IFERROR(INDEX(Produits!$D$5:$D$17,MATCH($C146,Produits!$A$5:$A$17,0)),"Produit ?"))</f>
        <v/>
      </c>
      <c r="G146" s="7">
        <f>IF(OR($C146="",$D146=""),"",IFERROR(D146*E146,""))</f>
        <v/>
      </c>
      <c r="H146" s="7">
        <f>IF(G146="","",D146*F146)</f>
        <v/>
      </c>
      <c r="I146" s="7">
        <f>IF(G146="","",G146-H146)</f>
        <v/>
      </c>
      <c r="J146" s="26">
        <f>IF(G146="","",IFERROR(I146/G146,0))</f>
        <v/>
      </c>
    </row>
    <row r="147">
      <c r="A147" s="27" t="n"/>
      <c r="B147" s="20" t="n"/>
      <c r="C147" s="20" t="n"/>
      <c r="D147" s="21" t="n"/>
      <c r="E147" s="22">
        <f>IF($C147="","",IFERROR(INDEX(Produits!$E$5:$E$17,MATCH($C147,Produits!$A$5:$A$17,0)),"Produit ?"))</f>
        <v/>
      </c>
      <c r="F147" s="22">
        <f>IF($C147="","",IFERROR(INDEX(Produits!$D$5:$D$17,MATCH($C147,Produits!$A$5:$A$17,0)),"Produit ?"))</f>
        <v/>
      </c>
      <c r="G147" s="7">
        <f>IF(OR($C147="",$D147=""),"",IFERROR(D147*E147,""))</f>
        <v/>
      </c>
      <c r="H147" s="7">
        <f>IF(G147="","",D147*F147)</f>
        <v/>
      </c>
      <c r="I147" s="7">
        <f>IF(G147="","",G147-H147)</f>
        <v/>
      </c>
      <c r="J147" s="26">
        <f>IF(G147="","",IFERROR(I147/G147,0))</f>
        <v/>
      </c>
    </row>
    <row r="148">
      <c r="A148" s="27" t="n"/>
      <c r="B148" s="20" t="n"/>
      <c r="C148" s="20" t="n"/>
      <c r="D148" s="21" t="n"/>
      <c r="E148" s="22">
        <f>IF($C148="","",IFERROR(INDEX(Produits!$E$5:$E$17,MATCH($C148,Produits!$A$5:$A$17,0)),"Produit ?"))</f>
        <v/>
      </c>
      <c r="F148" s="22">
        <f>IF($C148="","",IFERROR(INDEX(Produits!$D$5:$D$17,MATCH($C148,Produits!$A$5:$A$17,0)),"Produit ?"))</f>
        <v/>
      </c>
      <c r="G148" s="7">
        <f>IF(OR($C148="",$D148=""),"",IFERROR(D148*E148,""))</f>
        <v/>
      </c>
      <c r="H148" s="7">
        <f>IF(G148="","",D148*F148)</f>
        <v/>
      </c>
      <c r="I148" s="7">
        <f>IF(G148="","",G148-H148)</f>
        <v/>
      </c>
      <c r="J148" s="26">
        <f>IF(G148="","",IFERROR(I148/G148,0))</f>
        <v/>
      </c>
    </row>
    <row r="149">
      <c r="A149" s="27" t="n"/>
      <c r="B149" s="20" t="n"/>
      <c r="C149" s="20" t="n"/>
      <c r="D149" s="21" t="n"/>
      <c r="E149" s="22">
        <f>IF($C149="","",IFERROR(INDEX(Produits!$E$5:$E$17,MATCH($C149,Produits!$A$5:$A$17,0)),"Produit ?"))</f>
        <v/>
      </c>
      <c r="F149" s="22">
        <f>IF($C149="","",IFERROR(INDEX(Produits!$D$5:$D$17,MATCH($C149,Produits!$A$5:$A$17,0)),"Produit ?"))</f>
        <v/>
      </c>
      <c r="G149" s="7">
        <f>IF(OR($C149="",$D149=""),"",IFERROR(D149*E149,""))</f>
        <v/>
      </c>
      <c r="H149" s="7">
        <f>IF(G149="","",D149*F149)</f>
        <v/>
      </c>
      <c r="I149" s="7">
        <f>IF(G149="","",G149-H149)</f>
        <v/>
      </c>
      <c r="J149" s="26">
        <f>IF(G149="","",IFERROR(I149/G149,0))</f>
        <v/>
      </c>
    </row>
    <row r="150">
      <c r="A150" s="27" t="n"/>
      <c r="B150" s="20" t="n"/>
      <c r="C150" s="20" t="n"/>
      <c r="D150" s="21" t="n"/>
      <c r="E150" s="22">
        <f>IF($C150="","",IFERROR(INDEX(Produits!$E$5:$E$17,MATCH($C150,Produits!$A$5:$A$17,0)),"Produit ?"))</f>
        <v/>
      </c>
      <c r="F150" s="22">
        <f>IF($C150="","",IFERROR(INDEX(Produits!$D$5:$D$17,MATCH($C150,Produits!$A$5:$A$17,0)),"Produit ?"))</f>
        <v/>
      </c>
      <c r="G150" s="7">
        <f>IF(OR($C150="",$D150=""),"",IFERROR(D150*E150,""))</f>
        <v/>
      </c>
      <c r="H150" s="7">
        <f>IF(G150="","",D150*F150)</f>
        <v/>
      </c>
      <c r="I150" s="7">
        <f>IF(G150="","",G150-H150)</f>
        <v/>
      </c>
      <c r="J150" s="26">
        <f>IF(G150="","",IFERROR(I150/G150,0))</f>
        <v/>
      </c>
    </row>
    <row r="151">
      <c r="A151" s="27" t="n"/>
      <c r="B151" s="20" t="n"/>
      <c r="C151" s="20" t="n"/>
      <c r="D151" s="21" t="n"/>
      <c r="E151" s="22">
        <f>IF($C151="","",IFERROR(INDEX(Produits!$E$5:$E$17,MATCH($C151,Produits!$A$5:$A$17,0)),"Produit ?"))</f>
        <v/>
      </c>
      <c r="F151" s="22">
        <f>IF($C151="","",IFERROR(INDEX(Produits!$D$5:$D$17,MATCH($C151,Produits!$A$5:$A$17,0)),"Produit ?"))</f>
        <v/>
      </c>
      <c r="G151" s="7">
        <f>IF(OR($C151="",$D151=""),"",IFERROR(D151*E151,""))</f>
        <v/>
      </c>
      <c r="H151" s="7">
        <f>IF(G151="","",D151*F151)</f>
        <v/>
      </c>
      <c r="I151" s="7">
        <f>IF(G151="","",G151-H151)</f>
        <v/>
      </c>
      <c r="J151" s="26">
        <f>IF(G151="","",IFERROR(I151/G151,0))</f>
        <v/>
      </c>
    </row>
    <row r="152">
      <c r="A152" s="27" t="n"/>
      <c r="B152" s="20" t="n"/>
      <c r="C152" s="20" t="n"/>
      <c r="D152" s="21" t="n"/>
      <c r="E152" s="22">
        <f>IF($C152="","",IFERROR(INDEX(Produits!$E$5:$E$17,MATCH($C152,Produits!$A$5:$A$17,0)),"Produit ?"))</f>
        <v/>
      </c>
      <c r="F152" s="22">
        <f>IF($C152="","",IFERROR(INDEX(Produits!$D$5:$D$17,MATCH($C152,Produits!$A$5:$A$17,0)),"Produit ?"))</f>
        <v/>
      </c>
      <c r="G152" s="7">
        <f>IF(OR($C152="",$D152=""),"",IFERROR(D152*E152,""))</f>
        <v/>
      </c>
      <c r="H152" s="7">
        <f>IF(G152="","",D152*F152)</f>
        <v/>
      </c>
      <c r="I152" s="7">
        <f>IF(G152="","",G152-H152)</f>
        <v/>
      </c>
      <c r="J152" s="26">
        <f>IF(G152="","",IFERROR(I152/G152,0))</f>
        <v/>
      </c>
    </row>
    <row r="153">
      <c r="A153" s="27" t="n"/>
      <c r="B153" s="20" t="n"/>
      <c r="C153" s="20" t="n"/>
      <c r="D153" s="21" t="n"/>
      <c r="E153" s="22">
        <f>IF($C153="","",IFERROR(INDEX(Produits!$E$5:$E$17,MATCH($C153,Produits!$A$5:$A$17,0)),"Produit ?"))</f>
        <v/>
      </c>
      <c r="F153" s="22">
        <f>IF($C153="","",IFERROR(INDEX(Produits!$D$5:$D$17,MATCH($C153,Produits!$A$5:$A$17,0)),"Produit ?"))</f>
        <v/>
      </c>
      <c r="G153" s="7">
        <f>IF(OR($C153="",$D153=""),"",IFERROR(D153*E153,""))</f>
        <v/>
      </c>
      <c r="H153" s="7">
        <f>IF(G153="","",D153*F153)</f>
        <v/>
      </c>
      <c r="I153" s="7">
        <f>IF(G153="","",G153-H153)</f>
        <v/>
      </c>
      <c r="J153" s="26">
        <f>IF(G153="","",IFERROR(I153/G153,0))</f>
        <v/>
      </c>
    </row>
    <row r="154">
      <c r="A154" s="27" t="n"/>
      <c r="B154" s="20" t="n"/>
      <c r="C154" s="20" t="n"/>
      <c r="D154" s="21" t="n"/>
      <c r="E154" s="22">
        <f>IF($C154="","",IFERROR(INDEX(Produits!$E$5:$E$17,MATCH($C154,Produits!$A$5:$A$17,0)),"Produit ?"))</f>
        <v/>
      </c>
      <c r="F154" s="22">
        <f>IF($C154="","",IFERROR(INDEX(Produits!$D$5:$D$17,MATCH($C154,Produits!$A$5:$A$17,0)),"Produit ?"))</f>
        <v/>
      </c>
      <c r="G154" s="7">
        <f>IF(OR($C154="",$D154=""),"",IFERROR(D154*E154,""))</f>
        <v/>
      </c>
      <c r="H154" s="7">
        <f>IF(G154="","",D154*F154)</f>
        <v/>
      </c>
      <c r="I154" s="7">
        <f>IF(G154="","",G154-H154)</f>
        <v/>
      </c>
      <c r="J154" s="26">
        <f>IF(G154="","",IFERROR(I154/G154,0))</f>
        <v/>
      </c>
    </row>
    <row r="155">
      <c r="A155" s="27" t="n"/>
      <c r="B155" s="20" t="n"/>
      <c r="C155" s="20" t="n"/>
      <c r="D155" s="21" t="n"/>
      <c r="E155" s="22">
        <f>IF($C155="","",IFERROR(INDEX(Produits!$E$5:$E$17,MATCH($C155,Produits!$A$5:$A$17,0)),"Produit ?"))</f>
        <v/>
      </c>
      <c r="F155" s="22">
        <f>IF($C155="","",IFERROR(INDEX(Produits!$D$5:$D$17,MATCH($C155,Produits!$A$5:$A$17,0)),"Produit ?"))</f>
        <v/>
      </c>
      <c r="G155" s="7">
        <f>IF(OR($C155="",$D155=""),"",IFERROR(D155*E155,""))</f>
        <v/>
      </c>
      <c r="H155" s="7">
        <f>IF(G155="","",D155*F155)</f>
        <v/>
      </c>
      <c r="I155" s="7">
        <f>IF(G155="","",G155-H155)</f>
        <v/>
      </c>
      <c r="J155" s="26">
        <f>IF(G155="","",IFERROR(I155/G155,0))</f>
        <v/>
      </c>
    </row>
    <row r="156">
      <c r="A156" s="27" t="n"/>
      <c r="B156" s="20" t="n"/>
      <c r="C156" s="20" t="n"/>
      <c r="D156" s="21" t="n"/>
      <c r="E156" s="22">
        <f>IF($C156="","",IFERROR(INDEX(Produits!$E$5:$E$17,MATCH($C156,Produits!$A$5:$A$17,0)),"Produit ?"))</f>
        <v/>
      </c>
      <c r="F156" s="22">
        <f>IF($C156="","",IFERROR(INDEX(Produits!$D$5:$D$17,MATCH($C156,Produits!$A$5:$A$17,0)),"Produit ?"))</f>
        <v/>
      </c>
      <c r="G156" s="7">
        <f>IF(OR($C156="",$D156=""),"",IFERROR(D156*E156,""))</f>
        <v/>
      </c>
      <c r="H156" s="7">
        <f>IF(G156="","",D156*F156)</f>
        <v/>
      </c>
      <c r="I156" s="7">
        <f>IF(G156="","",G156-H156)</f>
        <v/>
      </c>
      <c r="J156" s="26">
        <f>IF(G156="","",IFERROR(I156/G156,0))</f>
        <v/>
      </c>
    </row>
    <row r="157">
      <c r="A157" s="27" t="n"/>
      <c r="B157" s="20" t="n"/>
      <c r="C157" s="20" t="n"/>
      <c r="D157" s="21" t="n"/>
      <c r="E157" s="22">
        <f>IF($C157="","",IFERROR(INDEX(Produits!$E$5:$E$17,MATCH($C157,Produits!$A$5:$A$17,0)),"Produit ?"))</f>
        <v/>
      </c>
      <c r="F157" s="22">
        <f>IF($C157="","",IFERROR(INDEX(Produits!$D$5:$D$17,MATCH($C157,Produits!$A$5:$A$17,0)),"Produit ?"))</f>
        <v/>
      </c>
      <c r="G157" s="7">
        <f>IF(OR($C157="",$D157=""),"",IFERROR(D157*E157,""))</f>
        <v/>
      </c>
      <c r="H157" s="7">
        <f>IF(G157="","",D157*F157)</f>
        <v/>
      </c>
      <c r="I157" s="7">
        <f>IF(G157="","",G157-H157)</f>
        <v/>
      </c>
      <c r="J157" s="26">
        <f>IF(G157="","",IFERROR(I157/G157,0))</f>
        <v/>
      </c>
    </row>
    <row r="158">
      <c r="A158" s="27" t="n"/>
      <c r="B158" s="20" t="n"/>
      <c r="C158" s="20" t="n"/>
      <c r="D158" s="21" t="n"/>
      <c r="E158" s="22">
        <f>IF($C158="","",IFERROR(INDEX(Produits!$E$5:$E$17,MATCH($C158,Produits!$A$5:$A$17,0)),"Produit ?"))</f>
        <v/>
      </c>
      <c r="F158" s="22">
        <f>IF($C158="","",IFERROR(INDEX(Produits!$D$5:$D$17,MATCH($C158,Produits!$A$5:$A$17,0)),"Produit ?"))</f>
        <v/>
      </c>
      <c r="G158" s="7">
        <f>IF(OR($C158="",$D158=""),"",IFERROR(D158*E158,""))</f>
        <v/>
      </c>
      <c r="H158" s="7">
        <f>IF(G158="","",D158*F158)</f>
        <v/>
      </c>
      <c r="I158" s="7">
        <f>IF(G158="","",G158-H158)</f>
        <v/>
      </c>
      <c r="J158" s="26">
        <f>IF(G158="","",IFERROR(I158/G158,0))</f>
        <v/>
      </c>
    </row>
    <row r="159">
      <c r="A159" s="27" t="n"/>
      <c r="B159" s="20" t="n"/>
      <c r="C159" s="20" t="n"/>
      <c r="D159" s="21" t="n"/>
      <c r="E159" s="22">
        <f>IF($C159="","",IFERROR(INDEX(Produits!$E$5:$E$17,MATCH($C159,Produits!$A$5:$A$17,0)),"Produit ?"))</f>
        <v/>
      </c>
      <c r="F159" s="22">
        <f>IF($C159="","",IFERROR(INDEX(Produits!$D$5:$D$17,MATCH($C159,Produits!$A$5:$A$17,0)),"Produit ?"))</f>
        <v/>
      </c>
      <c r="G159" s="7">
        <f>IF(OR($C159="",$D159=""),"",IFERROR(D159*E159,""))</f>
        <v/>
      </c>
      <c r="H159" s="7">
        <f>IF(G159="","",D159*F159)</f>
        <v/>
      </c>
      <c r="I159" s="7">
        <f>IF(G159="","",G159-H159)</f>
        <v/>
      </c>
      <c r="J159" s="26">
        <f>IF(G159="","",IFERROR(I159/G159,0))</f>
        <v/>
      </c>
    </row>
    <row r="160">
      <c r="A160" s="27" t="n"/>
      <c r="B160" s="20" t="n"/>
      <c r="C160" s="20" t="n"/>
      <c r="D160" s="21" t="n"/>
      <c r="E160" s="22">
        <f>IF($C160="","",IFERROR(INDEX(Produits!$E$5:$E$17,MATCH($C160,Produits!$A$5:$A$17,0)),"Produit ?"))</f>
        <v/>
      </c>
      <c r="F160" s="22">
        <f>IF($C160="","",IFERROR(INDEX(Produits!$D$5:$D$17,MATCH($C160,Produits!$A$5:$A$17,0)),"Produit ?"))</f>
        <v/>
      </c>
      <c r="G160" s="7">
        <f>IF(OR($C160="",$D160=""),"",IFERROR(D160*E160,""))</f>
        <v/>
      </c>
      <c r="H160" s="7">
        <f>IF(G160="","",D160*F160)</f>
        <v/>
      </c>
      <c r="I160" s="7">
        <f>IF(G160="","",G160-H160)</f>
        <v/>
      </c>
      <c r="J160" s="26">
        <f>IF(G160="","",IFERROR(I160/G160,0))</f>
        <v/>
      </c>
    </row>
    <row r="161">
      <c r="A161" s="27" t="n"/>
      <c r="B161" s="20" t="n"/>
      <c r="C161" s="20" t="n"/>
      <c r="D161" s="21" t="n"/>
      <c r="E161" s="22">
        <f>IF($C161="","",IFERROR(INDEX(Produits!$E$5:$E$17,MATCH($C161,Produits!$A$5:$A$17,0)),"Produit ?"))</f>
        <v/>
      </c>
      <c r="F161" s="22">
        <f>IF($C161="","",IFERROR(INDEX(Produits!$D$5:$D$17,MATCH($C161,Produits!$A$5:$A$17,0)),"Produit ?"))</f>
        <v/>
      </c>
      <c r="G161" s="7">
        <f>IF(OR($C161="",$D161=""),"",IFERROR(D161*E161,""))</f>
        <v/>
      </c>
      <c r="H161" s="7">
        <f>IF(G161="","",D161*F161)</f>
        <v/>
      </c>
      <c r="I161" s="7">
        <f>IF(G161="","",G161-H161)</f>
        <v/>
      </c>
      <c r="J161" s="26">
        <f>IF(G161="","",IFERROR(I161/G161,0))</f>
        <v/>
      </c>
    </row>
    <row r="162">
      <c r="A162" s="27" t="n"/>
      <c r="B162" s="20" t="n"/>
      <c r="C162" s="20" t="n"/>
      <c r="D162" s="21" t="n"/>
      <c r="E162" s="22">
        <f>IF($C162="","",IFERROR(INDEX(Produits!$E$5:$E$17,MATCH($C162,Produits!$A$5:$A$17,0)),"Produit ?"))</f>
        <v/>
      </c>
      <c r="F162" s="22">
        <f>IF($C162="","",IFERROR(INDEX(Produits!$D$5:$D$17,MATCH($C162,Produits!$A$5:$A$17,0)),"Produit ?"))</f>
        <v/>
      </c>
      <c r="G162" s="7">
        <f>IF(OR($C162="",$D162=""),"",IFERROR(D162*E162,""))</f>
        <v/>
      </c>
      <c r="H162" s="7">
        <f>IF(G162="","",D162*F162)</f>
        <v/>
      </c>
      <c r="I162" s="7">
        <f>IF(G162="","",G162-H162)</f>
        <v/>
      </c>
      <c r="J162" s="26">
        <f>IF(G162="","",IFERROR(I162/G162,0))</f>
        <v/>
      </c>
    </row>
    <row r="163">
      <c r="A163" s="27" t="n"/>
      <c r="B163" s="20" t="n"/>
      <c r="C163" s="20" t="n"/>
      <c r="D163" s="21" t="n"/>
      <c r="E163" s="22">
        <f>IF($C163="","",IFERROR(INDEX(Produits!$E$5:$E$17,MATCH($C163,Produits!$A$5:$A$17,0)),"Produit ?"))</f>
        <v/>
      </c>
      <c r="F163" s="22">
        <f>IF($C163="","",IFERROR(INDEX(Produits!$D$5:$D$17,MATCH($C163,Produits!$A$5:$A$17,0)),"Produit ?"))</f>
        <v/>
      </c>
      <c r="G163" s="7">
        <f>IF(OR($C163="",$D163=""),"",IFERROR(D163*E163,""))</f>
        <v/>
      </c>
      <c r="H163" s="7">
        <f>IF(G163="","",D163*F163)</f>
        <v/>
      </c>
      <c r="I163" s="7">
        <f>IF(G163="","",G163-H163)</f>
        <v/>
      </c>
      <c r="J163" s="26">
        <f>IF(G163="","",IFERROR(I163/G163,0))</f>
        <v/>
      </c>
    </row>
    <row r="164">
      <c r="A164" s="27" t="n"/>
      <c r="B164" s="20" t="n"/>
      <c r="C164" s="20" t="n"/>
      <c r="D164" s="21" t="n"/>
      <c r="E164" s="22">
        <f>IF($C164="","",IFERROR(INDEX(Produits!$E$5:$E$17,MATCH($C164,Produits!$A$5:$A$17,0)),"Produit ?"))</f>
        <v/>
      </c>
      <c r="F164" s="22">
        <f>IF($C164="","",IFERROR(INDEX(Produits!$D$5:$D$17,MATCH($C164,Produits!$A$5:$A$17,0)),"Produit ?"))</f>
        <v/>
      </c>
      <c r="G164" s="7">
        <f>IF(OR($C164="",$D164=""),"",IFERROR(D164*E164,""))</f>
        <v/>
      </c>
      <c r="H164" s="7">
        <f>IF(G164="","",D164*F164)</f>
        <v/>
      </c>
      <c r="I164" s="7">
        <f>IF(G164="","",G164-H164)</f>
        <v/>
      </c>
      <c r="J164" s="26">
        <f>IF(G164="","",IFERROR(I164/G164,0))</f>
        <v/>
      </c>
    </row>
    <row r="165">
      <c r="A165" s="27" t="n"/>
      <c r="B165" s="20" t="n"/>
      <c r="C165" s="20" t="n"/>
      <c r="D165" s="21" t="n"/>
      <c r="E165" s="22">
        <f>IF($C165="","",IFERROR(INDEX(Produits!$E$5:$E$17,MATCH($C165,Produits!$A$5:$A$17,0)),"Produit ?"))</f>
        <v/>
      </c>
      <c r="F165" s="22">
        <f>IF($C165="","",IFERROR(INDEX(Produits!$D$5:$D$17,MATCH($C165,Produits!$A$5:$A$17,0)),"Produit ?"))</f>
        <v/>
      </c>
      <c r="G165" s="7">
        <f>IF(OR($C165="",$D165=""),"",IFERROR(D165*E165,""))</f>
        <v/>
      </c>
      <c r="H165" s="7">
        <f>IF(G165="","",D165*F165)</f>
        <v/>
      </c>
      <c r="I165" s="7">
        <f>IF(G165="","",G165-H165)</f>
        <v/>
      </c>
      <c r="J165" s="26">
        <f>IF(G165="","",IFERROR(I165/G165,0))</f>
        <v/>
      </c>
    </row>
    <row r="166">
      <c r="A166" s="27" t="n"/>
      <c r="B166" s="20" t="n"/>
      <c r="C166" s="20" t="n"/>
      <c r="D166" s="21" t="n"/>
      <c r="E166" s="22">
        <f>IF($C166="","",IFERROR(INDEX(Produits!$E$5:$E$17,MATCH($C166,Produits!$A$5:$A$17,0)),"Produit ?"))</f>
        <v/>
      </c>
      <c r="F166" s="22">
        <f>IF($C166="","",IFERROR(INDEX(Produits!$D$5:$D$17,MATCH($C166,Produits!$A$5:$A$17,0)),"Produit ?"))</f>
        <v/>
      </c>
      <c r="G166" s="7">
        <f>IF(OR($C166="",$D166=""),"",IFERROR(D166*E166,""))</f>
        <v/>
      </c>
      <c r="H166" s="7">
        <f>IF(G166="","",D166*F166)</f>
        <v/>
      </c>
      <c r="I166" s="7">
        <f>IF(G166="","",G166-H166)</f>
        <v/>
      </c>
      <c r="J166" s="26">
        <f>IF(G166="","",IFERROR(I166/G166,0))</f>
        <v/>
      </c>
    </row>
    <row r="167">
      <c r="A167" s="27" t="n"/>
      <c r="B167" s="20" t="n"/>
      <c r="C167" s="20" t="n"/>
      <c r="D167" s="21" t="n"/>
      <c r="E167" s="22">
        <f>IF($C167="","",IFERROR(INDEX(Produits!$E$5:$E$17,MATCH($C167,Produits!$A$5:$A$17,0)),"Produit ?"))</f>
        <v/>
      </c>
      <c r="F167" s="22">
        <f>IF($C167="","",IFERROR(INDEX(Produits!$D$5:$D$17,MATCH($C167,Produits!$A$5:$A$17,0)),"Produit ?"))</f>
        <v/>
      </c>
      <c r="G167" s="7">
        <f>IF(OR($C167="",$D167=""),"",IFERROR(D167*E167,""))</f>
        <v/>
      </c>
      <c r="H167" s="7">
        <f>IF(G167="","",D167*F167)</f>
        <v/>
      </c>
      <c r="I167" s="7">
        <f>IF(G167="","",G167-H167)</f>
        <v/>
      </c>
      <c r="J167" s="26">
        <f>IF(G167="","",IFERROR(I167/G167,0))</f>
        <v/>
      </c>
    </row>
    <row r="168">
      <c r="A168" s="27" t="n"/>
      <c r="B168" s="20" t="n"/>
      <c r="C168" s="20" t="n"/>
      <c r="D168" s="21" t="n"/>
      <c r="E168" s="22">
        <f>IF($C168="","",IFERROR(INDEX(Produits!$E$5:$E$17,MATCH($C168,Produits!$A$5:$A$17,0)),"Produit ?"))</f>
        <v/>
      </c>
      <c r="F168" s="22">
        <f>IF($C168="","",IFERROR(INDEX(Produits!$D$5:$D$17,MATCH($C168,Produits!$A$5:$A$17,0)),"Produit ?"))</f>
        <v/>
      </c>
      <c r="G168" s="7">
        <f>IF(OR($C168="",$D168=""),"",IFERROR(D168*E168,""))</f>
        <v/>
      </c>
      <c r="H168" s="7">
        <f>IF(G168="","",D168*F168)</f>
        <v/>
      </c>
      <c r="I168" s="7">
        <f>IF(G168="","",G168-H168)</f>
        <v/>
      </c>
      <c r="J168" s="26">
        <f>IF(G168="","",IFERROR(I168/G168,0))</f>
        <v/>
      </c>
    </row>
    <row r="169">
      <c r="A169" s="27" t="n"/>
      <c r="B169" s="20" t="n"/>
      <c r="C169" s="20" t="n"/>
      <c r="D169" s="21" t="n"/>
      <c r="E169" s="22">
        <f>IF($C169="","",IFERROR(INDEX(Produits!$E$5:$E$17,MATCH($C169,Produits!$A$5:$A$17,0)),"Produit ?"))</f>
        <v/>
      </c>
      <c r="F169" s="22">
        <f>IF($C169="","",IFERROR(INDEX(Produits!$D$5:$D$17,MATCH($C169,Produits!$A$5:$A$17,0)),"Produit ?"))</f>
        <v/>
      </c>
      <c r="G169" s="7">
        <f>IF(OR($C169="",$D169=""),"",IFERROR(D169*E169,""))</f>
        <v/>
      </c>
      <c r="H169" s="7">
        <f>IF(G169="","",D169*F169)</f>
        <v/>
      </c>
      <c r="I169" s="7">
        <f>IF(G169="","",G169-H169)</f>
        <v/>
      </c>
      <c r="J169" s="26">
        <f>IF(G169="","",IFERROR(I169/G169,0))</f>
        <v/>
      </c>
    </row>
    <row r="170">
      <c r="A170" s="27" t="n"/>
      <c r="B170" s="20" t="n"/>
      <c r="C170" s="20" t="n"/>
      <c r="D170" s="21" t="n"/>
      <c r="E170" s="22">
        <f>IF($C170="","",IFERROR(INDEX(Produits!$E$5:$E$17,MATCH($C170,Produits!$A$5:$A$17,0)),"Produit ?"))</f>
        <v/>
      </c>
      <c r="F170" s="22">
        <f>IF($C170="","",IFERROR(INDEX(Produits!$D$5:$D$17,MATCH($C170,Produits!$A$5:$A$17,0)),"Produit ?"))</f>
        <v/>
      </c>
      <c r="G170" s="7">
        <f>IF(OR($C170="",$D170=""),"",IFERROR(D170*E170,""))</f>
        <v/>
      </c>
      <c r="H170" s="7">
        <f>IF(G170="","",D170*F170)</f>
        <v/>
      </c>
      <c r="I170" s="7">
        <f>IF(G170="","",G170-H170)</f>
        <v/>
      </c>
      <c r="J170" s="26">
        <f>IF(G170="","",IFERROR(I170/G170,0))</f>
        <v/>
      </c>
    </row>
    <row r="171">
      <c r="A171" s="27" t="n"/>
      <c r="B171" s="20" t="n"/>
      <c r="C171" s="20" t="n"/>
      <c r="D171" s="21" t="n"/>
      <c r="E171" s="22">
        <f>IF($C171="","",IFERROR(INDEX(Produits!$E$5:$E$17,MATCH($C171,Produits!$A$5:$A$17,0)),"Produit ?"))</f>
        <v/>
      </c>
      <c r="F171" s="22">
        <f>IF($C171="","",IFERROR(INDEX(Produits!$D$5:$D$17,MATCH($C171,Produits!$A$5:$A$17,0)),"Produit ?"))</f>
        <v/>
      </c>
      <c r="G171" s="7">
        <f>IF(OR($C171="",$D171=""),"",IFERROR(D171*E171,""))</f>
        <v/>
      </c>
      <c r="H171" s="7">
        <f>IF(G171="","",D171*F171)</f>
        <v/>
      </c>
      <c r="I171" s="7">
        <f>IF(G171="","",G171-H171)</f>
        <v/>
      </c>
      <c r="J171" s="26">
        <f>IF(G171="","",IFERROR(I171/G171,0))</f>
        <v/>
      </c>
    </row>
    <row r="172">
      <c r="A172" s="27" t="n"/>
      <c r="B172" s="20" t="n"/>
      <c r="C172" s="20" t="n"/>
      <c r="D172" s="21" t="n"/>
      <c r="E172" s="22">
        <f>IF($C172="","",IFERROR(INDEX(Produits!$E$5:$E$17,MATCH($C172,Produits!$A$5:$A$17,0)),"Produit ?"))</f>
        <v/>
      </c>
      <c r="F172" s="22">
        <f>IF($C172="","",IFERROR(INDEX(Produits!$D$5:$D$17,MATCH($C172,Produits!$A$5:$A$17,0)),"Produit ?"))</f>
        <v/>
      </c>
      <c r="G172" s="7">
        <f>IF(OR($C172="",$D172=""),"",IFERROR(D172*E172,""))</f>
        <v/>
      </c>
      <c r="H172" s="7">
        <f>IF(G172="","",D172*F172)</f>
        <v/>
      </c>
      <c r="I172" s="7">
        <f>IF(G172="","",G172-H172)</f>
        <v/>
      </c>
      <c r="J172" s="26">
        <f>IF(G172="","",IFERROR(I172/G172,0))</f>
        <v/>
      </c>
    </row>
    <row r="173">
      <c r="A173" s="27" t="n"/>
      <c r="B173" s="20" t="n"/>
      <c r="C173" s="20" t="n"/>
      <c r="D173" s="21" t="n"/>
      <c r="E173" s="22">
        <f>IF($C173="","",IFERROR(INDEX(Produits!$E$5:$E$17,MATCH($C173,Produits!$A$5:$A$17,0)),"Produit ?"))</f>
        <v/>
      </c>
      <c r="F173" s="22">
        <f>IF($C173="","",IFERROR(INDEX(Produits!$D$5:$D$17,MATCH($C173,Produits!$A$5:$A$17,0)),"Produit ?"))</f>
        <v/>
      </c>
      <c r="G173" s="7">
        <f>IF(OR($C173="",$D173=""),"",IFERROR(D173*E173,""))</f>
        <v/>
      </c>
      <c r="H173" s="7">
        <f>IF(G173="","",D173*F173)</f>
        <v/>
      </c>
      <c r="I173" s="7">
        <f>IF(G173="","",G173-H173)</f>
        <v/>
      </c>
      <c r="J173" s="26">
        <f>IF(G173="","",IFERROR(I173/G173,0))</f>
        <v/>
      </c>
    </row>
    <row r="174">
      <c r="A174" s="27" t="n"/>
      <c r="B174" s="20" t="n"/>
      <c r="C174" s="20" t="n"/>
      <c r="D174" s="21" t="n"/>
      <c r="E174" s="22">
        <f>IF($C174="","",IFERROR(INDEX(Produits!$E$5:$E$17,MATCH($C174,Produits!$A$5:$A$17,0)),"Produit ?"))</f>
        <v/>
      </c>
      <c r="F174" s="22">
        <f>IF($C174="","",IFERROR(INDEX(Produits!$D$5:$D$17,MATCH($C174,Produits!$A$5:$A$17,0)),"Produit ?"))</f>
        <v/>
      </c>
      <c r="G174" s="7">
        <f>IF(OR($C174="",$D174=""),"",IFERROR(D174*E174,""))</f>
        <v/>
      </c>
      <c r="H174" s="7">
        <f>IF(G174="","",D174*F174)</f>
        <v/>
      </c>
      <c r="I174" s="7">
        <f>IF(G174="","",G174-H174)</f>
        <v/>
      </c>
      <c r="J174" s="26">
        <f>IF(G174="","",IFERROR(I174/G174,0))</f>
        <v/>
      </c>
    </row>
    <row r="175">
      <c r="A175" s="27" t="n"/>
      <c r="B175" s="20" t="n"/>
      <c r="C175" s="20" t="n"/>
      <c r="D175" s="21" t="n"/>
      <c r="E175" s="22">
        <f>IF($C175="","",IFERROR(INDEX(Produits!$E$5:$E$17,MATCH($C175,Produits!$A$5:$A$17,0)),"Produit ?"))</f>
        <v/>
      </c>
      <c r="F175" s="22">
        <f>IF($C175="","",IFERROR(INDEX(Produits!$D$5:$D$17,MATCH($C175,Produits!$A$5:$A$17,0)),"Produit ?"))</f>
        <v/>
      </c>
      <c r="G175" s="7">
        <f>IF(OR($C175="",$D175=""),"",IFERROR(D175*E175,""))</f>
        <v/>
      </c>
      <c r="H175" s="7">
        <f>IF(G175="","",D175*F175)</f>
        <v/>
      </c>
      <c r="I175" s="7">
        <f>IF(G175="","",G175-H175)</f>
        <v/>
      </c>
      <c r="J175" s="26">
        <f>IF(G175="","",IFERROR(I175/G175,0))</f>
        <v/>
      </c>
    </row>
    <row r="176">
      <c r="A176" s="27" t="n"/>
      <c r="B176" s="20" t="n"/>
      <c r="C176" s="20" t="n"/>
      <c r="D176" s="21" t="n"/>
      <c r="E176" s="22">
        <f>IF($C176="","",IFERROR(INDEX(Produits!$E$5:$E$17,MATCH($C176,Produits!$A$5:$A$17,0)),"Produit ?"))</f>
        <v/>
      </c>
      <c r="F176" s="22">
        <f>IF($C176="","",IFERROR(INDEX(Produits!$D$5:$D$17,MATCH($C176,Produits!$A$5:$A$17,0)),"Produit ?"))</f>
        <v/>
      </c>
      <c r="G176" s="7">
        <f>IF(OR($C176="",$D176=""),"",IFERROR(D176*E176,""))</f>
        <v/>
      </c>
      <c r="H176" s="7">
        <f>IF(G176="","",D176*F176)</f>
        <v/>
      </c>
      <c r="I176" s="7">
        <f>IF(G176="","",G176-H176)</f>
        <v/>
      </c>
      <c r="J176" s="26">
        <f>IF(G176="","",IFERROR(I176/G176,0))</f>
        <v/>
      </c>
    </row>
    <row r="177">
      <c r="A177" s="27" t="n"/>
      <c r="B177" s="20" t="n"/>
      <c r="C177" s="20" t="n"/>
      <c r="D177" s="21" t="n"/>
      <c r="E177" s="22">
        <f>IF($C177="","",IFERROR(INDEX(Produits!$E$5:$E$17,MATCH($C177,Produits!$A$5:$A$17,0)),"Produit ?"))</f>
        <v/>
      </c>
      <c r="F177" s="22">
        <f>IF($C177="","",IFERROR(INDEX(Produits!$D$5:$D$17,MATCH($C177,Produits!$A$5:$A$17,0)),"Produit ?"))</f>
        <v/>
      </c>
      <c r="G177" s="7">
        <f>IF(OR($C177="",$D177=""),"",IFERROR(D177*E177,""))</f>
        <v/>
      </c>
      <c r="H177" s="7">
        <f>IF(G177="","",D177*F177)</f>
        <v/>
      </c>
      <c r="I177" s="7">
        <f>IF(G177="","",G177-H177)</f>
        <v/>
      </c>
      <c r="J177" s="26">
        <f>IF(G177="","",IFERROR(I177/G177,0))</f>
        <v/>
      </c>
    </row>
    <row r="178">
      <c r="A178" s="27" t="n"/>
      <c r="B178" s="20" t="n"/>
      <c r="C178" s="20" t="n"/>
      <c r="D178" s="21" t="n"/>
      <c r="E178" s="22">
        <f>IF($C178="","",IFERROR(INDEX(Produits!$E$5:$E$17,MATCH($C178,Produits!$A$5:$A$17,0)),"Produit ?"))</f>
        <v/>
      </c>
      <c r="F178" s="22">
        <f>IF($C178="","",IFERROR(INDEX(Produits!$D$5:$D$17,MATCH($C178,Produits!$A$5:$A$17,0)),"Produit ?"))</f>
        <v/>
      </c>
      <c r="G178" s="7">
        <f>IF(OR($C178="",$D178=""),"",IFERROR(D178*E178,""))</f>
        <v/>
      </c>
      <c r="H178" s="7">
        <f>IF(G178="","",D178*F178)</f>
        <v/>
      </c>
      <c r="I178" s="7">
        <f>IF(G178="","",G178-H178)</f>
        <v/>
      </c>
      <c r="J178" s="26">
        <f>IF(G178="","",IFERROR(I178/G178,0))</f>
        <v/>
      </c>
    </row>
    <row r="179">
      <c r="A179" s="27" t="n"/>
      <c r="B179" s="20" t="n"/>
      <c r="C179" s="20" t="n"/>
      <c r="D179" s="21" t="n"/>
      <c r="E179" s="22">
        <f>IF($C179="","",IFERROR(INDEX(Produits!$E$5:$E$17,MATCH($C179,Produits!$A$5:$A$17,0)),"Produit ?"))</f>
        <v/>
      </c>
      <c r="F179" s="22">
        <f>IF($C179="","",IFERROR(INDEX(Produits!$D$5:$D$17,MATCH($C179,Produits!$A$5:$A$17,0)),"Produit ?"))</f>
        <v/>
      </c>
      <c r="G179" s="7">
        <f>IF(OR($C179="",$D179=""),"",IFERROR(D179*E179,""))</f>
        <v/>
      </c>
      <c r="H179" s="7">
        <f>IF(G179="","",D179*F179)</f>
        <v/>
      </c>
      <c r="I179" s="7">
        <f>IF(G179="","",G179-H179)</f>
        <v/>
      </c>
      <c r="J179" s="26">
        <f>IF(G179="","",IFERROR(I179/G179,0))</f>
        <v/>
      </c>
    </row>
    <row r="180">
      <c r="A180" s="27" t="n"/>
      <c r="B180" s="20" t="n"/>
      <c r="C180" s="20" t="n"/>
      <c r="D180" s="21" t="n"/>
      <c r="E180" s="22">
        <f>IF($C180="","",IFERROR(INDEX(Produits!$E$5:$E$17,MATCH($C180,Produits!$A$5:$A$17,0)),"Produit ?"))</f>
        <v/>
      </c>
      <c r="F180" s="22">
        <f>IF($C180="","",IFERROR(INDEX(Produits!$D$5:$D$17,MATCH($C180,Produits!$A$5:$A$17,0)),"Produit ?"))</f>
        <v/>
      </c>
      <c r="G180" s="7">
        <f>IF(OR($C180="",$D180=""),"",IFERROR(D180*E180,""))</f>
        <v/>
      </c>
      <c r="H180" s="7">
        <f>IF(G180="","",D180*F180)</f>
        <v/>
      </c>
      <c r="I180" s="7">
        <f>IF(G180="","",G180-H180)</f>
        <v/>
      </c>
      <c r="J180" s="26">
        <f>IF(G180="","",IFERROR(I180/G180,0))</f>
        <v/>
      </c>
    </row>
    <row r="181">
      <c r="A181" s="27" t="n"/>
      <c r="B181" s="20" t="n"/>
      <c r="C181" s="20" t="n"/>
      <c r="D181" s="21" t="n"/>
      <c r="E181" s="22">
        <f>IF($C181="","",IFERROR(INDEX(Produits!$E$5:$E$17,MATCH($C181,Produits!$A$5:$A$17,0)),"Produit ?"))</f>
        <v/>
      </c>
      <c r="F181" s="22">
        <f>IF($C181="","",IFERROR(INDEX(Produits!$D$5:$D$17,MATCH($C181,Produits!$A$5:$A$17,0)),"Produit ?"))</f>
        <v/>
      </c>
      <c r="G181" s="7">
        <f>IF(OR($C181="",$D181=""),"",IFERROR(D181*E181,""))</f>
        <v/>
      </c>
      <c r="H181" s="7">
        <f>IF(G181="","",D181*F181)</f>
        <v/>
      </c>
      <c r="I181" s="7">
        <f>IF(G181="","",G181-H181)</f>
        <v/>
      </c>
      <c r="J181" s="26">
        <f>IF(G181="","",IFERROR(I181/G181,0))</f>
        <v/>
      </c>
    </row>
    <row r="182">
      <c r="A182" s="27" t="n"/>
      <c r="B182" s="20" t="n"/>
      <c r="C182" s="20" t="n"/>
      <c r="D182" s="21" t="n"/>
      <c r="E182" s="22">
        <f>IF($C182="","",IFERROR(INDEX(Produits!$E$5:$E$17,MATCH($C182,Produits!$A$5:$A$17,0)),"Produit ?"))</f>
        <v/>
      </c>
      <c r="F182" s="22">
        <f>IF($C182="","",IFERROR(INDEX(Produits!$D$5:$D$17,MATCH($C182,Produits!$A$5:$A$17,0)),"Produit ?"))</f>
        <v/>
      </c>
      <c r="G182" s="7">
        <f>IF(OR($C182="",$D182=""),"",IFERROR(D182*E182,""))</f>
        <v/>
      </c>
      <c r="H182" s="7">
        <f>IF(G182="","",D182*F182)</f>
        <v/>
      </c>
      <c r="I182" s="7">
        <f>IF(G182="","",G182-H182)</f>
        <v/>
      </c>
      <c r="J182" s="26">
        <f>IF(G182="","",IFERROR(I182/G182,0))</f>
        <v/>
      </c>
    </row>
    <row r="183">
      <c r="A183" s="27" t="n"/>
      <c r="B183" s="20" t="n"/>
      <c r="C183" s="20" t="n"/>
      <c r="D183" s="21" t="n"/>
      <c r="E183" s="22">
        <f>IF($C183="","",IFERROR(INDEX(Produits!$E$5:$E$17,MATCH($C183,Produits!$A$5:$A$17,0)),"Produit ?"))</f>
        <v/>
      </c>
      <c r="F183" s="22">
        <f>IF($C183="","",IFERROR(INDEX(Produits!$D$5:$D$17,MATCH($C183,Produits!$A$5:$A$17,0)),"Produit ?"))</f>
        <v/>
      </c>
      <c r="G183" s="7">
        <f>IF(OR($C183="",$D183=""),"",IFERROR(D183*E183,""))</f>
        <v/>
      </c>
      <c r="H183" s="7">
        <f>IF(G183="","",D183*F183)</f>
        <v/>
      </c>
      <c r="I183" s="7">
        <f>IF(G183="","",G183-H183)</f>
        <v/>
      </c>
      <c r="J183" s="26">
        <f>IF(G183="","",IFERROR(I183/G183,0))</f>
        <v/>
      </c>
    </row>
    <row r="184">
      <c r="A184" s="27" t="n"/>
      <c r="B184" s="20" t="n"/>
      <c r="C184" s="20" t="n"/>
      <c r="D184" s="21" t="n"/>
      <c r="E184" s="22">
        <f>IF($C184="","",IFERROR(INDEX(Produits!$E$5:$E$17,MATCH($C184,Produits!$A$5:$A$17,0)),"Produit ?"))</f>
        <v/>
      </c>
      <c r="F184" s="22">
        <f>IF($C184="","",IFERROR(INDEX(Produits!$D$5:$D$17,MATCH($C184,Produits!$A$5:$A$17,0)),"Produit ?"))</f>
        <v/>
      </c>
      <c r="G184" s="7">
        <f>IF(OR($C184="",$D184=""),"",IFERROR(D184*E184,""))</f>
        <v/>
      </c>
      <c r="H184" s="7">
        <f>IF(G184="","",D184*F184)</f>
        <v/>
      </c>
      <c r="I184" s="7">
        <f>IF(G184="","",G184-H184)</f>
        <v/>
      </c>
      <c r="J184" s="26">
        <f>IF(G184="","",IFERROR(I184/G184,0))</f>
        <v/>
      </c>
    </row>
    <row r="185">
      <c r="A185" s="27" t="n"/>
      <c r="B185" s="20" t="n"/>
      <c r="C185" s="20" t="n"/>
      <c r="D185" s="21" t="n"/>
      <c r="E185" s="22">
        <f>IF($C185="","",IFERROR(INDEX(Produits!$E$5:$E$17,MATCH($C185,Produits!$A$5:$A$17,0)),"Produit ?"))</f>
        <v/>
      </c>
      <c r="F185" s="22">
        <f>IF($C185="","",IFERROR(INDEX(Produits!$D$5:$D$17,MATCH($C185,Produits!$A$5:$A$17,0)),"Produit ?"))</f>
        <v/>
      </c>
      <c r="G185" s="7">
        <f>IF(OR($C185="",$D185=""),"",IFERROR(D185*E185,""))</f>
        <v/>
      </c>
      <c r="H185" s="7">
        <f>IF(G185="","",D185*F185)</f>
        <v/>
      </c>
      <c r="I185" s="7">
        <f>IF(G185="","",G185-H185)</f>
        <v/>
      </c>
      <c r="J185" s="26">
        <f>IF(G185="","",IFERROR(I185/G185,0))</f>
        <v/>
      </c>
    </row>
    <row r="186">
      <c r="A186" s="27" t="n"/>
      <c r="B186" s="20" t="n"/>
      <c r="C186" s="20" t="n"/>
      <c r="D186" s="21" t="n"/>
      <c r="E186" s="22">
        <f>IF($C186="","",IFERROR(INDEX(Produits!$E$5:$E$17,MATCH($C186,Produits!$A$5:$A$17,0)),"Produit ?"))</f>
        <v/>
      </c>
      <c r="F186" s="22">
        <f>IF($C186="","",IFERROR(INDEX(Produits!$D$5:$D$17,MATCH($C186,Produits!$A$5:$A$17,0)),"Produit ?"))</f>
        <v/>
      </c>
      <c r="G186" s="7">
        <f>IF(OR($C186="",$D186=""),"",IFERROR(D186*E186,""))</f>
        <v/>
      </c>
      <c r="H186" s="7">
        <f>IF(G186="","",D186*F186)</f>
        <v/>
      </c>
      <c r="I186" s="7">
        <f>IF(G186="","",G186-H186)</f>
        <v/>
      </c>
      <c r="J186" s="26">
        <f>IF(G186="","",IFERROR(I186/G186,0))</f>
        <v/>
      </c>
    </row>
    <row r="187">
      <c r="A187" s="27" t="n"/>
      <c r="B187" s="20" t="n"/>
      <c r="C187" s="20" t="n"/>
      <c r="D187" s="21" t="n"/>
      <c r="E187" s="22">
        <f>IF($C187="","",IFERROR(INDEX(Produits!$E$5:$E$17,MATCH($C187,Produits!$A$5:$A$17,0)),"Produit ?"))</f>
        <v/>
      </c>
      <c r="F187" s="22">
        <f>IF($C187="","",IFERROR(INDEX(Produits!$D$5:$D$17,MATCH($C187,Produits!$A$5:$A$17,0)),"Produit ?"))</f>
        <v/>
      </c>
      <c r="G187" s="7">
        <f>IF(OR($C187="",$D187=""),"",IFERROR(D187*E187,""))</f>
        <v/>
      </c>
      <c r="H187" s="7">
        <f>IF(G187="","",D187*F187)</f>
        <v/>
      </c>
      <c r="I187" s="7">
        <f>IF(G187="","",G187-H187)</f>
        <v/>
      </c>
      <c r="J187" s="26">
        <f>IF(G187="","",IFERROR(I187/G187,0))</f>
        <v/>
      </c>
    </row>
    <row r="188">
      <c r="A188" s="27" t="n"/>
      <c r="B188" s="20" t="n"/>
      <c r="C188" s="20" t="n"/>
      <c r="D188" s="21" t="n"/>
      <c r="E188" s="22">
        <f>IF($C188="","",IFERROR(INDEX(Produits!$E$5:$E$17,MATCH($C188,Produits!$A$5:$A$17,0)),"Produit ?"))</f>
        <v/>
      </c>
      <c r="F188" s="22">
        <f>IF($C188="","",IFERROR(INDEX(Produits!$D$5:$D$17,MATCH($C188,Produits!$A$5:$A$17,0)),"Produit ?"))</f>
        <v/>
      </c>
      <c r="G188" s="7">
        <f>IF(OR($C188="",$D188=""),"",IFERROR(D188*E188,""))</f>
        <v/>
      </c>
      <c r="H188" s="7">
        <f>IF(G188="","",D188*F188)</f>
        <v/>
      </c>
      <c r="I188" s="7">
        <f>IF(G188="","",G188-H188)</f>
        <v/>
      </c>
      <c r="J188" s="26">
        <f>IF(G188="","",IFERROR(I188/G188,0))</f>
        <v/>
      </c>
    </row>
    <row r="189">
      <c r="A189" s="27" t="n"/>
      <c r="B189" s="20" t="n"/>
      <c r="C189" s="20" t="n"/>
      <c r="D189" s="21" t="n"/>
      <c r="E189" s="22">
        <f>IF($C189="","",IFERROR(INDEX(Produits!$E$5:$E$17,MATCH($C189,Produits!$A$5:$A$17,0)),"Produit ?"))</f>
        <v/>
      </c>
      <c r="F189" s="22">
        <f>IF($C189="","",IFERROR(INDEX(Produits!$D$5:$D$17,MATCH($C189,Produits!$A$5:$A$17,0)),"Produit ?"))</f>
        <v/>
      </c>
      <c r="G189" s="7">
        <f>IF(OR($C189="",$D189=""),"",IFERROR(D189*E189,""))</f>
        <v/>
      </c>
      <c r="H189" s="7">
        <f>IF(G189="","",D189*F189)</f>
        <v/>
      </c>
      <c r="I189" s="7">
        <f>IF(G189="","",G189-H189)</f>
        <v/>
      </c>
      <c r="J189" s="26">
        <f>IF(G189="","",IFERROR(I189/G189,0))</f>
        <v/>
      </c>
    </row>
    <row r="190">
      <c r="A190" s="27" t="n"/>
      <c r="B190" s="20" t="n"/>
      <c r="C190" s="20" t="n"/>
      <c r="D190" s="21" t="n"/>
      <c r="E190" s="22">
        <f>IF($C190="","",IFERROR(INDEX(Produits!$E$5:$E$17,MATCH($C190,Produits!$A$5:$A$17,0)),"Produit ?"))</f>
        <v/>
      </c>
      <c r="F190" s="22">
        <f>IF($C190="","",IFERROR(INDEX(Produits!$D$5:$D$17,MATCH($C190,Produits!$A$5:$A$17,0)),"Produit ?"))</f>
        <v/>
      </c>
      <c r="G190" s="7">
        <f>IF(OR($C190="",$D190=""),"",IFERROR(D190*E190,""))</f>
        <v/>
      </c>
      <c r="H190" s="7">
        <f>IF(G190="","",D190*F190)</f>
        <v/>
      </c>
      <c r="I190" s="7">
        <f>IF(G190="","",G190-H190)</f>
        <v/>
      </c>
      <c r="J190" s="26">
        <f>IF(G190="","",IFERROR(I190/G190,0))</f>
        <v/>
      </c>
    </row>
    <row r="191">
      <c r="A191" s="27" t="n"/>
      <c r="B191" s="20" t="n"/>
      <c r="C191" s="20" t="n"/>
      <c r="D191" s="21" t="n"/>
      <c r="E191" s="22">
        <f>IF($C191="","",IFERROR(INDEX(Produits!$E$5:$E$17,MATCH($C191,Produits!$A$5:$A$17,0)),"Produit ?"))</f>
        <v/>
      </c>
      <c r="F191" s="22">
        <f>IF($C191="","",IFERROR(INDEX(Produits!$D$5:$D$17,MATCH($C191,Produits!$A$5:$A$17,0)),"Produit ?"))</f>
        <v/>
      </c>
      <c r="G191" s="7">
        <f>IF(OR($C191="",$D191=""),"",IFERROR(D191*E191,""))</f>
        <v/>
      </c>
      <c r="H191" s="7">
        <f>IF(G191="","",D191*F191)</f>
        <v/>
      </c>
      <c r="I191" s="7">
        <f>IF(G191="","",G191-H191)</f>
        <v/>
      </c>
      <c r="J191" s="26">
        <f>IF(G191="","",IFERROR(I191/G191,0))</f>
        <v/>
      </c>
    </row>
    <row r="192">
      <c r="A192" s="27" t="n"/>
      <c r="B192" s="20" t="n"/>
      <c r="C192" s="20" t="n"/>
      <c r="D192" s="21" t="n"/>
      <c r="E192" s="22">
        <f>IF($C192="","",IFERROR(INDEX(Produits!$E$5:$E$17,MATCH($C192,Produits!$A$5:$A$17,0)),"Produit ?"))</f>
        <v/>
      </c>
      <c r="F192" s="22">
        <f>IF($C192="","",IFERROR(INDEX(Produits!$D$5:$D$17,MATCH($C192,Produits!$A$5:$A$17,0)),"Produit ?"))</f>
        <v/>
      </c>
      <c r="G192" s="7">
        <f>IF(OR($C192="",$D192=""),"",IFERROR(D192*E192,""))</f>
        <v/>
      </c>
      <c r="H192" s="7">
        <f>IF(G192="","",D192*F192)</f>
        <v/>
      </c>
      <c r="I192" s="7">
        <f>IF(G192="","",G192-H192)</f>
        <v/>
      </c>
      <c r="J192" s="26">
        <f>IF(G192="","",IFERROR(I192/G192,0))</f>
        <v/>
      </c>
    </row>
    <row r="193">
      <c r="A193" s="27" t="n"/>
      <c r="B193" s="20" t="n"/>
      <c r="C193" s="20" t="n"/>
      <c r="D193" s="21" t="n"/>
      <c r="E193" s="22">
        <f>IF($C193="","",IFERROR(INDEX(Produits!$E$5:$E$17,MATCH($C193,Produits!$A$5:$A$17,0)),"Produit ?"))</f>
        <v/>
      </c>
      <c r="F193" s="22">
        <f>IF($C193="","",IFERROR(INDEX(Produits!$D$5:$D$17,MATCH($C193,Produits!$A$5:$A$17,0)),"Produit ?"))</f>
        <v/>
      </c>
      <c r="G193" s="7">
        <f>IF(OR($C193="",$D193=""),"",IFERROR(D193*E193,""))</f>
        <v/>
      </c>
      <c r="H193" s="7">
        <f>IF(G193="","",D193*F193)</f>
        <v/>
      </c>
      <c r="I193" s="7">
        <f>IF(G193="","",G193-H193)</f>
        <v/>
      </c>
      <c r="J193" s="26">
        <f>IF(G193="","",IFERROR(I193/G193,0))</f>
        <v/>
      </c>
    </row>
    <row r="194">
      <c r="A194" s="27" t="n"/>
      <c r="B194" s="20" t="n"/>
      <c r="C194" s="20" t="n"/>
      <c r="D194" s="21" t="n"/>
      <c r="E194" s="22">
        <f>IF($C194="","",IFERROR(INDEX(Produits!$E$5:$E$17,MATCH($C194,Produits!$A$5:$A$17,0)),"Produit ?"))</f>
        <v/>
      </c>
      <c r="F194" s="22">
        <f>IF($C194="","",IFERROR(INDEX(Produits!$D$5:$D$17,MATCH($C194,Produits!$A$5:$A$17,0)),"Produit ?"))</f>
        <v/>
      </c>
      <c r="G194" s="7">
        <f>IF(OR($C194="",$D194=""),"",IFERROR(D194*E194,""))</f>
        <v/>
      </c>
      <c r="H194" s="7">
        <f>IF(G194="","",D194*F194)</f>
        <v/>
      </c>
      <c r="I194" s="7">
        <f>IF(G194="","",G194-H194)</f>
        <v/>
      </c>
      <c r="J194" s="26">
        <f>IF(G194="","",IFERROR(I194/G194,0))</f>
        <v/>
      </c>
    </row>
    <row r="195">
      <c r="A195" s="27" t="n"/>
      <c r="B195" s="20" t="n"/>
      <c r="C195" s="20" t="n"/>
      <c r="D195" s="21" t="n"/>
      <c r="E195" s="22">
        <f>IF($C195="","",IFERROR(INDEX(Produits!$E$5:$E$17,MATCH($C195,Produits!$A$5:$A$17,0)),"Produit ?"))</f>
        <v/>
      </c>
      <c r="F195" s="22">
        <f>IF($C195="","",IFERROR(INDEX(Produits!$D$5:$D$17,MATCH($C195,Produits!$A$5:$A$17,0)),"Produit ?"))</f>
        <v/>
      </c>
      <c r="G195" s="7">
        <f>IF(OR($C195="",$D195=""),"",IFERROR(D195*E195,""))</f>
        <v/>
      </c>
      <c r="H195" s="7">
        <f>IF(G195="","",D195*F195)</f>
        <v/>
      </c>
      <c r="I195" s="7">
        <f>IF(G195="","",G195-H195)</f>
        <v/>
      </c>
      <c r="J195" s="26">
        <f>IF(G195="","",IFERROR(I195/G195,0))</f>
        <v/>
      </c>
    </row>
    <row r="196">
      <c r="A196" s="27" t="n"/>
      <c r="B196" s="20" t="n"/>
      <c r="C196" s="20" t="n"/>
      <c r="D196" s="21" t="n"/>
      <c r="E196" s="22">
        <f>IF($C196="","",IFERROR(INDEX(Produits!$E$5:$E$17,MATCH($C196,Produits!$A$5:$A$17,0)),"Produit ?"))</f>
        <v/>
      </c>
      <c r="F196" s="22">
        <f>IF($C196="","",IFERROR(INDEX(Produits!$D$5:$D$17,MATCH($C196,Produits!$A$5:$A$17,0)),"Produit ?"))</f>
        <v/>
      </c>
      <c r="G196" s="7">
        <f>IF(OR($C196="",$D196=""),"",IFERROR(D196*E196,""))</f>
        <v/>
      </c>
      <c r="H196" s="7">
        <f>IF(G196="","",D196*F196)</f>
        <v/>
      </c>
      <c r="I196" s="7">
        <f>IF(G196="","",G196-H196)</f>
        <v/>
      </c>
      <c r="J196" s="26">
        <f>IF(G196="","",IFERROR(I196/G196,0))</f>
        <v/>
      </c>
    </row>
    <row r="197">
      <c r="A197" s="27" t="n"/>
      <c r="B197" s="20" t="n"/>
      <c r="C197" s="20" t="n"/>
      <c r="D197" s="21" t="n"/>
      <c r="E197" s="22">
        <f>IF($C197="","",IFERROR(INDEX(Produits!$E$5:$E$17,MATCH($C197,Produits!$A$5:$A$17,0)),"Produit ?"))</f>
        <v/>
      </c>
      <c r="F197" s="22">
        <f>IF($C197="","",IFERROR(INDEX(Produits!$D$5:$D$17,MATCH($C197,Produits!$A$5:$A$17,0)),"Produit ?"))</f>
        <v/>
      </c>
      <c r="G197" s="7">
        <f>IF(OR($C197="",$D197=""),"",IFERROR(D197*E197,""))</f>
        <v/>
      </c>
      <c r="H197" s="7">
        <f>IF(G197="","",D197*F197)</f>
        <v/>
      </c>
      <c r="I197" s="7">
        <f>IF(G197="","",G197-H197)</f>
        <v/>
      </c>
      <c r="J197" s="26">
        <f>IF(G197="","",IFERROR(I197/G197,0))</f>
        <v/>
      </c>
    </row>
    <row r="198">
      <c r="A198" s="27" t="n"/>
      <c r="B198" s="20" t="n"/>
      <c r="C198" s="20" t="n"/>
      <c r="D198" s="21" t="n"/>
      <c r="E198" s="22">
        <f>IF($C198="","",IFERROR(INDEX(Produits!$E$5:$E$17,MATCH($C198,Produits!$A$5:$A$17,0)),"Produit ?"))</f>
        <v/>
      </c>
      <c r="F198" s="22">
        <f>IF($C198="","",IFERROR(INDEX(Produits!$D$5:$D$17,MATCH($C198,Produits!$A$5:$A$17,0)),"Produit ?"))</f>
        <v/>
      </c>
      <c r="G198" s="7">
        <f>IF(OR($C198="",$D198=""),"",IFERROR(D198*E198,""))</f>
        <v/>
      </c>
      <c r="H198" s="7">
        <f>IF(G198="","",D198*F198)</f>
        <v/>
      </c>
      <c r="I198" s="7">
        <f>IF(G198="","",G198-H198)</f>
        <v/>
      </c>
      <c r="J198" s="26">
        <f>IF(G198="","",IFERROR(I198/G198,0))</f>
        <v/>
      </c>
    </row>
    <row r="199">
      <c r="A199" s="27" t="n"/>
      <c r="B199" s="20" t="n"/>
      <c r="C199" s="20" t="n"/>
      <c r="D199" s="21" t="n"/>
      <c r="E199" s="22">
        <f>IF($C199="","",IFERROR(INDEX(Produits!$E$5:$E$17,MATCH($C199,Produits!$A$5:$A$17,0)),"Produit ?"))</f>
        <v/>
      </c>
      <c r="F199" s="22">
        <f>IF($C199="","",IFERROR(INDEX(Produits!$D$5:$D$17,MATCH($C199,Produits!$A$5:$A$17,0)),"Produit ?"))</f>
        <v/>
      </c>
      <c r="G199" s="7">
        <f>IF(OR($C199="",$D199=""),"",IFERROR(D199*E199,""))</f>
        <v/>
      </c>
      <c r="H199" s="7">
        <f>IF(G199="","",D199*F199)</f>
        <v/>
      </c>
      <c r="I199" s="7">
        <f>IF(G199="","",G199-H199)</f>
        <v/>
      </c>
      <c r="J199" s="26">
        <f>IF(G199="","",IFERROR(I199/G199,0))</f>
        <v/>
      </c>
    </row>
    <row r="200">
      <c r="A200" s="27" t="n"/>
      <c r="B200" s="20" t="n"/>
      <c r="C200" s="20" t="n"/>
      <c r="D200" s="21" t="n"/>
      <c r="E200" s="22">
        <f>IF($C200="","",IFERROR(INDEX(Produits!$E$5:$E$17,MATCH($C200,Produits!$A$5:$A$17,0)),"Produit ?"))</f>
        <v/>
      </c>
      <c r="F200" s="22">
        <f>IF($C200="","",IFERROR(INDEX(Produits!$D$5:$D$17,MATCH($C200,Produits!$A$5:$A$17,0)),"Produit ?"))</f>
        <v/>
      </c>
      <c r="G200" s="7">
        <f>IF(OR($C200="",$D200=""),"",IFERROR(D200*E200,""))</f>
        <v/>
      </c>
      <c r="H200" s="7">
        <f>IF(G200="","",D200*F200)</f>
        <v/>
      </c>
      <c r="I200" s="7">
        <f>IF(G200="","",G200-H200)</f>
        <v/>
      </c>
      <c r="J200" s="26">
        <f>IF(G200="","",IFERROR(I200/G200,0))</f>
        <v/>
      </c>
    </row>
    <row r="201">
      <c r="A201" s="27" t="n"/>
      <c r="B201" s="20" t="n"/>
      <c r="C201" s="20" t="n"/>
      <c r="D201" s="21" t="n"/>
      <c r="E201" s="22">
        <f>IF($C201="","",IFERROR(INDEX(Produits!$E$5:$E$17,MATCH($C201,Produits!$A$5:$A$17,0)),"Produit ?"))</f>
        <v/>
      </c>
      <c r="F201" s="22">
        <f>IF($C201="","",IFERROR(INDEX(Produits!$D$5:$D$17,MATCH($C201,Produits!$A$5:$A$17,0)),"Produit ?"))</f>
        <v/>
      </c>
      <c r="G201" s="7">
        <f>IF(OR($C201="",$D201=""),"",IFERROR(D201*E201,""))</f>
        <v/>
      </c>
      <c r="H201" s="7">
        <f>IF(G201="","",D201*F201)</f>
        <v/>
      </c>
      <c r="I201" s="7">
        <f>IF(G201="","",G201-H201)</f>
        <v/>
      </c>
      <c r="J201" s="26">
        <f>IF(G201="","",IFERROR(I201/G201,0))</f>
        <v/>
      </c>
    </row>
    <row r="202">
      <c r="A202" s="27" t="n"/>
      <c r="B202" s="20" t="n"/>
      <c r="C202" s="20" t="n"/>
      <c r="D202" s="21" t="n"/>
      <c r="E202" s="22">
        <f>IF($C202="","",IFERROR(INDEX(Produits!$E$5:$E$17,MATCH($C202,Produits!$A$5:$A$17,0)),"Produit ?"))</f>
        <v/>
      </c>
      <c r="F202" s="22">
        <f>IF($C202="","",IFERROR(INDEX(Produits!$D$5:$D$17,MATCH($C202,Produits!$A$5:$A$17,0)),"Produit ?"))</f>
        <v/>
      </c>
      <c r="G202" s="7">
        <f>IF(OR($C202="",$D202=""),"",IFERROR(D202*E202,""))</f>
        <v/>
      </c>
      <c r="H202" s="7">
        <f>IF(G202="","",D202*F202)</f>
        <v/>
      </c>
      <c r="I202" s="7">
        <f>IF(G202="","",G202-H202)</f>
        <v/>
      </c>
      <c r="J202" s="26">
        <f>IF(G202="","",IFERROR(I202/G202,0))</f>
        <v/>
      </c>
    </row>
    <row r="203">
      <c r="A203" s="27" t="n"/>
      <c r="B203" s="20" t="n"/>
      <c r="C203" s="20" t="n"/>
      <c r="D203" s="21" t="n"/>
      <c r="E203" s="22">
        <f>IF($C203="","",IFERROR(INDEX(Produits!$E$5:$E$17,MATCH($C203,Produits!$A$5:$A$17,0)),"Produit ?"))</f>
        <v/>
      </c>
      <c r="F203" s="22">
        <f>IF($C203="","",IFERROR(INDEX(Produits!$D$5:$D$17,MATCH($C203,Produits!$A$5:$A$17,0)),"Produit ?"))</f>
        <v/>
      </c>
      <c r="G203" s="7">
        <f>IF(OR($C203="",$D203=""),"",IFERROR(D203*E203,""))</f>
        <v/>
      </c>
      <c r="H203" s="7">
        <f>IF(G203="","",D203*F203)</f>
        <v/>
      </c>
      <c r="I203" s="7">
        <f>IF(G203="","",G203-H203)</f>
        <v/>
      </c>
      <c r="J203" s="26">
        <f>IF(G203="","",IFERROR(I203/G203,0))</f>
        <v/>
      </c>
    </row>
    <row r="204">
      <c r="A204" s="27" t="n"/>
      <c r="B204" s="20" t="n"/>
      <c r="C204" s="20" t="n"/>
      <c r="D204" s="21" t="n"/>
      <c r="E204" s="22">
        <f>IF($C204="","",IFERROR(INDEX(Produits!$E$5:$E$17,MATCH($C204,Produits!$A$5:$A$17,0)),"Produit ?"))</f>
        <v/>
      </c>
      <c r="F204" s="22">
        <f>IF($C204="","",IFERROR(INDEX(Produits!$D$5:$D$17,MATCH($C204,Produits!$A$5:$A$17,0)),"Produit ?"))</f>
        <v/>
      </c>
      <c r="G204" s="7">
        <f>IF(OR($C204="",$D204=""),"",IFERROR(D204*E204,""))</f>
        <v/>
      </c>
      <c r="H204" s="7">
        <f>IF(G204="","",D204*F204)</f>
        <v/>
      </c>
      <c r="I204" s="7">
        <f>IF(G204="","",G204-H204)</f>
        <v/>
      </c>
      <c r="J204" s="26">
        <f>IF(G204="","",IFERROR(I204/G204,0))</f>
        <v/>
      </c>
    </row>
    <row r="205">
      <c r="A205" s="27" t="n"/>
      <c r="B205" s="20" t="n"/>
      <c r="C205" s="20" t="n"/>
      <c r="D205" s="21" t="n"/>
      <c r="E205" s="22">
        <f>IF($C205="","",IFERROR(INDEX(Produits!$E$5:$E$17,MATCH($C205,Produits!$A$5:$A$17,0)),"Produit ?"))</f>
        <v/>
      </c>
      <c r="F205" s="22">
        <f>IF($C205="","",IFERROR(INDEX(Produits!$D$5:$D$17,MATCH($C205,Produits!$A$5:$A$17,0)),"Produit ?"))</f>
        <v/>
      </c>
      <c r="G205" s="7">
        <f>IF(OR($C205="",$D205=""),"",IFERROR(D205*E205,""))</f>
        <v/>
      </c>
      <c r="H205" s="7">
        <f>IF(G205="","",D205*F205)</f>
        <v/>
      </c>
      <c r="I205" s="7">
        <f>IF(G205="","",G205-H205)</f>
        <v/>
      </c>
      <c r="J205" s="26">
        <f>IF(G205="","",IFERROR(I205/G205,0))</f>
        <v/>
      </c>
    </row>
    <row r="206">
      <c r="A206" s="27" t="n"/>
      <c r="B206" s="20" t="n"/>
      <c r="C206" s="20" t="n"/>
      <c r="D206" s="21" t="n"/>
      <c r="E206" s="22">
        <f>IF($C206="","",IFERROR(INDEX(Produits!$E$5:$E$17,MATCH($C206,Produits!$A$5:$A$17,0)),"Produit ?"))</f>
        <v/>
      </c>
      <c r="F206" s="22">
        <f>IF($C206="","",IFERROR(INDEX(Produits!$D$5:$D$17,MATCH($C206,Produits!$A$5:$A$17,0)),"Produit ?"))</f>
        <v/>
      </c>
      <c r="G206" s="7">
        <f>IF(OR($C206="",$D206=""),"",IFERROR(D206*E206,""))</f>
        <v/>
      </c>
      <c r="H206" s="7">
        <f>IF(G206="","",D206*F206)</f>
        <v/>
      </c>
      <c r="I206" s="7">
        <f>IF(G206="","",G206-H206)</f>
        <v/>
      </c>
      <c r="J206" s="26">
        <f>IF(G206="","",IFERROR(I206/G206,0))</f>
        <v/>
      </c>
    </row>
    <row r="207">
      <c r="A207" s="27" t="n"/>
      <c r="B207" s="20" t="n"/>
      <c r="C207" s="20" t="n"/>
      <c r="D207" s="21" t="n"/>
      <c r="E207" s="22">
        <f>IF($C207="","",IFERROR(INDEX(Produits!$E$5:$E$17,MATCH($C207,Produits!$A$5:$A$17,0)),"Produit ?"))</f>
        <v/>
      </c>
      <c r="F207" s="22">
        <f>IF($C207="","",IFERROR(INDEX(Produits!$D$5:$D$17,MATCH($C207,Produits!$A$5:$A$17,0)),"Produit ?"))</f>
        <v/>
      </c>
      <c r="G207" s="7">
        <f>IF(OR($C207="",$D207=""),"",IFERROR(D207*E207,""))</f>
        <v/>
      </c>
      <c r="H207" s="7">
        <f>IF(G207="","",D207*F207)</f>
        <v/>
      </c>
      <c r="I207" s="7">
        <f>IF(G207="","",G207-H207)</f>
        <v/>
      </c>
      <c r="J207" s="26">
        <f>IF(G207="","",IFERROR(I207/G207,0))</f>
        <v/>
      </c>
    </row>
    <row r="208">
      <c r="A208" s="27" t="n"/>
      <c r="B208" s="20" t="n"/>
      <c r="C208" s="20" t="n"/>
      <c r="D208" s="21" t="n"/>
      <c r="E208" s="22">
        <f>IF($C208="","",IFERROR(INDEX(Produits!$E$5:$E$17,MATCH($C208,Produits!$A$5:$A$17,0)),"Produit ?"))</f>
        <v/>
      </c>
      <c r="F208" s="22">
        <f>IF($C208="","",IFERROR(INDEX(Produits!$D$5:$D$17,MATCH($C208,Produits!$A$5:$A$17,0)),"Produit ?"))</f>
        <v/>
      </c>
      <c r="G208" s="7">
        <f>IF(OR($C208="",$D208=""),"",IFERROR(D208*E208,""))</f>
        <v/>
      </c>
      <c r="H208" s="7">
        <f>IF(G208="","",D208*F208)</f>
        <v/>
      </c>
      <c r="I208" s="7">
        <f>IF(G208="","",G208-H208)</f>
        <v/>
      </c>
      <c r="J208" s="26">
        <f>IF(G208="","",IFERROR(I208/G208,0))</f>
        <v/>
      </c>
    </row>
    <row r="209">
      <c r="A209" s="27" t="n"/>
      <c r="B209" s="20" t="n"/>
      <c r="C209" s="20" t="n"/>
      <c r="D209" s="21" t="n"/>
      <c r="E209" s="22">
        <f>IF($C209="","",IFERROR(INDEX(Produits!$E$5:$E$17,MATCH($C209,Produits!$A$5:$A$17,0)),"Produit ?"))</f>
        <v/>
      </c>
      <c r="F209" s="22">
        <f>IF($C209="","",IFERROR(INDEX(Produits!$D$5:$D$17,MATCH($C209,Produits!$A$5:$A$17,0)),"Produit ?"))</f>
        <v/>
      </c>
      <c r="G209" s="7">
        <f>IF(OR($C209="",$D209=""),"",IFERROR(D209*E209,""))</f>
        <v/>
      </c>
      <c r="H209" s="7">
        <f>IF(G209="","",D209*F209)</f>
        <v/>
      </c>
      <c r="I209" s="7">
        <f>IF(G209="","",G209-H209)</f>
        <v/>
      </c>
      <c r="J209" s="26">
        <f>IF(G209="","",IFERROR(I209/G209,0))</f>
        <v/>
      </c>
    </row>
    <row r="210">
      <c r="A210" s="27" t="n"/>
      <c r="B210" s="20" t="n"/>
      <c r="C210" s="20" t="n"/>
      <c r="D210" s="21" t="n"/>
      <c r="E210" s="22">
        <f>IF($C210="","",IFERROR(INDEX(Produits!$E$5:$E$17,MATCH($C210,Produits!$A$5:$A$17,0)),"Produit ?"))</f>
        <v/>
      </c>
      <c r="F210" s="22">
        <f>IF($C210="","",IFERROR(INDEX(Produits!$D$5:$D$17,MATCH($C210,Produits!$A$5:$A$17,0)),"Produit ?"))</f>
        <v/>
      </c>
      <c r="G210" s="7">
        <f>IF(OR($C210="",$D210=""),"",IFERROR(D210*E210,""))</f>
        <v/>
      </c>
      <c r="H210" s="7">
        <f>IF(G210="","",D210*F210)</f>
        <v/>
      </c>
      <c r="I210" s="7">
        <f>IF(G210="","",G210-H210)</f>
        <v/>
      </c>
      <c r="J210" s="26">
        <f>IF(G210="","",IFERROR(I210/G210,0))</f>
        <v/>
      </c>
    </row>
    <row r="211">
      <c r="A211" s="27" t="n"/>
      <c r="B211" s="20" t="n"/>
      <c r="C211" s="20" t="n"/>
      <c r="D211" s="21" t="n"/>
      <c r="E211" s="22">
        <f>IF($C211="","",IFERROR(INDEX(Produits!$E$5:$E$17,MATCH($C211,Produits!$A$5:$A$17,0)),"Produit ?"))</f>
        <v/>
      </c>
      <c r="F211" s="22">
        <f>IF($C211="","",IFERROR(INDEX(Produits!$D$5:$D$17,MATCH($C211,Produits!$A$5:$A$17,0)),"Produit ?"))</f>
        <v/>
      </c>
      <c r="G211" s="7">
        <f>IF(OR($C211="",$D211=""),"",IFERROR(D211*E211,""))</f>
        <v/>
      </c>
      <c r="H211" s="7">
        <f>IF(G211="","",D211*F211)</f>
        <v/>
      </c>
      <c r="I211" s="7">
        <f>IF(G211="","",G211-H211)</f>
        <v/>
      </c>
      <c r="J211" s="26">
        <f>IF(G211="","",IFERROR(I211/G211,0))</f>
        <v/>
      </c>
    </row>
    <row r="212">
      <c r="A212" s="27" t="n"/>
      <c r="B212" s="20" t="n"/>
      <c r="C212" s="20" t="n"/>
      <c r="D212" s="21" t="n"/>
      <c r="E212" s="22">
        <f>IF($C212="","",IFERROR(INDEX(Produits!$E$5:$E$17,MATCH($C212,Produits!$A$5:$A$17,0)),"Produit ?"))</f>
        <v/>
      </c>
      <c r="F212" s="22">
        <f>IF($C212="","",IFERROR(INDEX(Produits!$D$5:$D$17,MATCH($C212,Produits!$A$5:$A$17,0)),"Produit ?"))</f>
        <v/>
      </c>
      <c r="G212" s="7">
        <f>IF(OR($C212="",$D212=""),"",IFERROR(D212*E212,""))</f>
        <v/>
      </c>
      <c r="H212" s="7">
        <f>IF(G212="","",D212*F212)</f>
        <v/>
      </c>
      <c r="I212" s="7">
        <f>IF(G212="","",G212-H212)</f>
        <v/>
      </c>
      <c r="J212" s="26">
        <f>IF(G212="","",IFERROR(I212/G212,0))</f>
        <v/>
      </c>
    </row>
    <row r="213">
      <c r="A213" s="27" t="n"/>
      <c r="B213" s="20" t="n"/>
      <c r="C213" s="20" t="n"/>
      <c r="D213" s="21" t="n"/>
      <c r="E213" s="22">
        <f>IF($C213="","",IFERROR(INDEX(Produits!$E$5:$E$17,MATCH($C213,Produits!$A$5:$A$17,0)),"Produit ?"))</f>
        <v/>
      </c>
      <c r="F213" s="22">
        <f>IF($C213="","",IFERROR(INDEX(Produits!$D$5:$D$17,MATCH($C213,Produits!$A$5:$A$17,0)),"Produit ?"))</f>
        <v/>
      </c>
      <c r="G213" s="7">
        <f>IF(OR($C213="",$D213=""),"",IFERROR(D213*E213,""))</f>
        <v/>
      </c>
      <c r="H213" s="7">
        <f>IF(G213="","",D213*F213)</f>
        <v/>
      </c>
      <c r="I213" s="7">
        <f>IF(G213="","",G213-H213)</f>
        <v/>
      </c>
      <c r="J213" s="26">
        <f>IF(G213="","",IFERROR(I213/G213,0))</f>
        <v/>
      </c>
    </row>
    <row r="214">
      <c r="A214" s="27" t="n"/>
      <c r="B214" s="20" t="n"/>
      <c r="C214" s="20" t="n"/>
      <c r="D214" s="21" t="n"/>
      <c r="E214" s="22">
        <f>IF($C214="","",IFERROR(INDEX(Produits!$E$5:$E$17,MATCH($C214,Produits!$A$5:$A$17,0)),"Produit ?"))</f>
        <v/>
      </c>
      <c r="F214" s="22">
        <f>IF($C214="","",IFERROR(INDEX(Produits!$D$5:$D$17,MATCH($C214,Produits!$A$5:$A$17,0)),"Produit ?"))</f>
        <v/>
      </c>
      <c r="G214" s="7">
        <f>IF(OR($C214="",$D214=""),"",IFERROR(D214*E214,""))</f>
        <v/>
      </c>
      <c r="H214" s="7">
        <f>IF(G214="","",D214*F214)</f>
        <v/>
      </c>
      <c r="I214" s="7">
        <f>IF(G214="","",G214-H214)</f>
        <v/>
      </c>
      <c r="J214" s="26">
        <f>IF(G214="","",IFERROR(I214/G214,0))</f>
        <v/>
      </c>
    </row>
    <row r="215">
      <c r="A215" s="27" t="n"/>
      <c r="B215" s="20" t="n"/>
      <c r="C215" s="20" t="n"/>
      <c r="D215" s="21" t="n"/>
      <c r="E215" s="22">
        <f>IF($C215="","",IFERROR(INDEX(Produits!$E$5:$E$17,MATCH($C215,Produits!$A$5:$A$17,0)),"Produit ?"))</f>
        <v/>
      </c>
      <c r="F215" s="22">
        <f>IF($C215="","",IFERROR(INDEX(Produits!$D$5:$D$17,MATCH($C215,Produits!$A$5:$A$17,0)),"Produit ?"))</f>
        <v/>
      </c>
      <c r="G215" s="7">
        <f>IF(OR($C215="",$D215=""),"",IFERROR(D215*E215,""))</f>
        <v/>
      </c>
      <c r="H215" s="7">
        <f>IF(G215="","",D215*F215)</f>
        <v/>
      </c>
      <c r="I215" s="7">
        <f>IF(G215="","",G215-H215)</f>
        <v/>
      </c>
      <c r="J215" s="26">
        <f>IF(G215="","",IFERROR(I215/G215,0))</f>
        <v/>
      </c>
    </row>
    <row r="216">
      <c r="A216" s="27" t="n"/>
      <c r="B216" s="20" t="n"/>
      <c r="C216" s="20" t="n"/>
      <c r="D216" s="21" t="n"/>
      <c r="E216" s="22">
        <f>IF($C216="","",IFERROR(INDEX(Produits!$E$5:$E$17,MATCH($C216,Produits!$A$5:$A$17,0)),"Produit ?"))</f>
        <v/>
      </c>
      <c r="F216" s="22">
        <f>IF($C216="","",IFERROR(INDEX(Produits!$D$5:$D$17,MATCH($C216,Produits!$A$5:$A$17,0)),"Produit ?"))</f>
        <v/>
      </c>
      <c r="G216" s="7">
        <f>IF(OR($C216="",$D216=""),"",IFERROR(D216*E216,""))</f>
        <v/>
      </c>
      <c r="H216" s="7">
        <f>IF(G216="","",D216*F216)</f>
        <v/>
      </c>
      <c r="I216" s="7">
        <f>IF(G216="","",G216-H216)</f>
        <v/>
      </c>
      <c r="J216" s="26">
        <f>IF(G216="","",IFERROR(I216/G216,0))</f>
        <v/>
      </c>
    </row>
    <row r="217">
      <c r="A217" s="27" t="n"/>
      <c r="B217" s="20" t="n"/>
      <c r="C217" s="20" t="n"/>
      <c r="D217" s="21" t="n"/>
      <c r="E217" s="22">
        <f>IF($C217="","",IFERROR(INDEX(Produits!$E$5:$E$17,MATCH($C217,Produits!$A$5:$A$17,0)),"Produit ?"))</f>
        <v/>
      </c>
      <c r="F217" s="22">
        <f>IF($C217="","",IFERROR(INDEX(Produits!$D$5:$D$17,MATCH($C217,Produits!$A$5:$A$17,0)),"Produit ?"))</f>
        <v/>
      </c>
      <c r="G217" s="7">
        <f>IF(OR($C217="",$D217=""),"",IFERROR(D217*E217,""))</f>
        <v/>
      </c>
      <c r="H217" s="7">
        <f>IF(G217="","",D217*F217)</f>
        <v/>
      </c>
      <c r="I217" s="7">
        <f>IF(G217="","",G217-H217)</f>
        <v/>
      </c>
      <c r="J217" s="26">
        <f>IF(G217="","",IFERROR(I217/G217,0))</f>
        <v/>
      </c>
    </row>
    <row r="218">
      <c r="A218" s="27" t="n"/>
      <c r="B218" s="20" t="n"/>
      <c r="C218" s="20" t="n"/>
      <c r="D218" s="21" t="n"/>
      <c r="E218" s="22">
        <f>IF($C218="","",IFERROR(INDEX(Produits!$E$5:$E$17,MATCH($C218,Produits!$A$5:$A$17,0)),"Produit ?"))</f>
        <v/>
      </c>
      <c r="F218" s="22">
        <f>IF($C218="","",IFERROR(INDEX(Produits!$D$5:$D$17,MATCH($C218,Produits!$A$5:$A$17,0)),"Produit ?"))</f>
        <v/>
      </c>
      <c r="G218" s="7">
        <f>IF(OR($C218="",$D218=""),"",IFERROR(D218*E218,""))</f>
        <v/>
      </c>
      <c r="H218" s="7">
        <f>IF(G218="","",D218*F218)</f>
        <v/>
      </c>
      <c r="I218" s="7">
        <f>IF(G218="","",G218-H218)</f>
        <v/>
      </c>
      <c r="J218" s="26">
        <f>IF(G218="","",IFERROR(I218/G218,0))</f>
        <v/>
      </c>
    </row>
    <row r="219">
      <c r="A219" s="27" t="n"/>
      <c r="B219" s="20" t="n"/>
      <c r="C219" s="20" t="n"/>
      <c r="D219" s="21" t="n"/>
      <c r="E219" s="22">
        <f>IF($C219="","",IFERROR(INDEX(Produits!$E$5:$E$17,MATCH($C219,Produits!$A$5:$A$17,0)),"Produit ?"))</f>
        <v/>
      </c>
      <c r="F219" s="22">
        <f>IF($C219="","",IFERROR(INDEX(Produits!$D$5:$D$17,MATCH($C219,Produits!$A$5:$A$17,0)),"Produit ?"))</f>
        <v/>
      </c>
      <c r="G219" s="7">
        <f>IF(OR($C219="",$D219=""),"",IFERROR(D219*E219,""))</f>
        <v/>
      </c>
      <c r="H219" s="7">
        <f>IF(G219="","",D219*F219)</f>
        <v/>
      </c>
      <c r="I219" s="7">
        <f>IF(G219="","",G219-H219)</f>
        <v/>
      </c>
      <c r="J219" s="26">
        <f>IF(G219="","",IFERROR(I219/G219,0))</f>
        <v/>
      </c>
    </row>
    <row r="220">
      <c r="A220" s="27" t="n"/>
      <c r="B220" s="20" t="n"/>
      <c r="C220" s="20" t="n"/>
      <c r="D220" s="21" t="n"/>
      <c r="E220" s="22">
        <f>IF($C220="","",IFERROR(INDEX(Produits!$E$5:$E$17,MATCH($C220,Produits!$A$5:$A$17,0)),"Produit ?"))</f>
        <v/>
      </c>
      <c r="F220" s="22">
        <f>IF($C220="","",IFERROR(INDEX(Produits!$D$5:$D$17,MATCH($C220,Produits!$A$5:$A$17,0)),"Produit ?"))</f>
        <v/>
      </c>
      <c r="G220" s="7">
        <f>IF(OR($C220="",$D220=""),"",IFERROR(D220*E220,""))</f>
        <v/>
      </c>
      <c r="H220" s="7">
        <f>IF(G220="","",D220*F220)</f>
        <v/>
      </c>
      <c r="I220" s="7">
        <f>IF(G220="","",G220-H220)</f>
        <v/>
      </c>
      <c r="J220" s="26">
        <f>IF(G220="","",IFERROR(I220/G220,0))</f>
        <v/>
      </c>
    </row>
    <row r="221">
      <c r="A221" s="27" t="n"/>
      <c r="B221" s="20" t="n"/>
      <c r="C221" s="20" t="n"/>
      <c r="D221" s="21" t="n"/>
      <c r="E221" s="22">
        <f>IF($C221="","",IFERROR(INDEX(Produits!$E$5:$E$17,MATCH($C221,Produits!$A$5:$A$17,0)),"Produit ?"))</f>
        <v/>
      </c>
      <c r="F221" s="22">
        <f>IF($C221="","",IFERROR(INDEX(Produits!$D$5:$D$17,MATCH($C221,Produits!$A$5:$A$17,0)),"Produit ?"))</f>
        <v/>
      </c>
      <c r="G221" s="7">
        <f>IF(OR($C221="",$D221=""),"",IFERROR(D221*E221,""))</f>
        <v/>
      </c>
      <c r="H221" s="7">
        <f>IF(G221="","",D221*F221)</f>
        <v/>
      </c>
      <c r="I221" s="7">
        <f>IF(G221="","",G221-H221)</f>
        <v/>
      </c>
      <c r="J221" s="26">
        <f>IF(G221="","",IFERROR(I221/G221,0))</f>
        <v/>
      </c>
    </row>
    <row r="222">
      <c r="A222" s="27" t="n"/>
      <c r="B222" s="20" t="n"/>
      <c r="C222" s="20" t="n"/>
      <c r="D222" s="21" t="n"/>
      <c r="E222" s="22">
        <f>IF($C222="","",IFERROR(INDEX(Produits!$E$5:$E$17,MATCH($C222,Produits!$A$5:$A$17,0)),"Produit ?"))</f>
        <v/>
      </c>
      <c r="F222" s="22">
        <f>IF($C222="","",IFERROR(INDEX(Produits!$D$5:$D$17,MATCH($C222,Produits!$A$5:$A$17,0)),"Produit ?"))</f>
        <v/>
      </c>
      <c r="G222" s="7">
        <f>IF(OR($C222="",$D222=""),"",IFERROR(D222*E222,""))</f>
        <v/>
      </c>
      <c r="H222" s="7">
        <f>IF(G222="","",D222*F222)</f>
        <v/>
      </c>
      <c r="I222" s="7">
        <f>IF(G222="","",G222-H222)</f>
        <v/>
      </c>
      <c r="J222" s="26">
        <f>IF(G222="","",IFERROR(I222/G222,0))</f>
        <v/>
      </c>
    </row>
    <row r="223">
      <c r="A223" s="27" t="n"/>
      <c r="B223" s="20" t="n"/>
      <c r="C223" s="20" t="n"/>
      <c r="D223" s="21" t="n"/>
      <c r="E223" s="22">
        <f>IF($C223="","",IFERROR(INDEX(Produits!$E$5:$E$17,MATCH($C223,Produits!$A$5:$A$17,0)),"Produit ?"))</f>
        <v/>
      </c>
      <c r="F223" s="22">
        <f>IF($C223="","",IFERROR(INDEX(Produits!$D$5:$D$17,MATCH($C223,Produits!$A$5:$A$17,0)),"Produit ?"))</f>
        <v/>
      </c>
      <c r="G223" s="7">
        <f>IF(OR($C223="",$D223=""),"",IFERROR(D223*E223,""))</f>
        <v/>
      </c>
      <c r="H223" s="7">
        <f>IF(G223="","",D223*F223)</f>
        <v/>
      </c>
      <c r="I223" s="7">
        <f>IF(G223="","",G223-H223)</f>
        <v/>
      </c>
      <c r="J223" s="26">
        <f>IF(G223="","",IFERROR(I223/G223,0))</f>
        <v/>
      </c>
    </row>
    <row r="224">
      <c r="A224" s="27" t="n"/>
      <c r="B224" s="20" t="n"/>
      <c r="C224" s="20" t="n"/>
      <c r="D224" s="21" t="n"/>
      <c r="E224" s="22">
        <f>IF($C224="","",IFERROR(INDEX(Produits!$E$5:$E$17,MATCH($C224,Produits!$A$5:$A$17,0)),"Produit ?"))</f>
        <v/>
      </c>
      <c r="F224" s="22">
        <f>IF($C224="","",IFERROR(INDEX(Produits!$D$5:$D$17,MATCH($C224,Produits!$A$5:$A$17,0)),"Produit ?"))</f>
        <v/>
      </c>
      <c r="G224" s="7">
        <f>IF(OR($C224="",$D224=""),"",IFERROR(D224*E224,""))</f>
        <v/>
      </c>
      <c r="H224" s="7">
        <f>IF(G224="","",D224*F224)</f>
        <v/>
      </c>
      <c r="I224" s="7">
        <f>IF(G224="","",G224-H224)</f>
        <v/>
      </c>
      <c r="J224" s="26">
        <f>IF(G224="","",IFERROR(I224/G224,0))</f>
        <v/>
      </c>
    </row>
    <row r="225">
      <c r="A225" s="27" t="n"/>
      <c r="B225" s="20" t="n"/>
      <c r="C225" s="20" t="n"/>
      <c r="D225" s="21" t="n"/>
      <c r="E225" s="22">
        <f>IF($C225="","",IFERROR(INDEX(Produits!$E$5:$E$17,MATCH($C225,Produits!$A$5:$A$17,0)),"Produit ?"))</f>
        <v/>
      </c>
      <c r="F225" s="22">
        <f>IF($C225="","",IFERROR(INDEX(Produits!$D$5:$D$17,MATCH($C225,Produits!$A$5:$A$17,0)),"Produit ?"))</f>
        <v/>
      </c>
      <c r="G225" s="7">
        <f>IF(OR($C225="",$D225=""),"",IFERROR(D225*E225,""))</f>
        <v/>
      </c>
      <c r="H225" s="7">
        <f>IF(G225="","",D225*F225)</f>
        <v/>
      </c>
      <c r="I225" s="7">
        <f>IF(G225="","",G225-H225)</f>
        <v/>
      </c>
      <c r="J225" s="26">
        <f>IF(G225="","",IFERROR(I225/G225,0))</f>
        <v/>
      </c>
    </row>
    <row r="226">
      <c r="A226" s="27" t="n"/>
      <c r="B226" s="20" t="n"/>
      <c r="C226" s="20" t="n"/>
      <c r="D226" s="21" t="n"/>
      <c r="E226" s="22">
        <f>IF($C226="","",IFERROR(INDEX(Produits!$E$5:$E$17,MATCH($C226,Produits!$A$5:$A$17,0)),"Produit ?"))</f>
        <v/>
      </c>
      <c r="F226" s="22">
        <f>IF($C226="","",IFERROR(INDEX(Produits!$D$5:$D$17,MATCH($C226,Produits!$A$5:$A$17,0)),"Produit ?"))</f>
        <v/>
      </c>
      <c r="G226" s="7">
        <f>IF(OR($C226="",$D226=""),"",IFERROR(D226*E226,""))</f>
        <v/>
      </c>
      <c r="H226" s="7">
        <f>IF(G226="","",D226*F226)</f>
        <v/>
      </c>
      <c r="I226" s="7">
        <f>IF(G226="","",G226-H226)</f>
        <v/>
      </c>
      <c r="J226" s="26">
        <f>IF(G226="","",IFERROR(I226/G226,0))</f>
        <v/>
      </c>
    </row>
    <row r="227">
      <c r="A227" s="27" t="n"/>
      <c r="B227" s="20" t="n"/>
      <c r="C227" s="20" t="n"/>
      <c r="D227" s="21" t="n"/>
      <c r="E227" s="22">
        <f>IF($C227="","",IFERROR(INDEX(Produits!$E$5:$E$17,MATCH($C227,Produits!$A$5:$A$17,0)),"Produit ?"))</f>
        <v/>
      </c>
      <c r="F227" s="22">
        <f>IF($C227="","",IFERROR(INDEX(Produits!$D$5:$D$17,MATCH($C227,Produits!$A$5:$A$17,0)),"Produit ?"))</f>
        <v/>
      </c>
      <c r="G227" s="7">
        <f>IF(OR($C227="",$D227=""),"",IFERROR(D227*E227,""))</f>
        <v/>
      </c>
      <c r="H227" s="7">
        <f>IF(G227="","",D227*F227)</f>
        <v/>
      </c>
      <c r="I227" s="7">
        <f>IF(G227="","",G227-H227)</f>
        <v/>
      </c>
      <c r="J227" s="26">
        <f>IF(G227="","",IFERROR(I227/G227,0))</f>
        <v/>
      </c>
    </row>
    <row r="228">
      <c r="A228" s="27" t="n"/>
      <c r="B228" s="20" t="n"/>
      <c r="C228" s="20" t="n"/>
      <c r="D228" s="21" t="n"/>
      <c r="E228" s="22">
        <f>IF($C228="","",IFERROR(INDEX(Produits!$E$5:$E$17,MATCH($C228,Produits!$A$5:$A$17,0)),"Produit ?"))</f>
        <v/>
      </c>
      <c r="F228" s="22">
        <f>IF($C228="","",IFERROR(INDEX(Produits!$D$5:$D$17,MATCH($C228,Produits!$A$5:$A$17,0)),"Produit ?"))</f>
        <v/>
      </c>
      <c r="G228" s="7">
        <f>IF(OR($C228="",$D228=""),"",IFERROR(D228*E228,""))</f>
        <v/>
      </c>
      <c r="H228" s="7">
        <f>IF(G228="","",D228*F228)</f>
        <v/>
      </c>
      <c r="I228" s="7">
        <f>IF(G228="","",G228-H228)</f>
        <v/>
      </c>
      <c r="J228" s="26">
        <f>IF(G228="","",IFERROR(I228/G228,0))</f>
        <v/>
      </c>
    </row>
    <row r="229">
      <c r="A229" s="27" t="n"/>
      <c r="B229" s="20" t="n"/>
      <c r="C229" s="20" t="n"/>
      <c r="D229" s="21" t="n"/>
      <c r="E229" s="22">
        <f>IF($C229="","",IFERROR(INDEX(Produits!$E$5:$E$17,MATCH($C229,Produits!$A$5:$A$17,0)),"Produit ?"))</f>
        <v/>
      </c>
      <c r="F229" s="22">
        <f>IF($C229="","",IFERROR(INDEX(Produits!$D$5:$D$17,MATCH($C229,Produits!$A$5:$A$17,0)),"Produit ?"))</f>
        <v/>
      </c>
      <c r="G229" s="7">
        <f>IF(OR($C229="",$D229=""),"",IFERROR(D229*E229,""))</f>
        <v/>
      </c>
      <c r="H229" s="7">
        <f>IF(G229="","",D229*F229)</f>
        <v/>
      </c>
      <c r="I229" s="7">
        <f>IF(G229="","",G229-H229)</f>
        <v/>
      </c>
      <c r="J229" s="26">
        <f>IF(G229="","",IFERROR(I229/G229,0))</f>
        <v/>
      </c>
    </row>
    <row r="230">
      <c r="A230" s="27" t="n"/>
      <c r="B230" s="20" t="n"/>
      <c r="C230" s="20" t="n"/>
      <c r="D230" s="21" t="n"/>
      <c r="E230" s="22">
        <f>IF($C230="","",IFERROR(INDEX(Produits!$E$5:$E$17,MATCH($C230,Produits!$A$5:$A$17,0)),"Produit ?"))</f>
        <v/>
      </c>
      <c r="F230" s="22">
        <f>IF($C230="","",IFERROR(INDEX(Produits!$D$5:$D$17,MATCH($C230,Produits!$A$5:$A$17,0)),"Produit ?"))</f>
        <v/>
      </c>
      <c r="G230" s="7">
        <f>IF(OR($C230="",$D230=""),"",IFERROR(D230*E230,""))</f>
        <v/>
      </c>
      <c r="H230" s="7">
        <f>IF(G230="","",D230*F230)</f>
        <v/>
      </c>
      <c r="I230" s="7">
        <f>IF(G230="","",G230-H230)</f>
        <v/>
      </c>
      <c r="J230" s="26">
        <f>IF(G230="","",IFERROR(I230/G230,0))</f>
        <v/>
      </c>
    </row>
    <row r="231">
      <c r="A231" s="27" t="n"/>
      <c r="B231" s="20" t="n"/>
      <c r="C231" s="20" t="n"/>
      <c r="D231" s="21" t="n"/>
      <c r="E231" s="22">
        <f>IF($C231="","",IFERROR(INDEX(Produits!$E$5:$E$17,MATCH($C231,Produits!$A$5:$A$17,0)),"Produit ?"))</f>
        <v/>
      </c>
      <c r="F231" s="22">
        <f>IF($C231="","",IFERROR(INDEX(Produits!$D$5:$D$17,MATCH($C231,Produits!$A$5:$A$17,0)),"Produit ?"))</f>
        <v/>
      </c>
      <c r="G231" s="7">
        <f>IF(OR($C231="",$D231=""),"",IFERROR(D231*E231,""))</f>
        <v/>
      </c>
      <c r="H231" s="7">
        <f>IF(G231="","",D231*F231)</f>
        <v/>
      </c>
      <c r="I231" s="7">
        <f>IF(G231="","",G231-H231)</f>
        <v/>
      </c>
      <c r="J231" s="26">
        <f>IF(G231="","",IFERROR(I231/G231,0))</f>
        <v/>
      </c>
    </row>
    <row r="232">
      <c r="A232" s="27" t="n"/>
      <c r="B232" s="20" t="n"/>
      <c r="C232" s="20" t="n"/>
      <c r="D232" s="21" t="n"/>
      <c r="E232" s="22">
        <f>IF($C232="","",IFERROR(INDEX(Produits!$E$5:$E$17,MATCH($C232,Produits!$A$5:$A$17,0)),"Produit ?"))</f>
        <v/>
      </c>
      <c r="F232" s="22">
        <f>IF($C232="","",IFERROR(INDEX(Produits!$D$5:$D$17,MATCH($C232,Produits!$A$5:$A$17,0)),"Produit ?"))</f>
        <v/>
      </c>
      <c r="G232" s="7">
        <f>IF(OR($C232="",$D232=""),"",IFERROR(D232*E232,""))</f>
        <v/>
      </c>
      <c r="H232" s="7">
        <f>IF(G232="","",D232*F232)</f>
        <v/>
      </c>
      <c r="I232" s="7">
        <f>IF(G232="","",G232-H232)</f>
        <v/>
      </c>
      <c r="J232" s="26">
        <f>IF(G232="","",IFERROR(I232/G232,0))</f>
        <v/>
      </c>
    </row>
    <row r="233">
      <c r="A233" s="27" t="n"/>
      <c r="B233" s="20" t="n"/>
      <c r="C233" s="20" t="n"/>
      <c r="D233" s="21" t="n"/>
      <c r="E233" s="22">
        <f>IF($C233="","",IFERROR(INDEX(Produits!$E$5:$E$17,MATCH($C233,Produits!$A$5:$A$17,0)),"Produit ?"))</f>
        <v/>
      </c>
      <c r="F233" s="22">
        <f>IF($C233="","",IFERROR(INDEX(Produits!$D$5:$D$17,MATCH($C233,Produits!$A$5:$A$17,0)),"Produit ?"))</f>
        <v/>
      </c>
      <c r="G233" s="7">
        <f>IF(OR($C233="",$D233=""),"",IFERROR(D233*E233,""))</f>
        <v/>
      </c>
      <c r="H233" s="7">
        <f>IF(G233="","",D233*F233)</f>
        <v/>
      </c>
      <c r="I233" s="7">
        <f>IF(G233="","",G233-H233)</f>
        <v/>
      </c>
      <c r="J233" s="26">
        <f>IF(G233="","",IFERROR(I233/G233,0))</f>
        <v/>
      </c>
    </row>
    <row r="234">
      <c r="A234" s="27" t="n"/>
      <c r="B234" s="20" t="n"/>
      <c r="C234" s="20" t="n"/>
      <c r="D234" s="21" t="n"/>
      <c r="E234" s="22">
        <f>IF($C234="","",IFERROR(INDEX(Produits!$E$5:$E$17,MATCH($C234,Produits!$A$5:$A$17,0)),"Produit ?"))</f>
        <v/>
      </c>
      <c r="F234" s="22">
        <f>IF($C234="","",IFERROR(INDEX(Produits!$D$5:$D$17,MATCH($C234,Produits!$A$5:$A$17,0)),"Produit ?"))</f>
        <v/>
      </c>
      <c r="G234" s="7">
        <f>IF(OR($C234="",$D234=""),"",IFERROR(D234*E234,""))</f>
        <v/>
      </c>
      <c r="H234" s="7">
        <f>IF(G234="","",D234*F234)</f>
        <v/>
      </c>
      <c r="I234" s="7">
        <f>IF(G234="","",G234-H234)</f>
        <v/>
      </c>
      <c r="J234" s="26">
        <f>IF(G234="","",IFERROR(I234/G234,0))</f>
        <v/>
      </c>
    </row>
    <row r="235">
      <c r="A235" s="27" t="n"/>
      <c r="B235" s="20" t="n"/>
      <c r="C235" s="20" t="n"/>
      <c r="D235" s="21" t="n"/>
      <c r="E235" s="22">
        <f>IF($C235="","",IFERROR(INDEX(Produits!$E$5:$E$17,MATCH($C235,Produits!$A$5:$A$17,0)),"Produit ?"))</f>
        <v/>
      </c>
      <c r="F235" s="22">
        <f>IF($C235="","",IFERROR(INDEX(Produits!$D$5:$D$17,MATCH($C235,Produits!$A$5:$A$17,0)),"Produit ?"))</f>
        <v/>
      </c>
      <c r="G235" s="7">
        <f>IF(OR($C235="",$D235=""),"",IFERROR(D235*E235,""))</f>
        <v/>
      </c>
      <c r="H235" s="7">
        <f>IF(G235="","",D235*F235)</f>
        <v/>
      </c>
      <c r="I235" s="7">
        <f>IF(G235="","",G235-H235)</f>
        <v/>
      </c>
      <c r="J235" s="26">
        <f>IF(G235="","",IFERROR(I235/G235,0))</f>
        <v/>
      </c>
    </row>
    <row r="236">
      <c r="A236" s="27" t="n"/>
      <c r="B236" s="20" t="n"/>
      <c r="C236" s="20" t="n"/>
      <c r="D236" s="21" t="n"/>
      <c r="E236" s="22">
        <f>IF($C236="","",IFERROR(INDEX(Produits!$E$5:$E$17,MATCH($C236,Produits!$A$5:$A$17,0)),"Produit ?"))</f>
        <v/>
      </c>
      <c r="F236" s="22">
        <f>IF($C236="","",IFERROR(INDEX(Produits!$D$5:$D$17,MATCH($C236,Produits!$A$5:$A$17,0)),"Produit ?"))</f>
        <v/>
      </c>
      <c r="G236" s="7">
        <f>IF(OR($C236="",$D236=""),"",IFERROR(D236*E236,""))</f>
        <v/>
      </c>
      <c r="H236" s="7">
        <f>IF(G236="","",D236*F236)</f>
        <v/>
      </c>
      <c r="I236" s="7">
        <f>IF(G236="","",G236-H236)</f>
        <v/>
      </c>
      <c r="J236" s="26">
        <f>IF(G236="","",IFERROR(I236/G236,0))</f>
        <v/>
      </c>
    </row>
    <row r="237">
      <c r="A237" s="27" t="n"/>
      <c r="B237" s="20" t="n"/>
      <c r="C237" s="20" t="n"/>
      <c r="D237" s="21" t="n"/>
      <c r="E237" s="22">
        <f>IF($C237="","",IFERROR(INDEX(Produits!$E$5:$E$17,MATCH($C237,Produits!$A$5:$A$17,0)),"Produit ?"))</f>
        <v/>
      </c>
      <c r="F237" s="22">
        <f>IF($C237="","",IFERROR(INDEX(Produits!$D$5:$D$17,MATCH($C237,Produits!$A$5:$A$17,0)),"Produit ?"))</f>
        <v/>
      </c>
      <c r="G237" s="7">
        <f>IF(OR($C237="",$D237=""),"",IFERROR(D237*E237,""))</f>
        <v/>
      </c>
      <c r="H237" s="7">
        <f>IF(G237="","",D237*F237)</f>
        <v/>
      </c>
      <c r="I237" s="7">
        <f>IF(G237="","",G237-H237)</f>
        <v/>
      </c>
      <c r="J237" s="26">
        <f>IF(G237="","",IFERROR(I237/G237,0))</f>
        <v/>
      </c>
    </row>
    <row r="238">
      <c r="A238" s="27" t="n"/>
      <c r="B238" s="20" t="n"/>
      <c r="C238" s="20" t="n"/>
      <c r="D238" s="21" t="n"/>
      <c r="E238" s="22">
        <f>IF($C238="","",IFERROR(INDEX(Produits!$E$5:$E$17,MATCH($C238,Produits!$A$5:$A$17,0)),"Produit ?"))</f>
        <v/>
      </c>
      <c r="F238" s="22">
        <f>IF($C238="","",IFERROR(INDEX(Produits!$D$5:$D$17,MATCH($C238,Produits!$A$5:$A$17,0)),"Produit ?"))</f>
        <v/>
      </c>
      <c r="G238" s="7">
        <f>IF(OR($C238="",$D238=""),"",IFERROR(D238*E238,""))</f>
        <v/>
      </c>
      <c r="H238" s="7">
        <f>IF(G238="","",D238*F238)</f>
        <v/>
      </c>
      <c r="I238" s="7">
        <f>IF(G238="","",G238-H238)</f>
        <v/>
      </c>
      <c r="J238" s="26">
        <f>IF(G238="","",IFERROR(I238/G238,0))</f>
        <v/>
      </c>
    </row>
    <row r="239">
      <c r="A239" s="27" t="n"/>
      <c r="B239" s="20" t="n"/>
      <c r="C239" s="20" t="n"/>
      <c r="D239" s="21" t="n"/>
      <c r="E239" s="22">
        <f>IF($C239="","",IFERROR(INDEX(Produits!$E$5:$E$17,MATCH($C239,Produits!$A$5:$A$17,0)),"Produit ?"))</f>
        <v/>
      </c>
      <c r="F239" s="22">
        <f>IF($C239="","",IFERROR(INDEX(Produits!$D$5:$D$17,MATCH($C239,Produits!$A$5:$A$17,0)),"Produit ?"))</f>
        <v/>
      </c>
      <c r="G239" s="7">
        <f>IF(OR($C239="",$D239=""),"",IFERROR(D239*E239,""))</f>
        <v/>
      </c>
      <c r="H239" s="7">
        <f>IF(G239="","",D239*F239)</f>
        <v/>
      </c>
      <c r="I239" s="7">
        <f>IF(G239="","",G239-H239)</f>
        <v/>
      </c>
      <c r="J239" s="26">
        <f>IF(G239="","",IFERROR(I239/G239,0))</f>
        <v/>
      </c>
    </row>
    <row r="240">
      <c r="A240" s="27" t="n"/>
      <c r="B240" s="20" t="n"/>
      <c r="C240" s="20" t="n"/>
      <c r="D240" s="21" t="n"/>
      <c r="E240" s="22">
        <f>IF($C240="","",IFERROR(INDEX(Produits!$E$5:$E$17,MATCH($C240,Produits!$A$5:$A$17,0)),"Produit ?"))</f>
        <v/>
      </c>
      <c r="F240" s="22">
        <f>IF($C240="","",IFERROR(INDEX(Produits!$D$5:$D$17,MATCH($C240,Produits!$A$5:$A$17,0)),"Produit ?"))</f>
        <v/>
      </c>
      <c r="G240" s="7">
        <f>IF(OR($C240="",$D240=""),"",IFERROR(D240*E240,""))</f>
        <v/>
      </c>
      <c r="H240" s="7">
        <f>IF(G240="","",D240*F240)</f>
        <v/>
      </c>
      <c r="I240" s="7">
        <f>IF(G240="","",G240-H240)</f>
        <v/>
      </c>
      <c r="J240" s="26">
        <f>IF(G240="","",IFERROR(I240/G240,0))</f>
        <v/>
      </c>
    </row>
    <row r="241">
      <c r="A241" s="27" t="n"/>
      <c r="B241" s="20" t="n"/>
      <c r="C241" s="20" t="n"/>
      <c r="D241" s="21" t="n"/>
      <c r="E241" s="22">
        <f>IF($C241="","",IFERROR(INDEX(Produits!$E$5:$E$17,MATCH($C241,Produits!$A$5:$A$17,0)),"Produit ?"))</f>
        <v/>
      </c>
      <c r="F241" s="22">
        <f>IF($C241="","",IFERROR(INDEX(Produits!$D$5:$D$17,MATCH($C241,Produits!$A$5:$A$17,0)),"Produit ?"))</f>
        <v/>
      </c>
      <c r="G241" s="7">
        <f>IF(OR($C241="",$D241=""),"",IFERROR(D241*E241,""))</f>
        <v/>
      </c>
      <c r="H241" s="7">
        <f>IF(G241="","",D241*F241)</f>
        <v/>
      </c>
      <c r="I241" s="7">
        <f>IF(G241="","",G241-H241)</f>
        <v/>
      </c>
      <c r="J241" s="26">
        <f>IF(G241="","",IFERROR(I241/G241,0))</f>
        <v/>
      </c>
    </row>
    <row r="242">
      <c r="A242" s="27" t="n"/>
      <c r="B242" s="20" t="n"/>
      <c r="C242" s="20" t="n"/>
      <c r="D242" s="21" t="n"/>
      <c r="E242" s="22">
        <f>IF($C242="","",IFERROR(INDEX(Produits!$E$5:$E$17,MATCH($C242,Produits!$A$5:$A$17,0)),"Produit ?"))</f>
        <v/>
      </c>
      <c r="F242" s="22">
        <f>IF($C242="","",IFERROR(INDEX(Produits!$D$5:$D$17,MATCH($C242,Produits!$A$5:$A$17,0)),"Produit ?"))</f>
        <v/>
      </c>
      <c r="G242" s="7">
        <f>IF(OR($C242="",$D242=""),"",IFERROR(D242*E242,""))</f>
        <v/>
      </c>
      <c r="H242" s="7">
        <f>IF(G242="","",D242*F242)</f>
        <v/>
      </c>
      <c r="I242" s="7">
        <f>IF(G242="","",G242-H242)</f>
        <v/>
      </c>
      <c r="J242" s="26">
        <f>IF(G242="","",IFERROR(I242/G242,0))</f>
        <v/>
      </c>
    </row>
    <row r="243">
      <c r="A243" s="27" t="n"/>
      <c r="B243" s="20" t="n"/>
      <c r="C243" s="20" t="n"/>
      <c r="D243" s="21" t="n"/>
      <c r="E243" s="22">
        <f>IF($C243="","",IFERROR(INDEX(Produits!$E$5:$E$17,MATCH($C243,Produits!$A$5:$A$17,0)),"Produit ?"))</f>
        <v/>
      </c>
      <c r="F243" s="22">
        <f>IF($C243="","",IFERROR(INDEX(Produits!$D$5:$D$17,MATCH($C243,Produits!$A$5:$A$17,0)),"Produit ?"))</f>
        <v/>
      </c>
      <c r="G243" s="7">
        <f>IF(OR($C243="",$D243=""),"",IFERROR(D243*E243,""))</f>
        <v/>
      </c>
      <c r="H243" s="7">
        <f>IF(G243="","",D243*F243)</f>
        <v/>
      </c>
      <c r="I243" s="7">
        <f>IF(G243="","",G243-H243)</f>
        <v/>
      </c>
      <c r="J243" s="26">
        <f>IF(G243="","",IFERROR(I243/G243,0))</f>
        <v/>
      </c>
    </row>
    <row r="244">
      <c r="A244" s="27" t="n"/>
      <c r="B244" s="20" t="n"/>
      <c r="C244" s="20" t="n"/>
      <c r="D244" s="21" t="n"/>
      <c r="E244" s="22">
        <f>IF($C244="","",IFERROR(INDEX(Produits!$E$5:$E$17,MATCH($C244,Produits!$A$5:$A$17,0)),"Produit ?"))</f>
        <v/>
      </c>
      <c r="F244" s="22">
        <f>IF($C244="","",IFERROR(INDEX(Produits!$D$5:$D$17,MATCH($C244,Produits!$A$5:$A$17,0)),"Produit ?"))</f>
        <v/>
      </c>
      <c r="G244" s="7">
        <f>IF(OR($C244="",$D244=""),"",IFERROR(D244*E244,""))</f>
        <v/>
      </c>
      <c r="H244" s="7">
        <f>IF(G244="","",D244*F244)</f>
        <v/>
      </c>
      <c r="I244" s="7">
        <f>IF(G244="","",G244-H244)</f>
        <v/>
      </c>
      <c r="J244" s="26">
        <f>IF(G244="","",IFERROR(I244/G244,0))</f>
        <v/>
      </c>
    </row>
    <row r="245">
      <c r="A245" s="27" t="n"/>
      <c r="B245" s="20" t="n"/>
      <c r="C245" s="20" t="n"/>
      <c r="D245" s="21" t="n"/>
      <c r="E245" s="22">
        <f>IF($C245="","",IFERROR(INDEX(Produits!$E$5:$E$17,MATCH($C245,Produits!$A$5:$A$17,0)),"Produit ?"))</f>
        <v/>
      </c>
      <c r="F245" s="22">
        <f>IF($C245="","",IFERROR(INDEX(Produits!$D$5:$D$17,MATCH($C245,Produits!$A$5:$A$17,0)),"Produit ?"))</f>
        <v/>
      </c>
      <c r="G245" s="7">
        <f>IF(OR($C245="",$D245=""),"",IFERROR(D245*E245,""))</f>
        <v/>
      </c>
      <c r="H245" s="7">
        <f>IF(G245="","",D245*F245)</f>
        <v/>
      </c>
      <c r="I245" s="7">
        <f>IF(G245="","",G245-H245)</f>
        <v/>
      </c>
      <c r="J245" s="26">
        <f>IF(G245="","",IFERROR(I245/G245,0))</f>
        <v/>
      </c>
    </row>
    <row r="246">
      <c r="A246" s="27" t="n"/>
      <c r="B246" s="20" t="n"/>
      <c r="C246" s="20" t="n"/>
      <c r="D246" s="21" t="n"/>
      <c r="E246" s="22">
        <f>IF($C246="","",IFERROR(INDEX(Produits!$E$5:$E$17,MATCH($C246,Produits!$A$5:$A$17,0)),"Produit ?"))</f>
        <v/>
      </c>
      <c r="F246" s="22">
        <f>IF($C246="","",IFERROR(INDEX(Produits!$D$5:$D$17,MATCH($C246,Produits!$A$5:$A$17,0)),"Produit ?"))</f>
        <v/>
      </c>
      <c r="G246" s="7">
        <f>IF(OR($C246="",$D246=""),"",IFERROR(D246*E246,""))</f>
        <v/>
      </c>
      <c r="H246" s="7">
        <f>IF(G246="","",D246*F246)</f>
        <v/>
      </c>
      <c r="I246" s="7">
        <f>IF(G246="","",G246-H246)</f>
        <v/>
      </c>
      <c r="J246" s="26">
        <f>IF(G246="","",IFERROR(I246/G246,0))</f>
        <v/>
      </c>
    </row>
    <row r="247">
      <c r="A247" s="27" t="n"/>
      <c r="B247" s="20" t="n"/>
      <c r="C247" s="20" t="n"/>
      <c r="D247" s="21" t="n"/>
      <c r="E247" s="22">
        <f>IF($C247="","",IFERROR(INDEX(Produits!$E$5:$E$17,MATCH($C247,Produits!$A$5:$A$17,0)),"Produit ?"))</f>
        <v/>
      </c>
      <c r="F247" s="22">
        <f>IF($C247="","",IFERROR(INDEX(Produits!$D$5:$D$17,MATCH($C247,Produits!$A$5:$A$17,0)),"Produit ?"))</f>
        <v/>
      </c>
      <c r="G247" s="7">
        <f>IF(OR($C247="",$D247=""),"",IFERROR(D247*E247,""))</f>
        <v/>
      </c>
      <c r="H247" s="7">
        <f>IF(G247="","",D247*F247)</f>
        <v/>
      </c>
      <c r="I247" s="7">
        <f>IF(G247="","",G247-H247)</f>
        <v/>
      </c>
      <c r="J247" s="26">
        <f>IF(G247="","",IFERROR(I247/G247,0))</f>
        <v/>
      </c>
    </row>
    <row r="248">
      <c r="A248" s="27" t="n"/>
      <c r="B248" s="20" t="n"/>
      <c r="C248" s="20" t="n"/>
      <c r="D248" s="21" t="n"/>
      <c r="E248" s="22">
        <f>IF($C248="","",IFERROR(INDEX(Produits!$E$5:$E$17,MATCH($C248,Produits!$A$5:$A$17,0)),"Produit ?"))</f>
        <v/>
      </c>
      <c r="F248" s="22">
        <f>IF($C248="","",IFERROR(INDEX(Produits!$D$5:$D$17,MATCH($C248,Produits!$A$5:$A$17,0)),"Produit ?"))</f>
        <v/>
      </c>
      <c r="G248" s="7">
        <f>IF(OR($C248="",$D248=""),"",IFERROR(D248*E248,""))</f>
        <v/>
      </c>
      <c r="H248" s="7">
        <f>IF(G248="","",D248*F248)</f>
        <v/>
      </c>
      <c r="I248" s="7">
        <f>IF(G248="","",G248-H248)</f>
        <v/>
      </c>
      <c r="J248" s="26">
        <f>IF(G248="","",IFERROR(I248/G248,0))</f>
        <v/>
      </c>
    </row>
    <row r="249">
      <c r="A249" s="27" t="n"/>
      <c r="B249" s="20" t="n"/>
      <c r="C249" s="20" t="n"/>
      <c r="D249" s="21" t="n"/>
      <c r="E249" s="22">
        <f>IF($C249="","",IFERROR(INDEX(Produits!$E$5:$E$17,MATCH($C249,Produits!$A$5:$A$17,0)),"Produit ?"))</f>
        <v/>
      </c>
      <c r="F249" s="22">
        <f>IF($C249="","",IFERROR(INDEX(Produits!$D$5:$D$17,MATCH($C249,Produits!$A$5:$A$17,0)),"Produit ?"))</f>
        <v/>
      </c>
      <c r="G249" s="7">
        <f>IF(OR($C249="",$D249=""),"",IFERROR(D249*E249,""))</f>
        <v/>
      </c>
      <c r="H249" s="7">
        <f>IF(G249="","",D249*F249)</f>
        <v/>
      </c>
      <c r="I249" s="7">
        <f>IF(G249="","",G249-H249)</f>
        <v/>
      </c>
      <c r="J249" s="26">
        <f>IF(G249="","",IFERROR(I249/G249,0))</f>
        <v/>
      </c>
    </row>
    <row r="250">
      <c r="A250" s="27" t="n"/>
      <c r="B250" s="20" t="n"/>
      <c r="C250" s="20" t="n"/>
      <c r="D250" s="21" t="n"/>
      <c r="E250" s="22">
        <f>IF($C250="","",IFERROR(INDEX(Produits!$E$5:$E$17,MATCH($C250,Produits!$A$5:$A$17,0)),"Produit ?"))</f>
        <v/>
      </c>
      <c r="F250" s="22">
        <f>IF($C250="","",IFERROR(INDEX(Produits!$D$5:$D$17,MATCH($C250,Produits!$A$5:$A$17,0)),"Produit ?"))</f>
        <v/>
      </c>
      <c r="G250" s="7">
        <f>IF(OR($C250="",$D250=""),"",IFERROR(D250*E250,""))</f>
        <v/>
      </c>
      <c r="H250" s="7">
        <f>IF(G250="","",D250*F250)</f>
        <v/>
      </c>
      <c r="I250" s="7">
        <f>IF(G250="","",G250-H250)</f>
        <v/>
      </c>
      <c r="J250" s="26">
        <f>IF(G250="","",IFERROR(I250/G250,0))</f>
        <v/>
      </c>
    </row>
    <row r="251">
      <c r="A251" s="27" t="n"/>
      <c r="B251" s="20" t="n"/>
      <c r="C251" s="20" t="n"/>
      <c r="D251" s="21" t="n"/>
      <c r="E251" s="22">
        <f>IF($C251="","",IFERROR(INDEX(Produits!$E$5:$E$17,MATCH($C251,Produits!$A$5:$A$17,0)),"Produit ?"))</f>
        <v/>
      </c>
      <c r="F251" s="22">
        <f>IF($C251="","",IFERROR(INDEX(Produits!$D$5:$D$17,MATCH($C251,Produits!$A$5:$A$17,0)),"Produit ?"))</f>
        <v/>
      </c>
      <c r="G251" s="7">
        <f>IF(OR($C251="",$D251=""),"",IFERROR(D251*E251,""))</f>
        <v/>
      </c>
      <c r="H251" s="7">
        <f>IF(G251="","",D251*F251)</f>
        <v/>
      </c>
      <c r="I251" s="7">
        <f>IF(G251="","",G251-H251)</f>
        <v/>
      </c>
      <c r="J251" s="26">
        <f>IF(G251="","",IFERROR(I251/G251,0))</f>
        <v/>
      </c>
    </row>
    <row r="252">
      <c r="A252" s="27" t="n"/>
      <c r="B252" s="20" t="n"/>
      <c r="C252" s="20" t="n"/>
      <c r="D252" s="21" t="n"/>
      <c r="E252" s="22">
        <f>IF($C252="","",IFERROR(INDEX(Produits!$E$5:$E$17,MATCH($C252,Produits!$A$5:$A$17,0)),"Produit ?"))</f>
        <v/>
      </c>
      <c r="F252" s="22">
        <f>IF($C252="","",IFERROR(INDEX(Produits!$D$5:$D$17,MATCH($C252,Produits!$A$5:$A$17,0)),"Produit ?"))</f>
        <v/>
      </c>
      <c r="G252" s="7">
        <f>IF(OR($C252="",$D252=""),"",IFERROR(D252*E252,""))</f>
        <v/>
      </c>
      <c r="H252" s="7">
        <f>IF(G252="","",D252*F252)</f>
        <v/>
      </c>
      <c r="I252" s="7">
        <f>IF(G252="","",G252-H252)</f>
        <v/>
      </c>
      <c r="J252" s="26">
        <f>IF(G252="","",IFERROR(I252/G252,0))</f>
        <v/>
      </c>
    </row>
    <row r="253">
      <c r="A253" s="27" t="n"/>
      <c r="B253" s="20" t="n"/>
      <c r="C253" s="20" t="n"/>
      <c r="D253" s="21" t="n"/>
      <c r="E253" s="22">
        <f>IF($C253="","",IFERROR(INDEX(Produits!$E$5:$E$17,MATCH($C253,Produits!$A$5:$A$17,0)),"Produit ?"))</f>
        <v/>
      </c>
      <c r="F253" s="22">
        <f>IF($C253="","",IFERROR(INDEX(Produits!$D$5:$D$17,MATCH($C253,Produits!$A$5:$A$17,0)),"Produit ?"))</f>
        <v/>
      </c>
      <c r="G253" s="7">
        <f>IF(OR($C253="",$D253=""),"",IFERROR(D253*E253,""))</f>
        <v/>
      </c>
      <c r="H253" s="7">
        <f>IF(G253="","",D253*F253)</f>
        <v/>
      </c>
      <c r="I253" s="7">
        <f>IF(G253="","",G253-H253)</f>
        <v/>
      </c>
      <c r="J253" s="26">
        <f>IF(G253="","",IFERROR(I253/G253,0))</f>
        <v/>
      </c>
    </row>
    <row r="254">
      <c r="A254" s="27" t="n"/>
      <c r="B254" s="20" t="n"/>
      <c r="C254" s="20" t="n"/>
      <c r="D254" s="21" t="n"/>
      <c r="E254" s="22">
        <f>IF($C254="","",IFERROR(INDEX(Produits!$E$5:$E$17,MATCH($C254,Produits!$A$5:$A$17,0)),"Produit ?"))</f>
        <v/>
      </c>
      <c r="F254" s="22">
        <f>IF($C254="","",IFERROR(INDEX(Produits!$D$5:$D$17,MATCH($C254,Produits!$A$5:$A$17,0)),"Produit ?"))</f>
        <v/>
      </c>
      <c r="G254" s="7">
        <f>IF(OR($C254="",$D254=""),"",IFERROR(D254*E254,""))</f>
        <v/>
      </c>
      <c r="H254" s="7">
        <f>IF(G254="","",D254*F254)</f>
        <v/>
      </c>
      <c r="I254" s="7">
        <f>IF(G254="","",G254-H254)</f>
        <v/>
      </c>
      <c r="J254" s="26">
        <f>IF(G254="","",IFERROR(I254/G254,0))</f>
        <v/>
      </c>
    </row>
    <row r="255">
      <c r="A255" s="27" t="n"/>
      <c r="B255" s="20" t="n"/>
      <c r="C255" s="20" t="n"/>
      <c r="D255" s="21" t="n"/>
      <c r="E255" s="22">
        <f>IF($C255="","",IFERROR(INDEX(Produits!$E$5:$E$17,MATCH($C255,Produits!$A$5:$A$17,0)),"Produit ?"))</f>
        <v/>
      </c>
      <c r="F255" s="22">
        <f>IF($C255="","",IFERROR(INDEX(Produits!$D$5:$D$17,MATCH($C255,Produits!$A$5:$A$17,0)),"Produit ?"))</f>
        <v/>
      </c>
      <c r="G255" s="7">
        <f>IF(OR($C255="",$D255=""),"",IFERROR(D255*E255,""))</f>
        <v/>
      </c>
      <c r="H255" s="7">
        <f>IF(G255="","",D255*F255)</f>
        <v/>
      </c>
      <c r="I255" s="7">
        <f>IF(G255="","",G255-H255)</f>
        <v/>
      </c>
      <c r="J255" s="26">
        <f>IF(G255="","",IFERROR(I255/G255,0))</f>
        <v/>
      </c>
    </row>
    <row r="256">
      <c r="A256" s="27" t="n"/>
      <c r="B256" s="20" t="n"/>
      <c r="C256" s="20" t="n"/>
      <c r="D256" s="21" t="n"/>
      <c r="E256" s="22">
        <f>IF($C256="","",IFERROR(INDEX(Produits!$E$5:$E$17,MATCH($C256,Produits!$A$5:$A$17,0)),"Produit ?"))</f>
        <v/>
      </c>
      <c r="F256" s="22">
        <f>IF($C256="","",IFERROR(INDEX(Produits!$D$5:$D$17,MATCH($C256,Produits!$A$5:$A$17,0)),"Produit ?"))</f>
        <v/>
      </c>
      <c r="G256" s="7">
        <f>IF(OR($C256="",$D256=""),"",IFERROR(D256*E256,""))</f>
        <v/>
      </c>
      <c r="H256" s="7">
        <f>IF(G256="","",D256*F256)</f>
        <v/>
      </c>
      <c r="I256" s="7">
        <f>IF(G256="","",G256-H256)</f>
        <v/>
      </c>
      <c r="J256" s="26">
        <f>IF(G256="","",IFERROR(I256/G256,0))</f>
        <v/>
      </c>
    </row>
    <row r="257">
      <c r="A257" s="27" t="n"/>
      <c r="B257" s="20" t="n"/>
      <c r="C257" s="20" t="n"/>
      <c r="D257" s="21" t="n"/>
      <c r="E257" s="22">
        <f>IF($C257="","",IFERROR(INDEX(Produits!$E$5:$E$17,MATCH($C257,Produits!$A$5:$A$17,0)),"Produit ?"))</f>
        <v/>
      </c>
      <c r="F257" s="22">
        <f>IF($C257="","",IFERROR(INDEX(Produits!$D$5:$D$17,MATCH($C257,Produits!$A$5:$A$17,0)),"Produit ?"))</f>
        <v/>
      </c>
      <c r="G257" s="7">
        <f>IF(OR($C257="",$D257=""),"",IFERROR(D257*E257,""))</f>
        <v/>
      </c>
      <c r="H257" s="7">
        <f>IF(G257="","",D257*F257)</f>
        <v/>
      </c>
      <c r="I257" s="7">
        <f>IF(G257="","",G257-H257)</f>
        <v/>
      </c>
      <c r="J257" s="26">
        <f>IF(G257="","",IFERROR(I257/G257,0))</f>
        <v/>
      </c>
    </row>
    <row r="258">
      <c r="A258" s="27" t="n"/>
      <c r="B258" s="20" t="n"/>
      <c r="C258" s="20" t="n"/>
      <c r="D258" s="21" t="n"/>
      <c r="E258" s="22">
        <f>IF($C258="","",IFERROR(INDEX(Produits!$E$5:$E$17,MATCH($C258,Produits!$A$5:$A$17,0)),"Produit ?"))</f>
        <v/>
      </c>
      <c r="F258" s="22">
        <f>IF($C258="","",IFERROR(INDEX(Produits!$D$5:$D$17,MATCH($C258,Produits!$A$5:$A$17,0)),"Produit ?"))</f>
        <v/>
      </c>
      <c r="G258" s="7">
        <f>IF(OR($C258="",$D258=""),"",IFERROR(D258*E258,""))</f>
        <v/>
      </c>
      <c r="H258" s="7">
        <f>IF(G258="","",D258*F258)</f>
        <v/>
      </c>
      <c r="I258" s="7">
        <f>IF(G258="","",G258-H258)</f>
        <v/>
      </c>
      <c r="J258" s="26">
        <f>IF(G258="","",IFERROR(I258/G258,0))</f>
        <v/>
      </c>
    </row>
    <row r="259">
      <c r="A259" s="27" t="n"/>
      <c r="B259" s="20" t="n"/>
      <c r="C259" s="20" t="n"/>
      <c r="D259" s="21" t="n"/>
      <c r="E259" s="22">
        <f>IF($C259="","",IFERROR(INDEX(Produits!$E$5:$E$17,MATCH($C259,Produits!$A$5:$A$17,0)),"Produit ?"))</f>
        <v/>
      </c>
      <c r="F259" s="22">
        <f>IF($C259="","",IFERROR(INDEX(Produits!$D$5:$D$17,MATCH($C259,Produits!$A$5:$A$17,0)),"Produit ?"))</f>
        <v/>
      </c>
      <c r="G259" s="7">
        <f>IF(OR($C259="",$D259=""),"",IFERROR(D259*E259,""))</f>
        <v/>
      </c>
      <c r="H259" s="7">
        <f>IF(G259="","",D259*F259)</f>
        <v/>
      </c>
      <c r="I259" s="7">
        <f>IF(G259="","",G259-H259)</f>
        <v/>
      </c>
      <c r="J259" s="26">
        <f>IF(G259="","",IFERROR(I259/G259,0))</f>
        <v/>
      </c>
    </row>
    <row r="260">
      <c r="A260" s="27" t="n"/>
      <c r="B260" s="20" t="n"/>
      <c r="C260" s="20" t="n"/>
      <c r="D260" s="21" t="n"/>
      <c r="E260" s="22">
        <f>IF($C260="","",IFERROR(INDEX(Produits!$E$5:$E$17,MATCH($C260,Produits!$A$5:$A$17,0)),"Produit ?"))</f>
        <v/>
      </c>
      <c r="F260" s="22">
        <f>IF($C260="","",IFERROR(INDEX(Produits!$D$5:$D$17,MATCH($C260,Produits!$A$5:$A$17,0)),"Produit ?"))</f>
        <v/>
      </c>
      <c r="G260" s="7">
        <f>IF(OR($C260="",$D260=""),"",IFERROR(D260*E260,""))</f>
        <v/>
      </c>
      <c r="H260" s="7">
        <f>IF(G260="","",D260*F260)</f>
        <v/>
      </c>
      <c r="I260" s="7">
        <f>IF(G260="","",G260-H260)</f>
        <v/>
      </c>
      <c r="J260" s="26">
        <f>IF(G260="","",IFERROR(I260/G260,0))</f>
        <v/>
      </c>
    </row>
    <row r="261">
      <c r="A261" s="27" t="n"/>
      <c r="B261" s="20" t="n"/>
      <c r="C261" s="20" t="n"/>
      <c r="D261" s="21" t="n"/>
      <c r="E261" s="22">
        <f>IF($C261="","",IFERROR(INDEX(Produits!$E$5:$E$17,MATCH($C261,Produits!$A$5:$A$17,0)),"Produit ?"))</f>
        <v/>
      </c>
      <c r="F261" s="22">
        <f>IF($C261="","",IFERROR(INDEX(Produits!$D$5:$D$17,MATCH($C261,Produits!$A$5:$A$17,0)),"Produit ?"))</f>
        <v/>
      </c>
      <c r="G261" s="7">
        <f>IF(OR($C261="",$D261=""),"",IFERROR(D261*E261,""))</f>
        <v/>
      </c>
      <c r="H261" s="7">
        <f>IF(G261="","",D261*F261)</f>
        <v/>
      </c>
      <c r="I261" s="7">
        <f>IF(G261="","",G261-H261)</f>
        <v/>
      </c>
      <c r="J261" s="26">
        <f>IF(G261="","",IFERROR(I261/G261,0))</f>
        <v/>
      </c>
    </row>
    <row r="262">
      <c r="A262" s="27" t="n"/>
      <c r="B262" s="20" t="n"/>
      <c r="C262" s="20" t="n"/>
      <c r="D262" s="21" t="n"/>
      <c r="E262" s="22">
        <f>IF($C262="","",IFERROR(INDEX(Produits!$E$5:$E$17,MATCH($C262,Produits!$A$5:$A$17,0)),"Produit ?"))</f>
        <v/>
      </c>
      <c r="F262" s="22">
        <f>IF($C262="","",IFERROR(INDEX(Produits!$D$5:$D$17,MATCH($C262,Produits!$A$5:$A$17,0)),"Produit ?"))</f>
        <v/>
      </c>
      <c r="G262" s="7">
        <f>IF(OR($C262="",$D262=""),"",IFERROR(D262*E262,""))</f>
        <v/>
      </c>
      <c r="H262" s="7">
        <f>IF(G262="","",D262*F262)</f>
        <v/>
      </c>
      <c r="I262" s="7">
        <f>IF(G262="","",G262-H262)</f>
        <v/>
      </c>
      <c r="J262" s="26">
        <f>IF(G262="","",IFERROR(I262/G262,0))</f>
        <v/>
      </c>
    </row>
    <row r="263">
      <c r="A263" s="27" t="n"/>
      <c r="B263" s="20" t="n"/>
      <c r="C263" s="20" t="n"/>
      <c r="D263" s="21" t="n"/>
      <c r="E263" s="22">
        <f>IF($C263="","",IFERROR(INDEX(Produits!$E$5:$E$17,MATCH($C263,Produits!$A$5:$A$17,0)),"Produit ?"))</f>
        <v/>
      </c>
      <c r="F263" s="22">
        <f>IF($C263="","",IFERROR(INDEX(Produits!$D$5:$D$17,MATCH($C263,Produits!$A$5:$A$17,0)),"Produit ?"))</f>
        <v/>
      </c>
      <c r="G263" s="7">
        <f>IF(OR($C263="",$D263=""),"",IFERROR(D263*E263,""))</f>
        <v/>
      </c>
      <c r="H263" s="7">
        <f>IF(G263="","",D263*F263)</f>
        <v/>
      </c>
      <c r="I263" s="7">
        <f>IF(G263="","",G263-H263)</f>
        <v/>
      </c>
      <c r="J263" s="26">
        <f>IF(G263="","",IFERROR(I263/G263,0))</f>
        <v/>
      </c>
    </row>
    <row r="264">
      <c r="A264" s="27" t="n"/>
      <c r="B264" s="20" t="n"/>
      <c r="C264" s="20" t="n"/>
      <c r="D264" s="21" t="n"/>
      <c r="E264" s="22">
        <f>IF($C264="","",IFERROR(INDEX(Produits!$E$5:$E$17,MATCH($C264,Produits!$A$5:$A$17,0)),"Produit ?"))</f>
        <v/>
      </c>
      <c r="F264" s="22">
        <f>IF($C264="","",IFERROR(INDEX(Produits!$D$5:$D$17,MATCH($C264,Produits!$A$5:$A$17,0)),"Produit ?"))</f>
        <v/>
      </c>
      <c r="G264" s="7">
        <f>IF(OR($C264="",$D264=""),"",IFERROR(D264*E264,""))</f>
        <v/>
      </c>
      <c r="H264" s="7">
        <f>IF(G264="","",D264*F264)</f>
        <v/>
      </c>
      <c r="I264" s="7">
        <f>IF(G264="","",G264-H264)</f>
        <v/>
      </c>
      <c r="J264" s="26">
        <f>IF(G264="","",IFERROR(I264/G264,0))</f>
        <v/>
      </c>
    </row>
    <row r="265">
      <c r="A265" s="27" t="n"/>
      <c r="B265" s="20" t="n"/>
      <c r="C265" s="20" t="n"/>
      <c r="D265" s="21" t="n"/>
      <c r="E265" s="22">
        <f>IF($C265="","",IFERROR(INDEX(Produits!$E$5:$E$17,MATCH($C265,Produits!$A$5:$A$17,0)),"Produit ?"))</f>
        <v/>
      </c>
      <c r="F265" s="22">
        <f>IF($C265="","",IFERROR(INDEX(Produits!$D$5:$D$17,MATCH($C265,Produits!$A$5:$A$17,0)),"Produit ?"))</f>
        <v/>
      </c>
      <c r="G265" s="7">
        <f>IF(OR($C265="",$D265=""),"",IFERROR(D265*E265,""))</f>
        <v/>
      </c>
      <c r="H265" s="7">
        <f>IF(G265="","",D265*F265)</f>
        <v/>
      </c>
      <c r="I265" s="7">
        <f>IF(G265="","",G265-H265)</f>
        <v/>
      </c>
      <c r="J265" s="26">
        <f>IF(G265="","",IFERROR(I265/G265,0))</f>
        <v/>
      </c>
    </row>
    <row r="266">
      <c r="A266" s="27" t="n"/>
      <c r="B266" s="20" t="n"/>
      <c r="C266" s="20" t="n"/>
      <c r="D266" s="21" t="n"/>
      <c r="E266" s="22">
        <f>IF($C266="","",IFERROR(INDEX(Produits!$E$5:$E$17,MATCH($C266,Produits!$A$5:$A$17,0)),"Produit ?"))</f>
        <v/>
      </c>
      <c r="F266" s="22">
        <f>IF($C266="","",IFERROR(INDEX(Produits!$D$5:$D$17,MATCH($C266,Produits!$A$5:$A$17,0)),"Produit ?"))</f>
        <v/>
      </c>
      <c r="G266" s="7">
        <f>IF(OR($C266="",$D266=""),"",IFERROR(D266*E266,""))</f>
        <v/>
      </c>
      <c r="H266" s="7">
        <f>IF(G266="","",D266*F266)</f>
        <v/>
      </c>
      <c r="I266" s="7">
        <f>IF(G266="","",G266-H266)</f>
        <v/>
      </c>
      <c r="J266" s="26">
        <f>IF(G266="","",IFERROR(I266/G266,0))</f>
        <v/>
      </c>
    </row>
    <row r="267">
      <c r="A267" s="27" t="n"/>
      <c r="B267" s="20" t="n"/>
      <c r="C267" s="20" t="n"/>
      <c r="D267" s="21" t="n"/>
      <c r="E267" s="22">
        <f>IF($C267="","",IFERROR(INDEX(Produits!$E$5:$E$17,MATCH($C267,Produits!$A$5:$A$17,0)),"Produit ?"))</f>
        <v/>
      </c>
      <c r="F267" s="22">
        <f>IF($C267="","",IFERROR(INDEX(Produits!$D$5:$D$17,MATCH($C267,Produits!$A$5:$A$17,0)),"Produit ?"))</f>
        <v/>
      </c>
      <c r="G267" s="7">
        <f>IF(OR($C267="",$D267=""),"",IFERROR(D267*E267,""))</f>
        <v/>
      </c>
      <c r="H267" s="7">
        <f>IF(G267="","",D267*F267)</f>
        <v/>
      </c>
      <c r="I267" s="7">
        <f>IF(G267="","",G267-H267)</f>
        <v/>
      </c>
      <c r="J267" s="26">
        <f>IF(G267="","",IFERROR(I267/G267,0))</f>
        <v/>
      </c>
    </row>
    <row r="268">
      <c r="A268" s="27" t="n"/>
      <c r="B268" s="20" t="n"/>
      <c r="C268" s="20" t="n"/>
      <c r="D268" s="21" t="n"/>
      <c r="E268" s="22">
        <f>IF($C268="","",IFERROR(INDEX(Produits!$E$5:$E$17,MATCH($C268,Produits!$A$5:$A$17,0)),"Produit ?"))</f>
        <v/>
      </c>
      <c r="F268" s="22">
        <f>IF($C268="","",IFERROR(INDEX(Produits!$D$5:$D$17,MATCH($C268,Produits!$A$5:$A$17,0)),"Produit ?"))</f>
        <v/>
      </c>
      <c r="G268" s="7">
        <f>IF(OR($C268="",$D268=""),"",IFERROR(D268*E268,""))</f>
        <v/>
      </c>
      <c r="H268" s="7">
        <f>IF(G268="","",D268*F268)</f>
        <v/>
      </c>
      <c r="I268" s="7">
        <f>IF(G268="","",G268-H268)</f>
        <v/>
      </c>
      <c r="J268" s="26">
        <f>IF(G268="","",IFERROR(I268/G268,0))</f>
        <v/>
      </c>
    </row>
    <row r="269">
      <c r="A269" s="27" t="n"/>
      <c r="B269" s="20" t="n"/>
      <c r="C269" s="20" t="n"/>
      <c r="D269" s="21" t="n"/>
      <c r="E269" s="22">
        <f>IF($C269="","",IFERROR(INDEX(Produits!$E$5:$E$17,MATCH($C269,Produits!$A$5:$A$17,0)),"Produit ?"))</f>
        <v/>
      </c>
      <c r="F269" s="22">
        <f>IF($C269="","",IFERROR(INDEX(Produits!$D$5:$D$17,MATCH($C269,Produits!$A$5:$A$17,0)),"Produit ?"))</f>
        <v/>
      </c>
      <c r="G269" s="7">
        <f>IF(OR($C269="",$D269=""),"",IFERROR(D269*E269,""))</f>
        <v/>
      </c>
      <c r="H269" s="7">
        <f>IF(G269="","",D269*F269)</f>
        <v/>
      </c>
      <c r="I269" s="7">
        <f>IF(G269="","",G269-H269)</f>
        <v/>
      </c>
      <c r="J269" s="26">
        <f>IF(G269="","",IFERROR(I269/G269,0))</f>
        <v/>
      </c>
    </row>
    <row r="270">
      <c r="A270" s="27" t="n"/>
      <c r="B270" s="20" t="n"/>
      <c r="C270" s="20" t="n"/>
      <c r="D270" s="21" t="n"/>
      <c r="E270" s="22">
        <f>IF($C270="","",IFERROR(INDEX(Produits!$E$5:$E$17,MATCH($C270,Produits!$A$5:$A$17,0)),"Produit ?"))</f>
        <v/>
      </c>
      <c r="F270" s="22">
        <f>IF($C270="","",IFERROR(INDEX(Produits!$D$5:$D$17,MATCH($C270,Produits!$A$5:$A$17,0)),"Produit ?"))</f>
        <v/>
      </c>
      <c r="G270" s="7">
        <f>IF(OR($C270="",$D270=""),"",IFERROR(D270*E270,""))</f>
        <v/>
      </c>
      <c r="H270" s="7">
        <f>IF(G270="","",D270*F270)</f>
        <v/>
      </c>
      <c r="I270" s="7">
        <f>IF(G270="","",G270-H270)</f>
        <v/>
      </c>
      <c r="J270" s="26">
        <f>IF(G270="","",IFERROR(I270/G270,0))</f>
        <v/>
      </c>
    </row>
    <row r="271">
      <c r="A271" s="27" t="n"/>
      <c r="B271" s="20" t="n"/>
      <c r="C271" s="20" t="n"/>
      <c r="D271" s="21" t="n"/>
      <c r="E271" s="22">
        <f>IF($C271="","",IFERROR(INDEX(Produits!$E$5:$E$17,MATCH($C271,Produits!$A$5:$A$17,0)),"Produit ?"))</f>
        <v/>
      </c>
      <c r="F271" s="22">
        <f>IF($C271="","",IFERROR(INDEX(Produits!$D$5:$D$17,MATCH($C271,Produits!$A$5:$A$17,0)),"Produit ?"))</f>
        <v/>
      </c>
      <c r="G271" s="7">
        <f>IF(OR($C271="",$D271=""),"",IFERROR(D271*E271,""))</f>
        <v/>
      </c>
      <c r="H271" s="7">
        <f>IF(G271="","",D271*F271)</f>
        <v/>
      </c>
      <c r="I271" s="7">
        <f>IF(G271="","",G271-H271)</f>
        <v/>
      </c>
      <c r="J271" s="26">
        <f>IF(G271="","",IFERROR(I271/G271,0))</f>
        <v/>
      </c>
    </row>
    <row r="272">
      <c r="A272" s="27" t="n"/>
      <c r="B272" s="20" t="n"/>
      <c r="C272" s="20" t="n"/>
      <c r="D272" s="21" t="n"/>
      <c r="E272" s="22">
        <f>IF($C272="","",IFERROR(INDEX(Produits!$E$5:$E$17,MATCH($C272,Produits!$A$5:$A$17,0)),"Produit ?"))</f>
        <v/>
      </c>
      <c r="F272" s="22">
        <f>IF($C272="","",IFERROR(INDEX(Produits!$D$5:$D$17,MATCH($C272,Produits!$A$5:$A$17,0)),"Produit ?"))</f>
        <v/>
      </c>
      <c r="G272" s="7">
        <f>IF(OR($C272="",$D272=""),"",IFERROR(D272*E272,""))</f>
        <v/>
      </c>
      <c r="H272" s="7">
        <f>IF(G272="","",D272*F272)</f>
        <v/>
      </c>
      <c r="I272" s="7">
        <f>IF(G272="","",G272-H272)</f>
        <v/>
      </c>
      <c r="J272" s="26">
        <f>IF(G272="","",IFERROR(I272/G272,0))</f>
        <v/>
      </c>
    </row>
    <row r="273">
      <c r="A273" s="27" t="n"/>
      <c r="B273" s="20" t="n"/>
      <c r="C273" s="20" t="n"/>
      <c r="D273" s="21" t="n"/>
      <c r="E273" s="22">
        <f>IF($C273="","",IFERROR(INDEX(Produits!$E$5:$E$17,MATCH($C273,Produits!$A$5:$A$17,0)),"Produit ?"))</f>
        <v/>
      </c>
      <c r="F273" s="22">
        <f>IF($C273="","",IFERROR(INDEX(Produits!$D$5:$D$17,MATCH($C273,Produits!$A$5:$A$17,0)),"Produit ?"))</f>
        <v/>
      </c>
      <c r="G273" s="7">
        <f>IF(OR($C273="",$D273=""),"",IFERROR(D273*E273,""))</f>
        <v/>
      </c>
      <c r="H273" s="7">
        <f>IF(G273="","",D273*F273)</f>
        <v/>
      </c>
      <c r="I273" s="7">
        <f>IF(G273="","",G273-H273)</f>
        <v/>
      </c>
      <c r="J273" s="26">
        <f>IF(G273="","",IFERROR(I273/G273,0))</f>
        <v/>
      </c>
    </row>
    <row r="274">
      <c r="A274" s="27" t="n"/>
      <c r="B274" s="20" t="n"/>
      <c r="C274" s="20" t="n"/>
      <c r="D274" s="21" t="n"/>
      <c r="E274" s="22">
        <f>IF($C274="","",IFERROR(INDEX(Produits!$E$5:$E$17,MATCH($C274,Produits!$A$5:$A$17,0)),"Produit ?"))</f>
        <v/>
      </c>
      <c r="F274" s="22">
        <f>IF($C274="","",IFERROR(INDEX(Produits!$D$5:$D$17,MATCH($C274,Produits!$A$5:$A$17,0)),"Produit ?"))</f>
        <v/>
      </c>
      <c r="G274" s="7">
        <f>IF(OR($C274="",$D274=""),"",IFERROR(D274*E274,""))</f>
        <v/>
      </c>
      <c r="H274" s="7">
        <f>IF(G274="","",D274*F274)</f>
        <v/>
      </c>
      <c r="I274" s="7">
        <f>IF(G274="","",G274-H274)</f>
        <v/>
      </c>
      <c r="J274" s="26">
        <f>IF(G274="","",IFERROR(I274/G274,0))</f>
        <v/>
      </c>
    </row>
    <row r="275">
      <c r="A275" s="27" t="n"/>
      <c r="B275" s="20" t="n"/>
      <c r="C275" s="20" t="n"/>
      <c r="D275" s="21" t="n"/>
      <c r="E275" s="22">
        <f>IF($C275="","",IFERROR(INDEX(Produits!$E$5:$E$17,MATCH($C275,Produits!$A$5:$A$17,0)),"Produit ?"))</f>
        <v/>
      </c>
      <c r="F275" s="22">
        <f>IF($C275="","",IFERROR(INDEX(Produits!$D$5:$D$17,MATCH($C275,Produits!$A$5:$A$17,0)),"Produit ?"))</f>
        <v/>
      </c>
      <c r="G275" s="7">
        <f>IF(OR($C275="",$D275=""),"",IFERROR(D275*E275,""))</f>
        <v/>
      </c>
      <c r="H275" s="7">
        <f>IF(G275="","",D275*F275)</f>
        <v/>
      </c>
      <c r="I275" s="7">
        <f>IF(G275="","",G275-H275)</f>
        <v/>
      </c>
      <c r="J275" s="26">
        <f>IF(G275="","",IFERROR(I275/G275,0))</f>
        <v/>
      </c>
    </row>
    <row r="276">
      <c r="A276" s="27" t="n"/>
      <c r="B276" s="20" t="n"/>
      <c r="C276" s="20" t="n"/>
      <c r="D276" s="21" t="n"/>
      <c r="E276" s="22">
        <f>IF($C276="","",IFERROR(INDEX(Produits!$E$5:$E$17,MATCH($C276,Produits!$A$5:$A$17,0)),"Produit ?"))</f>
        <v/>
      </c>
      <c r="F276" s="22">
        <f>IF($C276="","",IFERROR(INDEX(Produits!$D$5:$D$17,MATCH($C276,Produits!$A$5:$A$17,0)),"Produit ?"))</f>
        <v/>
      </c>
      <c r="G276" s="7">
        <f>IF(OR($C276="",$D276=""),"",IFERROR(D276*E276,""))</f>
        <v/>
      </c>
      <c r="H276" s="7">
        <f>IF(G276="","",D276*F276)</f>
        <v/>
      </c>
      <c r="I276" s="7">
        <f>IF(G276="","",G276-H276)</f>
        <v/>
      </c>
      <c r="J276" s="26">
        <f>IF(G276="","",IFERROR(I276/G276,0))</f>
        <v/>
      </c>
    </row>
    <row r="277">
      <c r="A277" s="27" t="n"/>
      <c r="B277" s="20" t="n"/>
      <c r="C277" s="20" t="n"/>
      <c r="D277" s="21" t="n"/>
      <c r="E277" s="22">
        <f>IF($C277="","",IFERROR(INDEX(Produits!$E$5:$E$17,MATCH($C277,Produits!$A$5:$A$17,0)),"Produit ?"))</f>
        <v/>
      </c>
      <c r="F277" s="22">
        <f>IF($C277="","",IFERROR(INDEX(Produits!$D$5:$D$17,MATCH($C277,Produits!$A$5:$A$17,0)),"Produit ?"))</f>
        <v/>
      </c>
      <c r="G277" s="7">
        <f>IF(OR($C277="",$D277=""),"",IFERROR(D277*E277,""))</f>
        <v/>
      </c>
      <c r="H277" s="7">
        <f>IF(G277="","",D277*F277)</f>
        <v/>
      </c>
      <c r="I277" s="7">
        <f>IF(G277="","",G277-H277)</f>
        <v/>
      </c>
      <c r="J277" s="26">
        <f>IF(G277="","",IFERROR(I277/G277,0))</f>
        <v/>
      </c>
    </row>
    <row r="278">
      <c r="A278" s="27" t="n"/>
      <c r="B278" s="20" t="n"/>
      <c r="C278" s="20" t="n"/>
      <c r="D278" s="21" t="n"/>
      <c r="E278" s="22">
        <f>IF($C278="","",IFERROR(INDEX(Produits!$E$5:$E$17,MATCH($C278,Produits!$A$5:$A$17,0)),"Produit ?"))</f>
        <v/>
      </c>
      <c r="F278" s="22">
        <f>IF($C278="","",IFERROR(INDEX(Produits!$D$5:$D$17,MATCH($C278,Produits!$A$5:$A$17,0)),"Produit ?"))</f>
        <v/>
      </c>
      <c r="G278" s="7">
        <f>IF(OR($C278="",$D278=""),"",IFERROR(D278*E278,""))</f>
        <v/>
      </c>
      <c r="H278" s="7">
        <f>IF(G278="","",D278*F278)</f>
        <v/>
      </c>
      <c r="I278" s="7">
        <f>IF(G278="","",G278-H278)</f>
        <v/>
      </c>
      <c r="J278" s="26">
        <f>IF(G278="","",IFERROR(I278/G278,0))</f>
        <v/>
      </c>
    </row>
    <row r="279">
      <c r="A279" s="27" t="n"/>
      <c r="B279" s="20" t="n"/>
      <c r="C279" s="20" t="n"/>
      <c r="D279" s="21" t="n"/>
      <c r="E279" s="22">
        <f>IF($C279="","",IFERROR(INDEX(Produits!$E$5:$E$17,MATCH($C279,Produits!$A$5:$A$17,0)),"Produit ?"))</f>
        <v/>
      </c>
      <c r="F279" s="22">
        <f>IF($C279="","",IFERROR(INDEX(Produits!$D$5:$D$17,MATCH($C279,Produits!$A$5:$A$17,0)),"Produit ?"))</f>
        <v/>
      </c>
      <c r="G279" s="7">
        <f>IF(OR($C279="",$D279=""),"",IFERROR(D279*E279,""))</f>
        <v/>
      </c>
      <c r="H279" s="7">
        <f>IF(G279="","",D279*F279)</f>
        <v/>
      </c>
      <c r="I279" s="7">
        <f>IF(G279="","",G279-H279)</f>
        <v/>
      </c>
      <c r="J279" s="26">
        <f>IF(G279="","",IFERROR(I279/G279,0))</f>
        <v/>
      </c>
    </row>
    <row r="280">
      <c r="A280" s="27" t="n"/>
      <c r="B280" s="20" t="n"/>
      <c r="C280" s="20" t="n"/>
      <c r="D280" s="21" t="n"/>
      <c r="E280" s="22">
        <f>IF($C280="","",IFERROR(INDEX(Produits!$E$5:$E$17,MATCH($C280,Produits!$A$5:$A$17,0)),"Produit ?"))</f>
        <v/>
      </c>
      <c r="F280" s="22">
        <f>IF($C280="","",IFERROR(INDEX(Produits!$D$5:$D$17,MATCH($C280,Produits!$A$5:$A$17,0)),"Produit ?"))</f>
        <v/>
      </c>
      <c r="G280" s="7">
        <f>IF(OR($C280="",$D280=""),"",IFERROR(D280*E280,""))</f>
        <v/>
      </c>
      <c r="H280" s="7">
        <f>IF(G280="","",D280*F280)</f>
        <v/>
      </c>
      <c r="I280" s="7">
        <f>IF(G280="","",G280-H280)</f>
        <v/>
      </c>
      <c r="J280" s="26">
        <f>IF(G280="","",IFERROR(I280/G280,0))</f>
        <v/>
      </c>
    </row>
    <row r="281">
      <c r="A281" s="27" t="n"/>
      <c r="B281" s="20" t="n"/>
      <c r="C281" s="20" t="n"/>
      <c r="D281" s="21" t="n"/>
      <c r="E281" s="22">
        <f>IF($C281="","",IFERROR(INDEX(Produits!$E$5:$E$17,MATCH($C281,Produits!$A$5:$A$17,0)),"Produit ?"))</f>
        <v/>
      </c>
      <c r="F281" s="22">
        <f>IF($C281="","",IFERROR(INDEX(Produits!$D$5:$D$17,MATCH($C281,Produits!$A$5:$A$17,0)),"Produit ?"))</f>
        <v/>
      </c>
      <c r="G281" s="7">
        <f>IF(OR($C281="",$D281=""),"",IFERROR(D281*E281,""))</f>
        <v/>
      </c>
      <c r="H281" s="7">
        <f>IF(G281="","",D281*F281)</f>
        <v/>
      </c>
      <c r="I281" s="7">
        <f>IF(G281="","",G281-H281)</f>
        <v/>
      </c>
      <c r="J281" s="26">
        <f>IF(G281="","",IFERROR(I281/G281,0))</f>
        <v/>
      </c>
    </row>
    <row r="282">
      <c r="A282" s="27" t="n"/>
      <c r="B282" s="20" t="n"/>
      <c r="C282" s="20" t="n"/>
      <c r="D282" s="21" t="n"/>
      <c r="E282" s="22">
        <f>IF($C282="","",IFERROR(INDEX(Produits!$E$5:$E$17,MATCH($C282,Produits!$A$5:$A$17,0)),"Produit ?"))</f>
        <v/>
      </c>
      <c r="F282" s="22">
        <f>IF($C282="","",IFERROR(INDEX(Produits!$D$5:$D$17,MATCH($C282,Produits!$A$5:$A$17,0)),"Produit ?"))</f>
        <v/>
      </c>
      <c r="G282" s="7">
        <f>IF(OR($C282="",$D282=""),"",IFERROR(D282*E282,""))</f>
        <v/>
      </c>
      <c r="H282" s="7">
        <f>IF(G282="","",D282*F282)</f>
        <v/>
      </c>
      <c r="I282" s="7">
        <f>IF(G282="","",G282-H282)</f>
        <v/>
      </c>
      <c r="J282" s="26">
        <f>IF(G282="","",IFERROR(I282/G282,0))</f>
        <v/>
      </c>
    </row>
    <row r="283">
      <c r="A283" s="27" t="n"/>
      <c r="B283" s="20" t="n"/>
      <c r="C283" s="20" t="n"/>
      <c r="D283" s="21" t="n"/>
      <c r="E283" s="22">
        <f>IF($C283="","",IFERROR(INDEX(Produits!$E$5:$E$17,MATCH($C283,Produits!$A$5:$A$17,0)),"Produit ?"))</f>
        <v/>
      </c>
      <c r="F283" s="22">
        <f>IF($C283="","",IFERROR(INDEX(Produits!$D$5:$D$17,MATCH($C283,Produits!$A$5:$A$17,0)),"Produit ?"))</f>
        <v/>
      </c>
      <c r="G283" s="7">
        <f>IF(OR($C283="",$D283=""),"",IFERROR(D283*E283,""))</f>
        <v/>
      </c>
      <c r="H283" s="7">
        <f>IF(G283="","",D283*F283)</f>
        <v/>
      </c>
      <c r="I283" s="7">
        <f>IF(G283="","",G283-H283)</f>
        <v/>
      </c>
      <c r="J283" s="26">
        <f>IF(G283="","",IFERROR(I283/G283,0))</f>
        <v/>
      </c>
    </row>
    <row r="284">
      <c r="A284" s="27" t="n"/>
      <c r="B284" s="20" t="n"/>
      <c r="C284" s="20" t="n"/>
      <c r="D284" s="21" t="n"/>
      <c r="E284" s="22">
        <f>IF($C284="","",IFERROR(INDEX(Produits!$E$5:$E$17,MATCH($C284,Produits!$A$5:$A$17,0)),"Produit ?"))</f>
        <v/>
      </c>
      <c r="F284" s="22">
        <f>IF($C284="","",IFERROR(INDEX(Produits!$D$5:$D$17,MATCH($C284,Produits!$A$5:$A$17,0)),"Produit ?"))</f>
        <v/>
      </c>
      <c r="G284" s="7">
        <f>IF(OR($C284="",$D284=""),"",IFERROR(D284*E284,""))</f>
        <v/>
      </c>
      <c r="H284" s="7">
        <f>IF(G284="","",D284*F284)</f>
        <v/>
      </c>
      <c r="I284" s="7">
        <f>IF(G284="","",G284-H284)</f>
        <v/>
      </c>
      <c r="J284" s="26">
        <f>IF(G284="","",IFERROR(I284/G284,0))</f>
        <v/>
      </c>
    </row>
    <row r="285">
      <c r="A285" s="27" t="n"/>
      <c r="B285" s="20" t="n"/>
      <c r="C285" s="20" t="n"/>
      <c r="D285" s="21" t="n"/>
      <c r="E285" s="22">
        <f>IF($C285="","",IFERROR(INDEX(Produits!$E$5:$E$17,MATCH($C285,Produits!$A$5:$A$17,0)),"Produit ?"))</f>
        <v/>
      </c>
      <c r="F285" s="22">
        <f>IF($C285="","",IFERROR(INDEX(Produits!$D$5:$D$17,MATCH($C285,Produits!$A$5:$A$17,0)),"Produit ?"))</f>
        <v/>
      </c>
      <c r="G285" s="7">
        <f>IF(OR($C285="",$D285=""),"",IFERROR(D285*E285,""))</f>
        <v/>
      </c>
      <c r="H285" s="7">
        <f>IF(G285="","",D285*F285)</f>
        <v/>
      </c>
      <c r="I285" s="7">
        <f>IF(G285="","",G285-H285)</f>
        <v/>
      </c>
      <c r="J285" s="26">
        <f>IF(G285="","",IFERROR(I285/G285,0))</f>
        <v/>
      </c>
    </row>
    <row r="286">
      <c r="A286" s="27" t="n"/>
      <c r="B286" s="20" t="n"/>
      <c r="C286" s="20" t="n"/>
      <c r="D286" s="21" t="n"/>
      <c r="E286" s="22">
        <f>IF($C286="","",IFERROR(INDEX(Produits!$E$5:$E$17,MATCH($C286,Produits!$A$5:$A$17,0)),"Produit ?"))</f>
        <v/>
      </c>
      <c r="F286" s="22">
        <f>IF($C286="","",IFERROR(INDEX(Produits!$D$5:$D$17,MATCH($C286,Produits!$A$5:$A$17,0)),"Produit ?"))</f>
        <v/>
      </c>
      <c r="G286" s="7">
        <f>IF(OR($C286="",$D286=""),"",IFERROR(D286*E286,""))</f>
        <v/>
      </c>
      <c r="H286" s="7">
        <f>IF(G286="","",D286*F286)</f>
        <v/>
      </c>
      <c r="I286" s="7">
        <f>IF(G286="","",G286-H286)</f>
        <v/>
      </c>
      <c r="J286" s="26">
        <f>IF(G286="","",IFERROR(I286/G286,0))</f>
        <v/>
      </c>
    </row>
    <row r="287">
      <c r="A287" s="27" t="n"/>
      <c r="B287" s="20" t="n"/>
      <c r="C287" s="20" t="n"/>
      <c r="D287" s="21" t="n"/>
      <c r="E287" s="22">
        <f>IF($C287="","",IFERROR(INDEX(Produits!$E$5:$E$17,MATCH($C287,Produits!$A$5:$A$17,0)),"Produit ?"))</f>
        <v/>
      </c>
      <c r="F287" s="22">
        <f>IF($C287="","",IFERROR(INDEX(Produits!$D$5:$D$17,MATCH($C287,Produits!$A$5:$A$17,0)),"Produit ?"))</f>
        <v/>
      </c>
      <c r="G287" s="7">
        <f>IF(OR($C287="",$D287=""),"",IFERROR(D287*E287,""))</f>
        <v/>
      </c>
      <c r="H287" s="7">
        <f>IF(G287="","",D287*F287)</f>
        <v/>
      </c>
      <c r="I287" s="7">
        <f>IF(G287="","",G287-H287)</f>
        <v/>
      </c>
      <c r="J287" s="26">
        <f>IF(G287="","",IFERROR(I287/G287,0))</f>
        <v/>
      </c>
    </row>
    <row r="288">
      <c r="A288" s="27" t="n"/>
      <c r="B288" s="20" t="n"/>
      <c r="C288" s="20" t="n"/>
      <c r="D288" s="21" t="n"/>
      <c r="E288" s="22">
        <f>IF($C288="","",IFERROR(INDEX(Produits!$E$5:$E$17,MATCH($C288,Produits!$A$5:$A$17,0)),"Produit ?"))</f>
        <v/>
      </c>
      <c r="F288" s="22">
        <f>IF($C288="","",IFERROR(INDEX(Produits!$D$5:$D$17,MATCH($C288,Produits!$A$5:$A$17,0)),"Produit ?"))</f>
        <v/>
      </c>
      <c r="G288" s="7">
        <f>IF(OR($C288="",$D288=""),"",IFERROR(D288*E288,""))</f>
        <v/>
      </c>
      <c r="H288" s="7">
        <f>IF(G288="","",D288*F288)</f>
        <v/>
      </c>
      <c r="I288" s="7">
        <f>IF(G288="","",G288-H288)</f>
        <v/>
      </c>
      <c r="J288" s="26">
        <f>IF(G288="","",IFERROR(I288/G288,0))</f>
        <v/>
      </c>
    </row>
    <row r="289">
      <c r="A289" s="27" t="n"/>
      <c r="B289" s="20" t="n"/>
      <c r="C289" s="20" t="n"/>
      <c r="D289" s="21" t="n"/>
      <c r="E289" s="22">
        <f>IF($C289="","",IFERROR(INDEX(Produits!$E$5:$E$17,MATCH($C289,Produits!$A$5:$A$17,0)),"Produit ?"))</f>
        <v/>
      </c>
      <c r="F289" s="22">
        <f>IF($C289="","",IFERROR(INDEX(Produits!$D$5:$D$17,MATCH($C289,Produits!$A$5:$A$17,0)),"Produit ?"))</f>
        <v/>
      </c>
      <c r="G289" s="7">
        <f>IF(OR($C289="",$D289=""),"",IFERROR(D289*E289,""))</f>
        <v/>
      </c>
      <c r="H289" s="7">
        <f>IF(G289="","",D289*F289)</f>
        <v/>
      </c>
      <c r="I289" s="7">
        <f>IF(G289="","",G289-H289)</f>
        <v/>
      </c>
      <c r="J289" s="26">
        <f>IF(G289="","",IFERROR(I289/G289,0))</f>
        <v/>
      </c>
    </row>
    <row r="290">
      <c r="A290" s="27" t="n"/>
      <c r="B290" s="20" t="n"/>
      <c r="C290" s="20" t="n"/>
      <c r="D290" s="21" t="n"/>
      <c r="E290" s="22">
        <f>IF($C290="","",IFERROR(INDEX(Produits!$E$5:$E$17,MATCH($C290,Produits!$A$5:$A$17,0)),"Produit ?"))</f>
        <v/>
      </c>
      <c r="F290" s="22">
        <f>IF($C290="","",IFERROR(INDEX(Produits!$D$5:$D$17,MATCH($C290,Produits!$A$5:$A$17,0)),"Produit ?"))</f>
        <v/>
      </c>
      <c r="G290" s="7">
        <f>IF(OR($C290="",$D290=""),"",IFERROR(D290*E290,""))</f>
        <v/>
      </c>
      <c r="H290" s="7">
        <f>IF(G290="","",D290*F290)</f>
        <v/>
      </c>
      <c r="I290" s="7">
        <f>IF(G290="","",G290-H290)</f>
        <v/>
      </c>
      <c r="J290" s="26">
        <f>IF(G290="","",IFERROR(I290/G290,0))</f>
        <v/>
      </c>
    </row>
    <row r="291">
      <c r="A291" s="27" t="n"/>
      <c r="B291" s="20" t="n"/>
      <c r="C291" s="20" t="n"/>
      <c r="D291" s="21" t="n"/>
      <c r="E291" s="22">
        <f>IF($C291="","",IFERROR(INDEX(Produits!$E$5:$E$17,MATCH($C291,Produits!$A$5:$A$17,0)),"Produit ?"))</f>
        <v/>
      </c>
      <c r="F291" s="22">
        <f>IF($C291="","",IFERROR(INDEX(Produits!$D$5:$D$17,MATCH($C291,Produits!$A$5:$A$17,0)),"Produit ?"))</f>
        <v/>
      </c>
      <c r="G291" s="7">
        <f>IF(OR($C291="",$D291=""),"",IFERROR(D291*E291,""))</f>
        <v/>
      </c>
      <c r="H291" s="7">
        <f>IF(G291="","",D291*F291)</f>
        <v/>
      </c>
      <c r="I291" s="7">
        <f>IF(G291="","",G291-H291)</f>
        <v/>
      </c>
      <c r="J291" s="26">
        <f>IF(G291="","",IFERROR(I291/G291,0))</f>
        <v/>
      </c>
    </row>
    <row r="292">
      <c r="A292" s="27" t="n"/>
      <c r="B292" s="20" t="n"/>
      <c r="C292" s="20" t="n"/>
      <c r="D292" s="21" t="n"/>
      <c r="E292" s="22">
        <f>IF($C292="","",IFERROR(INDEX(Produits!$E$5:$E$17,MATCH($C292,Produits!$A$5:$A$17,0)),"Produit ?"))</f>
        <v/>
      </c>
      <c r="F292" s="22">
        <f>IF($C292="","",IFERROR(INDEX(Produits!$D$5:$D$17,MATCH($C292,Produits!$A$5:$A$17,0)),"Produit ?"))</f>
        <v/>
      </c>
      <c r="G292" s="7">
        <f>IF(OR($C292="",$D292=""),"",IFERROR(D292*E292,""))</f>
        <v/>
      </c>
      <c r="H292" s="7">
        <f>IF(G292="","",D292*F292)</f>
        <v/>
      </c>
      <c r="I292" s="7">
        <f>IF(G292="","",G292-H292)</f>
        <v/>
      </c>
      <c r="J292" s="26">
        <f>IF(G292="","",IFERROR(I292/G292,0))</f>
        <v/>
      </c>
    </row>
    <row r="293">
      <c r="A293" s="27" t="n"/>
      <c r="B293" s="20" t="n"/>
      <c r="C293" s="20" t="n"/>
      <c r="D293" s="21" t="n"/>
      <c r="E293" s="22">
        <f>IF($C293="","",IFERROR(INDEX(Produits!$E$5:$E$17,MATCH($C293,Produits!$A$5:$A$17,0)),"Produit ?"))</f>
        <v/>
      </c>
      <c r="F293" s="22">
        <f>IF($C293="","",IFERROR(INDEX(Produits!$D$5:$D$17,MATCH($C293,Produits!$A$5:$A$17,0)),"Produit ?"))</f>
        <v/>
      </c>
      <c r="G293" s="7">
        <f>IF(OR($C293="",$D293=""),"",IFERROR(D293*E293,""))</f>
        <v/>
      </c>
      <c r="H293" s="7">
        <f>IF(G293="","",D293*F293)</f>
        <v/>
      </c>
      <c r="I293" s="7">
        <f>IF(G293="","",G293-H293)</f>
        <v/>
      </c>
      <c r="J293" s="26">
        <f>IF(G293="","",IFERROR(I293/G293,0))</f>
        <v/>
      </c>
    </row>
    <row r="294">
      <c r="A294" s="27" t="n"/>
      <c r="B294" s="20" t="n"/>
      <c r="C294" s="20" t="n"/>
      <c r="D294" s="21" t="n"/>
      <c r="E294" s="22">
        <f>IF($C294="","",IFERROR(INDEX(Produits!$E$5:$E$17,MATCH($C294,Produits!$A$5:$A$17,0)),"Produit ?"))</f>
        <v/>
      </c>
      <c r="F294" s="22">
        <f>IF($C294="","",IFERROR(INDEX(Produits!$D$5:$D$17,MATCH($C294,Produits!$A$5:$A$17,0)),"Produit ?"))</f>
        <v/>
      </c>
      <c r="G294" s="7">
        <f>IF(OR($C294="",$D294=""),"",IFERROR(D294*E294,""))</f>
        <v/>
      </c>
      <c r="H294" s="7">
        <f>IF(G294="","",D294*F294)</f>
        <v/>
      </c>
      <c r="I294" s="7">
        <f>IF(G294="","",G294-H294)</f>
        <v/>
      </c>
      <c r="J294" s="26">
        <f>IF(G294="","",IFERROR(I294/G294,0))</f>
        <v/>
      </c>
    </row>
    <row r="295">
      <c r="A295" s="27" t="n"/>
      <c r="B295" s="20" t="n"/>
      <c r="C295" s="20" t="n"/>
      <c r="D295" s="21" t="n"/>
      <c r="E295" s="22">
        <f>IF($C295="","",IFERROR(INDEX(Produits!$E$5:$E$17,MATCH($C295,Produits!$A$5:$A$17,0)),"Produit ?"))</f>
        <v/>
      </c>
      <c r="F295" s="22">
        <f>IF($C295="","",IFERROR(INDEX(Produits!$D$5:$D$17,MATCH($C295,Produits!$A$5:$A$17,0)),"Produit ?"))</f>
        <v/>
      </c>
      <c r="G295" s="7">
        <f>IF(OR($C295="",$D295=""),"",IFERROR(D295*E295,""))</f>
        <v/>
      </c>
      <c r="H295" s="7">
        <f>IF(G295="","",D295*F295)</f>
        <v/>
      </c>
      <c r="I295" s="7">
        <f>IF(G295="","",G295-H295)</f>
        <v/>
      </c>
      <c r="J295" s="26">
        <f>IF(G295="","",IFERROR(I295/G295,0))</f>
        <v/>
      </c>
    </row>
    <row r="296">
      <c r="A296" s="27" t="n"/>
      <c r="B296" s="20" t="n"/>
      <c r="C296" s="20" t="n"/>
      <c r="D296" s="21" t="n"/>
      <c r="E296" s="22">
        <f>IF($C296="","",IFERROR(INDEX(Produits!$E$5:$E$17,MATCH($C296,Produits!$A$5:$A$17,0)),"Produit ?"))</f>
        <v/>
      </c>
      <c r="F296" s="22">
        <f>IF($C296="","",IFERROR(INDEX(Produits!$D$5:$D$17,MATCH($C296,Produits!$A$5:$A$17,0)),"Produit ?"))</f>
        <v/>
      </c>
      <c r="G296" s="7">
        <f>IF(OR($C296="",$D296=""),"",IFERROR(D296*E296,""))</f>
        <v/>
      </c>
      <c r="H296" s="7">
        <f>IF(G296="","",D296*F296)</f>
        <v/>
      </c>
      <c r="I296" s="7">
        <f>IF(G296="","",G296-H296)</f>
        <v/>
      </c>
      <c r="J296" s="26">
        <f>IF(G296="","",IFERROR(I296/G296,0))</f>
        <v/>
      </c>
    </row>
    <row r="297">
      <c r="A297" s="27" t="n"/>
      <c r="B297" s="20" t="n"/>
      <c r="C297" s="20" t="n"/>
      <c r="D297" s="21" t="n"/>
      <c r="E297" s="22">
        <f>IF($C297="","",IFERROR(INDEX(Produits!$E$5:$E$17,MATCH($C297,Produits!$A$5:$A$17,0)),"Produit ?"))</f>
        <v/>
      </c>
      <c r="F297" s="22">
        <f>IF($C297="","",IFERROR(INDEX(Produits!$D$5:$D$17,MATCH($C297,Produits!$A$5:$A$17,0)),"Produit ?"))</f>
        <v/>
      </c>
      <c r="G297" s="7">
        <f>IF(OR($C297="",$D297=""),"",IFERROR(D297*E297,""))</f>
        <v/>
      </c>
      <c r="H297" s="7">
        <f>IF(G297="","",D297*F297)</f>
        <v/>
      </c>
      <c r="I297" s="7">
        <f>IF(G297="","",G297-H297)</f>
        <v/>
      </c>
      <c r="J297" s="26">
        <f>IF(G297="","",IFERROR(I297/G297,0))</f>
        <v/>
      </c>
    </row>
    <row r="298">
      <c r="A298" s="27" t="n"/>
      <c r="B298" s="20" t="n"/>
      <c r="C298" s="20" t="n"/>
      <c r="D298" s="21" t="n"/>
      <c r="E298" s="22">
        <f>IF($C298="","",IFERROR(INDEX(Produits!$E$5:$E$17,MATCH($C298,Produits!$A$5:$A$17,0)),"Produit ?"))</f>
        <v/>
      </c>
      <c r="F298" s="22">
        <f>IF($C298="","",IFERROR(INDEX(Produits!$D$5:$D$17,MATCH($C298,Produits!$A$5:$A$17,0)),"Produit ?"))</f>
        <v/>
      </c>
      <c r="G298" s="7">
        <f>IF(OR($C298="",$D298=""),"",IFERROR(D298*E298,""))</f>
        <v/>
      </c>
      <c r="H298" s="7">
        <f>IF(G298="","",D298*F298)</f>
        <v/>
      </c>
      <c r="I298" s="7">
        <f>IF(G298="","",G298-H298)</f>
        <v/>
      </c>
      <c r="J298" s="26">
        <f>IF(G298="","",IFERROR(I298/G298,0))</f>
        <v/>
      </c>
    </row>
    <row r="299">
      <c r="A299" s="27" t="n"/>
      <c r="B299" s="20" t="n"/>
      <c r="C299" s="20" t="n"/>
      <c r="D299" s="21" t="n"/>
      <c r="E299" s="22">
        <f>IF($C299="","",IFERROR(INDEX(Produits!$E$5:$E$17,MATCH($C299,Produits!$A$5:$A$17,0)),"Produit ?"))</f>
        <v/>
      </c>
      <c r="F299" s="22">
        <f>IF($C299="","",IFERROR(INDEX(Produits!$D$5:$D$17,MATCH($C299,Produits!$A$5:$A$17,0)),"Produit ?"))</f>
        <v/>
      </c>
      <c r="G299" s="7">
        <f>IF(OR($C299="",$D299=""),"",IFERROR(D299*E299,""))</f>
        <v/>
      </c>
      <c r="H299" s="7">
        <f>IF(G299="","",D299*F299)</f>
        <v/>
      </c>
      <c r="I299" s="7">
        <f>IF(G299="","",G299-H299)</f>
        <v/>
      </c>
      <c r="J299" s="26">
        <f>IF(G299="","",IFERROR(I299/G299,0))</f>
        <v/>
      </c>
    </row>
    <row r="300">
      <c r="A300" s="27" t="n"/>
      <c r="B300" s="20" t="n"/>
      <c r="C300" s="20" t="n"/>
      <c r="D300" s="21" t="n"/>
      <c r="E300" s="22">
        <f>IF($C300="","",IFERROR(INDEX(Produits!$E$5:$E$17,MATCH($C300,Produits!$A$5:$A$17,0)),"Produit ?"))</f>
        <v/>
      </c>
      <c r="F300" s="22">
        <f>IF($C300="","",IFERROR(INDEX(Produits!$D$5:$D$17,MATCH($C300,Produits!$A$5:$A$17,0)),"Produit ?"))</f>
        <v/>
      </c>
      <c r="G300" s="7">
        <f>IF(OR($C300="",$D300=""),"",IFERROR(D300*E300,""))</f>
        <v/>
      </c>
      <c r="H300" s="7">
        <f>IF(G300="","",D300*F300)</f>
        <v/>
      </c>
      <c r="I300" s="7">
        <f>IF(G300="","",G300-H300)</f>
        <v/>
      </c>
      <c r="J300" s="26">
        <f>IF(G300="","",IFERROR(I300/G300,0))</f>
        <v/>
      </c>
    </row>
    <row r="301">
      <c r="A301" s="27" t="n"/>
      <c r="B301" s="20" t="n"/>
      <c r="C301" s="20" t="n"/>
      <c r="D301" s="21" t="n"/>
      <c r="E301" s="22">
        <f>IF($C301="","",IFERROR(INDEX(Produits!$E$5:$E$17,MATCH($C301,Produits!$A$5:$A$17,0)),"Produit ?"))</f>
        <v/>
      </c>
      <c r="F301" s="22">
        <f>IF($C301="","",IFERROR(INDEX(Produits!$D$5:$D$17,MATCH($C301,Produits!$A$5:$A$17,0)),"Produit ?"))</f>
        <v/>
      </c>
      <c r="G301" s="7">
        <f>IF(OR($C301="",$D301=""),"",IFERROR(D301*E301,""))</f>
        <v/>
      </c>
      <c r="H301" s="7">
        <f>IF(G301="","",D301*F301)</f>
        <v/>
      </c>
      <c r="I301" s="7">
        <f>IF(G301="","",G301-H301)</f>
        <v/>
      </c>
      <c r="J301" s="26">
        <f>IF(G301="","",IFERROR(I301/G301,0))</f>
        <v/>
      </c>
    </row>
    <row r="302">
      <c r="A302" s="27" t="n"/>
      <c r="B302" s="20" t="n"/>
      <c r="C302" s="20" t="n"/>
      <c r="D302" s="21" t="n"/>
      <c r="E302" s="22">
        <f>IF($C302="","",IFERROR(INDEX(Produits!$E$5:$E$17,MATCH($C302,Produits!$A$5:$A$17,0)),"Produit ?"))</f>
        <v/>
      </c>
      <c r="F302" s="22">
        <f>IF($C302="","",IFERROR(INDEX(Produits!$D$5:$D$17,MATCH($C302,Produits!$A$5:$A$17,0)),"Produit ?"))</f>
        <v/>
      </c>
      <c r="G302" s="7">
        <f>IF(OR($C302="",$D302=""),"",IFERROR(D302*E302,""))</f>
        <v/>
      </c>
      <c r="H302" s="7">
        <f>IF(G302="","",D302*F302)</f>
        <v/>
      </c>
      <c r="I302" s="7">
        <f>IF(G302="","",G302-H302)</f>
        <v/>
      </c>
      <c r="J302" s="26">
        <f>IF(G302="","",IFERROR(I302/G302,0))</f>
        <v/>
      </c>
    </row>
    <row r="303">
      <c r="A303" s="27" t="n"/>
      <c r="B303" s="20" t="n"/>
      <c r="C303" s="20" t="n"/>
      <c r="D303" s="21" t="n"/>
      <c r="E303" s="22">
        <f>IF($C303="","",IFERROR(INDEX(Produits!$E$5:$E$17,MATCH($C303,Produits!$A$5:$A$17,0)),"Produit ?"))</f>
        <v/>
      </c>
      <c r="F303" s="22">
        <f>IF($C303="","",IFERROR(INDEX(Produits!$D$5:$D$17,MATCH($C303,Produits!$A$5:$A$17,0)),"Produit ?"))</f>
        <v/>
      </c>
      <c r="G303" s="7">
        <f>IF(OR($C303="",$D303=""),"",IFERROR(D303*E303,""))</f>
        <v/>
      </c>
      <c r="H303" s="7">
        <f>IF(G303="","",D303*F303)</f>
        <v/>
      </c>
      <c r="I303" s="7">
        <f>IF(G303="","",G303-H303)</f>
        <v/>
      </c>
      <c r="J303" s="26">
        <f>IF(G303="","",IFERROR(I303/G303,0))</f>
        <v/>
      </c>
    </row>
    <row r="304">
      <c r="A304" s="27" t="n"/>
      <c r="B304" s="20" t="n"/>
      <c r="C304" s="20" t="n"/>
      <c r="D304" s="21" t="n"/>
      <c r="E304" s="22">
        <f>IF($C304="","",IFERROR(INDEX(Produits!$E$5:$E$17,MATCH($C304,Produits!$A$5:$A$17,0)),"Produit ?"))</f>
        <v/>
      </c>
      <c r="F304" s="22">
        <f>IF($C304="","",IFERROR(INDEX(Produits!$D$5:$D$17,MATCH($C304,Produits!$A$5:$A$17,0)),"Produit ?"))</f>
        <v/>
      </c>
      <c r="G304" s="7">
        <f>IF(OR($C304="",$D304=""),"",IFERROR(D304*E304,""))</f>
        <v/>
      </c>
      <c r="H304" s="7">
        <f>IF(G304="","",D304*F304)</f>
        <v/>
      </c>
      <c r="I304" s="7">
        <f>IF(G304="","",G304-H304)</f>
        <v/>
      </c>
      <c r="J304" s="26">
        <f>IF(G304="","",IFERROR(I304/G304,0))</f>
        <v/>
      </c>
    </row>
    <row r="305">
      <c r="A305" s="27" t="n"/>
      <c r="B305" s="20" t="n"/>
      <c r="C305" s="20" t="n"/>
      <c r="D305" s="21" t="n"/>
      <c r="E305" s="22">
        <f>IF($C305="","",IFERROR(INDEX(Produits!$E$5:$E$17,MATCH($C305,Produits!$A$5:$A$17,0)),"Produit ?"))</f>
        <v/>
      </c>
      <c r="F305" s="22">
        <f>IF($C305="","",IFERROR(INDEX(Produits!$D$5:$D$17,MATCH($C305,Produits!$A$5:$A$17,0)),"Produit ?"))</f>
        <v/>
      </c>
      <c r="G305" s="7">
        <f>IF(OR($C305="",$D305=""),"",IFERROR(D305*E305,""))</f>
        <v/>
      </c>
      <c r="H305" s="7">
        <f>IF(G305="","",D305*F305)</f>
        <v/>
      </c>
      <c r="I305" s="7">
        <f>IF(G305="","",G305-H305)</f>
        <v/>
      </c>
      <c r="J305" s="26">
        <f>IF(G305="","",IFERROR(I305/G305,0))</f>
        <v/>
      </c>
    </row>
    <row r="306">
      <c r="A306" s="27" t="n"/>
      <c r="B306" s="20" t="n"/>
      <c r="C306" s="20" t="n"/>
      <c r="D306" s="21" t="n"/>
      <c r="E306" s="22">
        <f>IF($C306="","",IFERROR(INDEX(Produits!$E$5:$E$17,MATCH($C306,Produits!$A$5:$A$17,0)),"Produit ?"))</f>
        <v/>
      </c>
      <c r="F306" s="22">
        <f>IF($C306="","",IFERROR(INDEX(Produits!$D$5:$D$17,MATCH($C306,Produits!$A$5:$A$17,0)),"Produit ?"))</f>
        <v/>
      </c>
      <c r="G306" s="7">
        <f>IF(OR($C306="",$D306=""),"",IFERROR(D306*E306,""))</f>
        <v/>
      </c>
      <c r="H306" s="7">
        <f>IF(G306="","",D306*F306)</f>
        <v/>
      </c>
      <c r="I306" s="7">
        <f>IF(G306="","",G306-H306)</f>
        <v/>
      </c>
      <c r="J306" s="26">
        <f>IF(G306="","",IFERROR(I306/G306,0))</f>
        <v/>
      </c>
    </row>
    <row r="307">
      <c r="A307" s="27" t="n"/>
      <c r="B307" s="20" t="n"/>
      <c r="C307" s="20" t="n"/>
      <c r="D307" s="21" t="n"/>
      <c r="E307" s="22">
        <f>IF($C307="","",IFERROR(INDEX(Produits!$E$5:$E$17,MATCH($C307,Produits!$A$5:$A$17,0)),"Produit ?"))</f>
        <v/>
      </c>
      <c r="F307" s="22">
        <f>IF($C307="","",IFERROR(INDEX(Produits!$D$5:$D$17,MATCH($C307,Produits!$A$5:$A$17,0)),"Produit ?"))</f>
        <v/>
      </c>
      <c r="G307" s="7">
        <f>IF(OR($C307="",$D307=""),"",IFERROR(D307*E307,""))</f>
        <v/>
      </c>
      <c r="H307" s="7">
        <f>IF(G307="","",D307*F307)</f>
        <v/>
      </c>
      <c r="I307" s="7">
        <f>IF(G307="","",G307-H307)</f>
        <v/>
      </c>
      <c r="J307" s="26">
        <f>IF(G307="","",IFERROR(I307/G307,0))</f>
        <v/>
      </c>
    </row>
    <row r="308">
      <c r="A308" s="27" t="n"/>
      <c r="B308" s="20" t="n"/>
      <c r="C308" s="20" t="n"/>
      <c r="D308" s="21" t="n"/>
      <c r="E308" s="22">
        <f>IF($C308="","",IFERROR(INDEX(Produits!$E$5:$E$17,MATCH($C308,Produits!$A$5:$A$17,0)),"Produit ?"))</f>
        <v/>
      </c>
      <c r="F308" s="22">
        <f>IF($C308="","",IFERROR(INDEX(Produits!$D$5:$D$17,MATCH($C308,Produits!$A$5:$A$17,0)),"Produit ?"))</f>
        <v/>
      </c>
      <c r="G308" s="7">
        <f>IF(OR($C308="",$D308=""),"",IFERROR(D308*E308,""))</f>
        <v/>
      </c>
      <c r="H308" s="7">
        <f>IF(G308="","",D308*F308)</f>
        <v/>
      </c>
      <c r="I308" s="7">
        <f>IF(G308="","",G308-H308)</f>
        <v/>
      </c>
      <c r="J308" s="26">
        <f>IF(G308="","",IFERROR(I308/G308,0))</f>
        <v/>
      </c>
    </row>
    <row r="309">
      <c r="A309" s="27" t="n"/>
      <c r="B309" s="20" t="n"/>
      <c r="C309" s="20" t="n"/>
      <c r="D309" s="21" t="n"/>
      <c r="E309" s="22">
        <f>IF($C309="","",IFERROR(INDEX(Produits!$E$5:$E$17,MATCH($C309,Produits!$A$5:$A$17,0)),"Produit ?"))</f>
        <v/>
      </c>
      <c r="F309" s="22">
        <f>IF($C309="","",IFERROR(INDEX(Produits!$D$5:$D$17,MATCH($C309,Produits!$A$5:$A$17,0)),"Produit ?"))</f>
        <v/>
      </c>
      <c r="G309" s="7">
        <f>IF(OR($C309="",$D309=""),"",IFERROR(D309*E309,""))</f>
        <v/>
      </c>
      <c r="H309" s="7">
        <f>IF(G309="","",D309*F309)</f>
        <v/>
      </c>
      <c r="I309" s="7">
        <f>IF(G309="","",G309-H309)</f>
        <v/>
      </c>
      <c r="J309" s="26">
        <f>IF(G309="","",IFERROR(I309/G309,0))</f>
        <v/>
      </c>
    </row>
    <row r="310">
      <c r="A310" s="27" t="n"/>
      <c r="B310" s="20" t="n"/>
      <c r="C310" s="20" t="n"/>
      <c r="D310" s="21" t="n"/>
      <c r="E310" s="22">
        <f>IF($C310="","",IFERROR(INDEX(Produits!$E$5:$E$17,MATCH($C310,Produits!$A$5:$A$17,0)),"Produit ?"))</f>
        <v/>
      </c>
      <c r="F310" s="22">
        <f>IF($C310="","",IFERROR(INDEX(Produits!$D$5:$D$17,MATCH($C310,Produits!$A$5:$A$17,0)),"Produit ?"))</f>
        <v/>
      </c>
      <c r="G310" s="7">
        <f>IF(OR($C310="",$D310=""),"",IFERROR(D310*E310,""))</f>
        <v/>
      </c>
      <c r="H310" s="7">
        <f>IF(G310="","",D310*F310)</f>
        <v/>
      </c>
      <c r="I310" s="7">
        <f>IF(G310="","",G310-H310)</f>
        <v/>
      </c>
      <c r="J310" s="26">
        <f>IF(G310="","",IFERROR(I310/G310,0))</f>
        <v/>
      </c>
    </row>
    <row r="311">
      <c r="A311" s="27" t="n"/>
      <c r="B311" s="20" t="n"/>
      <c r="C311" s="20" t="n"/>
      <c r="D311" s="21" t="n"/>
      <c r="E311" s="22">
        <f>IF($C311="","",IFERROR(INDEX(Produits!$E$5:$E$17,MATCH($C311,Produits!$A$5:$A$17,0)),"Produit ?"))</f>
        <v/>
      </c>
      <c r="F311" s="22">
        <f>IF($C311="","",IFERROR(INDEX(Produits!$D$5:$D$17,MATCH($C311,Produits!$A$5:$A$17,0)),"Produit ?"))</f>
        <v/>
      </c>
      <c r="G311" s="7">
        <f>IF(OR($C311="",$D311=""),"",IFERROR(D311*E311,""))</f>
        <v/>
      </c>
      <c r="H311" s="7">
        <f>IF(G311="","",D311*F311)</f>
        <v/>
      </c>
      <c r="I311" s="7">
        <f>IF(G311="","",G311-H311)</f>
        <v/>
      </c>
      <c r="J311" s="26">
        <f>IF(G311="","",IFERROR(I311/G311,0))</f>
        <v/>
      </c>
    </row>
    <row r="312">
      <c r="A312" s="27" t="n"/>
      <c r="B312" s="20" t="n"/>
      <c r="C312" s="20" t="n"/>
      <c r="D312" s="21" t="n"/>
      <c r="E312" s="22">
        <f>IF($C312="","",IFERROR(INDEX(Produits!$E$5:$E$17,MATCH($C312,Produits!$A$5:$A$17,0)),"Produit ?"))</f>
        <v/>
      </c>
      <c r="F312" s="22">
        <f>IF($C312="","",IFERROR(INDEX(Produits!$D$5:$D$17,MATCH($C312,Produits!$A$5:$A$17,0)),"Produit ?"))</f>
        <v/>
      </c>
      <c r="G312" s="7">
        <f>IF(OR($C312="",$D312=""),"",IFERROR(D312*E312,""))</f>
        <v/>
      </c>
      <c r="H312" s="7">
        <f>IF(G312="","",D312*F312)</f>
        <v/>
      </c>
      <c r="I312" s="7">
        <f>IF(G312="","",G312-H312)</f>
        <v/>
      </c>
      <c r="J312" s="26">
        <f>IF(G312="","",IFERROR(I312/G312,0))</f>
        <v/>
      </c>
    </row>
    <row r="313">
      <c r="A313" s="27" t="n"/>
      <c r="B313" s="20" t="n"/>
      <c r="C313" s="20" t="n"/>
      <c r="D313" s="21" t="n"/>
      <c r="E313" s="22">
        <f>IF($C313="","",IFERROR(INDEX(Produits!$E$5:$E$17,MATCH($C313,Produits!$A$5:$A$17,0)),"Produit ?"))</f>
        <v/>
      </c>
      <c r="F313" s="22">
        <f>IF($C313="","",IFERROR(INDEX(Produits!$D$5:$D$17,MATCH($C313,Produits!$A$5:$A$17,0)),"Produit ?"))</f>
        <v/>
      </c>
      <c r="G313" s="7">
        <f>IF(OR($C313="",$D313=""),"",IFERROR(D313*E313,""))</f>
        <v/>
      </c>
      <c r="H313" s="7">
        <f>IF(G313="","",D313*F313)</f>
        <v/>
      </c>
      <c r="I313" s="7">
        <f>IF(G313="","",G313-H313)</f>
        <v/>
      </c>
      <c r="J313" s="26">
        <f>IF(G313="","",IFERROR(I313/G313,0))</f>
        <v/>
      </c>
    </row>
    <row r="314">
      <c r="A314" s="27" t="n"/>
      <c r="B314" s="20" t="n"/>
      <c r="C314" s="20" t="n"/>
      <c r="D314" s="21" t="n"/>
      <c r="E314" s="22">
        <f>IF($C314="","",IFERROR(INDEX(Produits!$E$5:$E$17,MATCH($C314,Produits!$A$5:$A$17,0)),"Produit ?"))</f>
        <v/>
      </c>
      <c r="F314" s="22">
        <f>IF($C314="","",IFERROR(INDEX(Produits!$D$5:$D$17,MATCH($C314,Produits!$A$5:$A$17,0)),"Produit ?"))</f>
        <v/>
      </c>
      <c r="G314" s="7">
        <f>IF(OR($C314="",$D314=""),"",IFERROR(D314*E314,""))</f>
        <v/>
      </c>
      <c r="H314" s="7">
        <f>IF(G314="","",D314*F314)</f>
        <v/>
      </c>
      <c r="I314" s="7">
        <f>IF(G314="","",G314-H314)</f>
        <v/>
      </c>
      <c r="J314" s="26">
        <f>IF(G314="","",IFERROR(I314/G314,0))</f>
        <v/>
      </c>
    </row>
    <row r="315">
      <c r="A315" s="27" t="n"/>
      <c r="B315" s="20" t="n"/>
      <c r="C315" s="20" t="n"/>
      <c r="D315" s="21" t="n"/>
      <c r="E315" s="22">
        <f>IF($C315="","",IFERROR(INDEX(Produits!$E$5:$E$17,MATCH($C315,Produits!$A$5:$A$17,0)),"Produit ?"))</f>
        <v/>
      </c>
      <c r="F315" s="22">
        <f>IF($C315="","",IFERROR(INDEX(Produits!$D$5:$D$17,MATCH($C315,Produits!$A$5:$A$17,0)),"Produit ?"))</f>
        <v/>
      </c>
      <c r="G315" s="7">
        <f>IF(OR($C315="",$D315=""),"",IFERROR(D315*E315,""))</f>
        <v/>
      </c>
      <c r="H315" s="7">
        <f>IF(G315="","",D315*F315)</f>
        <v/>
      </c>
      <c r="I315" s="7">
        <f>IF(G315="","",G315-H315)</f>
        <v/>
      </c>
      <c r="J315" s="26">
        <f>IF(G315="","",IFERROR(I315/G315,0))</f>
        <v/>
      </c>
    </row>
    <row r="316">
      <c r="A316" s="27" t="n"/>
      <c r="B316" s="20" t="n"/>
      <c r="C316" s="20" t="n"/>
      <c r="D316" s="21" t="n"/>
      <c r="E316" s="22">
        <f>IF($C316="","",IFERROR(INDEX(Produits!$E$5:$E$17,MATCH($C316,Produits!$A$5:$A$17,0)),"Produit ?"))</f>
        <v/>
      </c>
      <c r="F316" s="22">
        <f>IF($C316="","",IFERROR(INDEX(Produits!$D$5:$D$17,MATCH($C316,Produits!$A$5:$A$17,0)),"Produit ?"))</f>
        <v/>
      </c>
      <c r="G316" s="7">
        <f>IF(OR($C316="",$D316=""),"",IFERROR(D316*E316,""))</f>
        <v/>
      </c>
      <c r="H316" s="7">
        <f>IF(G316="","",D316*F316)</f>
        <v/>
      </c>
      <c r="I316" s="7">
        <f>IF(G316="","",G316-H316)</f>
        <v/>
      </c>
      <c r="J316" s="26">
        <f>IF(G316="","",IFERROR(I316/G316,0))</f>
        <v/>
      </c>
    </row>
    <row r="317">
      <c r="A317" s="27" t="n"/>
      <c r="B317" s="20" t="n"/>
      <c r="C317" s="20" t="n"/>
      <c r="D317" s="21" t="n"/>
      <c r="E317" s="22">
        <f>IF($C317="","",IFERROR(INDEX(Produits!$E$5:$E$17,MATCH($C317,Produits!$A$5:$A$17,0)),"Produit ?"))</f>
        <v/>
      </c>
      <c r="F317" s="22">
        <f>IF($C317="","",IFERROR(INDEX(Produits!$D$5:$D$17,MATCH($C317,Produits!$A$5:$A$17,0)),"Produit ?"))</f>
        <v/>
      </c>
      <c r="G317" s="7">
        <f>IF(OR($C317="",$D317=""),"",IFERROR(D317*E317,""))</f>
        <v/>
      </c>
      <c r="H317" s="7">
        <f>IF(G317="","",D317*F317)</f>
        <v/>
      </c>
      <c r="I317" s="7">
        <f>IF(G317="","",G317-H317)</f>
        <v/>
      </c>
      <c r="J317" s="26">
        <f>IF(G317="","",IFERROR(I317/G317,0))</f>
        <v/>
      </c>
    </row>
    <row r="318">
      <c r="A318" s="27" t="n"/>
      <c r="B318" s="20" t="n"/>
      <c r="C318" s="20" t="n"/>
      <c r="D318" s="21" t="n"/>
      <c r="E318" s="22">
        <f>IF($C318="","",IFERROR(INDEX(Produits!$E$5:$E$17,MATCH($C318,Produits!$A$5:$A$17,0)),"Produit ?"))</f>
        <v/>
      </c>
      <c r="F318" s="22">
        <f>IF($C318="","",IFERROR(INDEX(Produits!$D$5:$D$17,MATCH($C318,Produits!$A$5:$A$17,0)),"Produit ?"))</f>
        <v/>
      </c>
      <c r="G318" s="7">
        <f>IF(OR($C318="",$D318=""),"",IFERROR(D318*E318,""))</f>
        <v/>
      </c>
      <c r="H318" s="7">
        <f>IF(G318="","",D318*F318)</f>
        <v/>
      </c>
      <c r="I318" s="7">
        <f>IF(G318="","",G318-H318)</f>
        <v/>
      </c>
      <c r="J318" s="26">
        <f>IF(G318="","",IFERROR(I318/G318,0))</f>
        <v/>
      </c>
    </row>
    <row r="319">
      <c r="A319" s="27" t="n"/>
      <c r="B319" s="20" t="n"/>
      <c r="C319" s="20" t="n"/>
      <c r="D319" s="21" t="n"/>
      <c r="E319" s="22">
        <f>IF($C319="","",IFERROR(INDEX(Produits!$E$5:$E$17,MATCH($C319,Produits!$A$5:$A$17,0)),"Produit ?"))</f>
        <v/>
      </c>
      <c r="F319" s="22">
        <f>IF($C319="","",IFERROR(INDEX(Produits!$D$5:$D$17,MATCH($C319,Produits!$A$5:$A$17,0)),"Produit ?"))</f>
        <v/>
      </c>
      <c r="G319" s="7">
        <f>IF(OR($C319="",$D319=""),"",IFERROR(D319*E319,""))</f>
        <v/>
      </c>
      <c r="H319" s="7">
        <f>IF(G319="","",D319*F319)</f>
        <v/>
      </c>
      <c r="I319" s="7">
        <f>IF(G319="","",G319-H319)</f>
        <v/>
      </c>
      <c r="J319" s="26">
        <f>IF(G319="","",IFERROR(I319/G319,0))</f>
        <v/>
      </c>
    </row>
    <row r="320">
      <c r="A320" s="27" t="n"/>
      <c r="B320" s="20" t="n"/>
      <c r="C320" s="20" t="n"/>
      <c r="D320" s="21" t="n"/>
      <c r="E320" s="22">
        <f>IF($C320="","",IFERROR(INDEX(Produits!$E$5:$E$17,MATCH($C320,Produits!$A$5:$A$17,0)),"Produit ?"))</f>
        <v/>
      </c>
      <c r="F320" s="22">
        <f>IF($C320="","",IFERROR(INDEX(Produits!$D$5:$D$17,MATCH($C320,Produits!$A$5:$A$17,0)),"Produit ?"))</f>
        <v/>
      </c>
      <c r="G320" s="7">
        <f>IF(OR($C320="",$D320=""),"",IFERROR(D320*E320,""))</f>
        <v/>
      </c>
      <c r="H320" s="7">
        <f>IF(G320="","",D320*F320)</f>
        <v/>
      </c>
      <c r="I320" s="7">
        <f>IF(G320="","",G320-H320)</f>
        <v/>
      </c>
      <c r="J320" s="26">
        <f>IF(G320="","",IFERROR(I320/G320,0))</f>
        <v/>
      </c>
    </row>
    <row r="321">
      <c r="A321" s="27" t="n"/>
      <c r="B321" s="20" t="n"/>
      <c r="C321" s="20" t="n"/>
      <c r="D321" s="21" t="n"/>
      <c r="E321" s="22">
        <f>IF($C321="","",IFERROR(INDEX(Produits!$E$5:$E$17,MATCH($C321,Produits!$A$5:$A$17,0)),"Produit ?"))</f>
        <v/>
      </c>
      <c r="F321" s="22">
        <f>IF($C321="","",IFERROR(INDEX(Produits!$D$5:$D$17,MATCH($C321,Produits!$A$5:$A$17,0)),"Produit ?"))</f>
        <v/>
      </c>
      <c r="G321" s="7">
        <f>IF(OR($C321="",$D321=""),"",IFERROR(D321*E321,""))</f>
        <v/>
      </c>
      <c r="H321" s="7">
        <f>IF(G321="","",D321*F321)</f>
        <v/>
      </c>
      <c r="I321" s="7">
        <f>IF(G321="","",G321-H321)</f>
        <v/>
      </c>
      <c r="J321" s="26">
        <f>IF(G321="","",IFERROR(I321/G321,0))</f>
        <v/>
      </c>
    </row>
    <row r="322">
      <c r="A322" s="27" t="n"/>
      <c r="B322" s="20" t="n"/>
      <c r="C322" s="20" t="n"/>
      <c r="D322" s="21" t="n"/>
      <c r="E322" s="22">
        <f>IF($C322="","",IFERROR(INDEX(Produits!$E$5:$E$17,MATCH($C322,Produits!$A$5:$A$17,0)),"Produit ?"))</f>
        <v/>
      </c>
      <c r="F322" s="22">
        <f>IF($C322="","",IFERROR(INDEX(Produits!$D$5:$D$17,MATCH($C322,Produits!$A$5:$A$17,0)),"Produit ?"))</f>
        <v/>
      </c>
      <c r="G322" s="7">
        <f>IF(OR($C322="",$D322=""),"",IFERROR(D322*E322,""))</f>
        <v/>
      </c>
      <c r="H322" s="7">
        <f>IF(G322="","",D322*F322)</f>
        <v/>
      </c>
      <c r="I322" s="7">
        <f>IF(G322="","",G322-H322)</f>
        <v/>
      </c>
      <c r="J322" s="26">
        <f>IF(G322="","",IFERROR(I322/G322,0))</f>
        <v/>
      </c>
    </row>
    <row r="323">
      <c r="A323" s="27" t="n"/>
      <c r="B323" s="20" t="n"/>
      <c r="C323" s="20" t="n"/>
      <c r="D323" s="21" t="n"/>
      <c r="E323" s="22">
        <f>IF($C323="","",IFERROR(INDEX(Produits!$E$5:$E$17,MATCH($C323,Produits!$A$5:$A$17,0)),"Produit ?"))</f>
        <v/>
      </c>
      <c r="F323" s="22">
        <f>IF($C323="","",IFERROR(INDEX(Produits!$D$5:$D$17,MATCH($C323,Produits!$A$5:$A$17,0)),"Produit ?"))</f>
        <v/>
      </c>
      <c r="G323" s="7">
        <f>IF(OR($C323="",$D323=""),"",IFERROR(D323*E323,""))</f>
        <v/>
      </c>
      <c r="H323" s="7">
        <f>IF(G323="","",D323*F323)</f>
        <v/>
      </c>
      <c r="I323" s="7">
        <f>IF(G323="","",G323-H323)</f>
        <v/>
      </c>
      <c r="J323" s="26">
        <f>IF(G323="","",IFERROR(I323/G323,0))</f>
        <v/>
      </c>
    </row>
    <row r="324">
      <c r="A324" s="27" t="n"/>
      <c r="B324" s="20" t="n"/>
      <c r="C324" s="20" t="n"/>
      <c r="D324" s="21" t="n"/>
      <c r="E324" s="22">
        <f>IF($C324="","",IFERROR(INDEX(Produits!$E$5:$E$17,MATCH($C324,Produits!$A$5:$A$17,0)),"Produit ?"))</f>
        <v/>
      </c>
      <c r="F324" s="22">
        <f>IF($C324="","",IFERROR(INDEX(Produits!$D$5:$D$17,MATCH($C324,Produits!$A$5:$A$17,0)),"Produit ?"))</f>
        <v/>
      </c>
      <c r="G324" s="7">
        <f>IF(OR($C324="",$D324=""),"",IFERROR(D324*E324,""))</f>
        <v/>
      </c>
      <c r="H324" s="7">
        <f>IF(G324="","",D324*F324)</f>
        <v/>
      </c>
      <c r="I324" s="7">
        <f>IF(G324="","",G324-H324)</f>
        <v/>
      </c>
      <c r="J324" s="26">
        <f>IF(G324="","",IFERROR(I324/G324,0))</f>
        <v/>
      </c>
    </row>
    <row r="325">
      <c r="A325" s="27" t="n"/>
      <c r="B325" s="20" t="n"/>
      <c r="C325" s="20" t="n"/>
      <c r="D325" s="21" t="n"/>
      <c r="E325" s="22">
        <f>IF($C325="","",IFERROR(INDEX(Produits!$E$5:$E$17,MATCH($C325,Produits!$A$5:$A$17,0)),"Produit ?"))</f>
        <v/>
      </c>
      <c r="F325" s="22">
        <f>IF($C325="","",IFERROR(INDEX(Produits!$D$5:$D$17,MATCH($C325,Produits!$A$5:$A$17,0)),"Produit ?"))</f>
        <v/>
      </c>
      <c r="G325" s="7">
        <f>IF(OR($C325="",$D325=""),"",IFERROR(D325*E325,""))</f>
        <v/>
      </c>
      <c r="H325" s="7">
        <f>IF(G325="","",D325*F325)</f>
        <v/>
      </c>
      <c r="I325" s="7">
        <f>IF(G325="","",G325-H325)</f>
        <v/>
      </c>
      <c r="J325" s="26">
        <f>IF(G325="","",IFERROR(I325/G325,0))</f>
        <v/>
      </c>
    </row>
    <row r="326">
      <c r="A326" s="27" t="n"/>
      <c r="B326" s="20" t="n"/>
      <c r="C326" s="20" t="n"/>
      <c r="D326" s="21" t="n"/>
      <c r="E326" s="22">
        <f>IF($C326="","",IFERROR(INDEX(Produits!$E$5:$E$17,MATCH($C326,Produits!$A$5:$A$17,0)),"Produit ?"))</f>
        <v/>
      </c>
      <c r="F326" s="22">
        <f>IF($C326="","",IFERROR(INDEX(Produits!$D$5:$D$17,MATCH($C326,Produits!$A$5:$A$17,0)),"Produit ?"))</f>
        <v/>
      </c>
      <c r="G326" s="7">
        <f>IF(OR($C326="",$D326=""),"",IFERROR(D326*E326,""))</f>
        <v/>
      </c>
      <c r="H326" s="7">
        <f>IF(G326="","",D326*F326)</f>
        <v/>
      </c>
      <c r="I326" s="7">
        <f>IF(G326="","",G326-H326)</f>
        <v/>
      </c>
      <c r="J326" s="26">
        <f>IF(G326="","",IFERROR(I326/G326,0))</f>
        <v/>
      </c>
    </row>
    <row r="327">
      <c r="A327" s="27" t="n"/>
      <c r="B327" s="20" t="n"/>
      <c r="C327" s="20" t="n"/>
      <c r="D327" s="21" t="n"/>
      <c r="E327" s="22">
        <f>IF($C327="","",IFERROR(INDEX(Produits!$E$5:$E$17,MATCH($C327,Produits!$A$5:$A$17,0)),"Produit ?"))</f>
        <v/>
      </c>
      <c r="F327" s="22">
        <f>IF($C327="","",IFERROR(INDEX(Produits!$D$5:$D$17,MATCH($C327,Produits!$A$5:$A$17,0)),"Produit ?"))</f>
        <v/>
      </c>
      <c r="G327" s="7">
        <f>IF(OR($C327="",$D327=""),"",IFERROR(D327*E327,""))</f>
        <v/>
      </c>
      <c r="H327" s="7">
        <f>IF(G327="","",D327*F327)</f>
        <v/>
      </c>
      <c r="I327" s="7">
        <f>IF(G327="","",G327-H327)</f>
        <v/>
      </c>
      <c r="J327" s="26">
        <f>IF(G327="","",IFERROR(I327/G327,0))</f>
        <v/>
      </c>
    </row>
    <row r="328">
      <c r="A328" s="27" t="n"/>
      <c r="B328" s="20" t="n"/>
      <c r="C328" s="20" t="n"/>
      <c r="D328" s="21" t="n"/>
      <c r="E328" s="22">
        <f>IF($C328="","",IFERROR(INDEX(Produits!$E$5:$E$17,MATCH($C328,Produits!$A$5:$A$17,0)),"Produit ?"))</f>
        <v/>
      </c>
      <c r="F328" s="22">
        <f>IF($C328="","",IFERROR(INDEX(Produits!$D$5:$D$17,MATCH($C328,Produits!$A$5:$A$17,0)),"Produit ?"))</f>
        <v/>
      </c>
      <c r="G328" s="7">
        <f>IF(OR($C328="",$D328=""),"",IFERROR(D328*E328,""))</f>
        <v/>
      </c>
      <c r="H328" s="7">
        <f>IF(G328="","",D328*F328)</f>
        <v/>
      </c>
      <c r="I328" s="7">
        <f>IF(G328="","",G328-H328)</f>
        <v/>
      </c>
      <c r="J328" s="26">
        <f>IF(G328="","",IFERROR(I328/G328,0))</f>
        <v/>
      </c>
    </row>
    <row r="329">
      <c r="A329" s="27" t="n"/>
      <c r="B329" s="20" t="n"/>
      <c r="C329" s="20" t="n"/>
      <c r="D329" s="21" t="n"/>
      <c r="E329" s="22">
        <f>IF($C329="","",IFERROR(INDEX(Produits!$E$5:$E$17,MATCH($C329,Produits!$A$5:$A$17,0)),"Produit ?"))</f>
        <v/>
      </c>
      <c r="F329" s="22">
        <f>IF($C329="","",IFERROR(INDEX(Produits!$D$5:$D$17,MATCH($C329,Produits!$A$5:$A$17,0)),"Produit ?"))</f>
        <v/>
      </c>
      <c r="G329" s="7">
        <f>IF(OR($C329="",$D329=""),"",IFERROR(D329*E329,""))</f>
        <v/>
      </c>
      <c r="H329" s="7">
        <f>IF(G329="","",D329*F329)</f>
        <v/>
      </c>
      <c r="I329" s="7">
        <f>IF(G329="","",G329-H329)</f>
        <v/>
      </c>
      <c r="J329" s="26">
        <f>IF(G329="","",IFERROR(I329/G329,0))</f>
        <v/>
      </c>
    </row>
    <row r="330">
      <c r="A330" s="27" t="n"/>
      <c r="B330" s="20" t="n"/>
      <c r="C330" s="20" t="n"/>
      <c r="D330" s="21" t="n"/>
      <c r="E330" s="22">
        <f>IF($C330="","",IFERROR(INDEX(Produits!$E$5:$E$17,MATCH($C330,Produits!$A$5:$A$17,0)),"Produit ?"))</f>
        <v/>
      </c>
      <c r="F330" s="22">
        <f>IF($C330="","",IFERROR(INDEX(Produits!$D$5:$D$17,MATCH($C330,Produits!$A$5:$A$17,0)),"Produit ?"))</f>
        <v/>
      </c>
      <c r="G330" s="7">
        <f>IF(OR($C330="",$D330=""),"",IFERROR(D330*E330,""))</f>
        <v/>
      </c>
      <c r="H330" s="7">
        <f>IF(G330="","",D330*F330)</f>
        <v/>
      </c>
      <c r="I330" s="7">
        <f>IF(G330="","",G330-H330)</f>
        <v/>
      </c>
      <c r="J330" s="26">
        <f>IF(G330="","",IFERROR(I330/G330,0))</f>
        <v/>
      </c>
    </row>
    <row r="331">
      <c r="A331" s="27" t="n"/>
      <c r="B331" s="20" t="n"/>
      <c r="C331" s="20" t="n"/>
      <c r="D331" s="21" t="n"/>
      <c r="E331" s="22">
        <f>IF($C331="","",IFERROR(INDEX(Produits!$E$5:$E$17,MATCH($C331,Produits!$A$5:$A$17,0)),"Produit ?"))</f>
        <v/>
      </c>
      <c r="F331" s="22">
        <f>IF($C331="","",IFERROR(INDEX(Produits!$D$5:$D$17,MATCH($C331,Produits!$A$5:$A$17,0)),"Produit ?"))</f>
        <v/>
      </c>
      <c r="G331" s="7">
        <f>IF(OR($C331="",$D331=""),"",IFERROR(D331*E331,""))</f>
        <v/>
      </c>
      <c r="H331" s="7">
        <f>IF(G331="","",D331*F331)</f>
        <v/>
      </c>
      <c r="I331" s="7">
        <f>IF(G331="","",G331-H331)</f>
        <v/>
      </c>
      <c r="J331" s="26">
        <f>IF(G331="","",IFERROR(I331/G331,0))</f>
        <v/>
      </c>
    </row>
    <row r="332">
      <c r="A332" s="27" t="n"/>
      <c r="B332" s="20" t="n"/>
      <c r="C332" s="20" t="n"/>
      <c r="D332" s="21" t="n"/>
      <c r="E332" s="22">
        <f>IF($C332="","",IFERROR(INDEX(Produits!$E$5:$E$17,MATCH($C332,Produits!$A$5:$A$17,0)),"Produit ?"))</f>
        <v/>
      </c>
      <c r="F332" s="22">
        <f>IF($C332="","",IFERROR(INDEX(Produits!$D$5:$D$17,MATCH($C332,Produits!$A$5:$A$17,0)),"Produit ?"))</f>
        <v/>
      </c>
      <c r="G332" s="7">
        <f>IF(OR($C332="",$D332=""),"",IFERROR(D332*E332,""))</f>
        <v/>
      </c>
      <c r="H332" s="7">
        <f>IF(G332="","",D332*F332)</f>
        <v/>
      </c>
      <c r="I332" s="7">
        <f>IF(G332="","",G332-H332)</f>
        <v/>
      </c>
      <c r="J332" s="26">
        <f>IF(G332="","",IFERROR(I332/G332,0))</f>
        <v/>
      </c>
    </row>
    <row r="333">
      <c r="A333" s="27" t="n"/>
      <c r="B333" s="20" t="n"/>
      <c r="C333" s="20" t="n"/>
      <c r="D333" s="21" t="n"/>
      <c r="E333" s="22">
        <f>IF($C333="","",IFERROR(INDEX(Produits!$E$5:$E$17,MATCH($C333,Produits!$A$5:$A$17,0)),"Produit ?"))</f>
        <v/>
      </c>
      <c r="F333" s="22">
        <f>IF($C333="","",IFERROR(INDEX(Produits!$D$5:$D$17,MATCH($C333,Produits!$A$5:$A$17,0)),"Produit ?"))</f>
        <v/>
      </c>
      <c r="G333" s="7">
        <f>IF(OR($C333="",$D333=""),"",IFERROR(D333*E333,""))</f>
        <v/>
      </c>
      <c r="H333" s="7">
        <f>IF(G333="","",D333*F333)</f>
        <v/>
      </c>
      <c r="I333" s="7">
        <f>IF(G333="","",G333-H333)</f>
        <v/>
      </c>
      <c r="J333" s="26">
        <f>IF(G333="","",IFERROR(I333/G333,0))</f>
        <v/>
      </c>
    </row>
    <row r="334">
      <c r="A334" s="27" t="n"/>
      <c r="B334" s="20" t="n"/>
      <c r="C334" s="20" t="n"/>
      <c r="D334" s="21" t="n"/>
      <c r="E334" s="22">
        <f>IF($C334="","",IFERROR(INDEX(Produits!$E$5:$E$17,MATCH($C334,Produits!$A$5:$A$17,0)),"Produit ?"))</f>
        <v/>
      </c>
      <c r="F334" s="22">
        <f>IF($C334="","",IFERROR(INDEX(Produits!$D$5:$D$17,MATCH($C334,Produits!$A$5:$A$17,0)),"Produit ?"))</f>
        <v/>
      </c>
      <c r="G334" s="7">
        <f>IF(OR($C334="",$D334=""),"",IFERROR(D334*E334,""))</f>
        <v/>
      </c>
      <c r="H334" s="7">
        <f>IF(G334="","",D334*F334)</f>
        <v/>
      </c>
      <c r="I334" s="7">
        <f>IF(G334="","",G334-H334)</f>
        <v/>
      </c>
      <c r="J334" s="26">
        <f>IF(G334="","",IFERROR(I334/G334,0))</f>
        <v/>
      </c>
    </row>
    <row r="335">
      <c r="A335" s="27" t="n"/>
      <c r="B335" s="20" t="n"/>
      <c r="C335" s="20" t="n"/>
      <c r="D335" s="21" t="n"/>
      <c r="E335" s="22">
        <f>IF($C335="","",IFERROR(INDEX(Produits!$E$5:$E$17,MATCH($C335,Produits!$A$5:$A$17,0)),"Produit ?"))</f>
        <v/>
      </c>
      <c r="F335" s="22">
        <f>IF($C335="","",IFERROR(INDEX(Produits!$D$5:$D$17,MATCH($C335,Produits!$A$5:$A$17,0)),"Produit ?"))</f>
        <v/>
      </c>
      <c r="G335" s="7">
        <f>IF(OR($C335="",$D335=""),"",IFERROR(D335*E335,""))</f>
        <v/>
      </c>
      <c r="H335" s="7">
        <f>IF(G335="","",D335*F335)</f>
        <v/>
      </c>
      <c r="I335" s="7">
        <f>IF(G335="","",G335-H335)</f>
        <v/>
      </c>
      <c r="J335" s="26">
        <f>IF(G335="","",IFERROR(I335/G335,0))</f>
        <v/>
      </c>
    </row>
    <row r="336">
      <c r="A336" s="27" t="n"/>
      <c r="B336" s="20" t="n"/>
      <c r="C336" s="20" t="n"/>
      <c r="D336" s="21" t="n"/>
      <c r="E336" s="22">
        <f>IF($C336="","",IFERROR(INDEX(Produits!$E$5:$E$17,MATCH($C336,Produits!$A$5:$A$17,0)),"Produit ?"))</f>
        <v/>
      </c>
      <c r="F336" s="22">
        <f>IF($C336="","",IFERROR(INDEX(Produits!$D$5:$D$17,MATCH($C336,Produits!$A$5:$A$17,0)),"Produit ?"))</f>
        <v/>
      </c>
      <c r="G336" s="7">
        <f>IF(OR($C336="",$D336=""),"",IFERROR(D336*E336,""))</f>
        <v/>
      </c>
      <c r="H336" s="7">
        <f>IF(G336="","",D336*F336)</f>
        <v/>
      </c>
      <c r="I336" s="7">
        <f>IF(G336="","",G336-H336)</f>
        <v/>
      </c>
      <c r="J336" s="26">
        <f>IF(G336="","",IFERROR(I336/G336,0))</f>
        <v/>
      </c>
    </row>
    <row r="337">
      <c r="A337" s="27" t="n"/>
      <c r="B337" s="20" t="n"/>
      <c r="C337" s="20" t="n"/>
      <c r="D337" s="21" t="n"/>
      <c r="E337" s="22">
        <f>IF($C337="","",IFERROR(INDEX(Produits!$E$5:$E$17,MATCH($C337,Produits!$A$5:$A$17,0)),"Produit ?"))</f>
        <v/>
      </c>
      <c r="F337" s="22">
        <f>IF($C337="","",IFERROR(INDEX(Produits!$D$5:$D$17,MATCH($C337,Produits!$A$5:$A$17,0)),"Produit ?"))</f>
        <v/>
      </c>
      <c r="G337" s="7">
        <f>IF(OR($C337="",$D337=""),"",IFERROR(D337*E337,""))</f>
        <v/>
      </c>
      <c r="H337" s="7">
        <f>IF(G337="","",D337*F337)</f>
        <v/>
      </c>
      <c r="I337" s="7">
        <f>IF(G337="","",G337-H337)</f>
        <v/>
      </c>
      <c r="J337" s="26">
        <f>IF(G337="","",IFERROR(I337/G337,0))</f>
        <v/>
      </c>
    </row>
    <row r="338">
      <c r="A338" s="27" t="n"/>
      <c r="B338" s="20" t="n"/>
      <c r="C338" s="20" t="n"/>
      <c r="D338" s="21" t="n"/>
      <c r="E338" s="22">
        <f>IF($C338="","",IFERROR(INDEX(Produits!$E$5:$E$17,MATCH($C338,Produits!$A$5:$A$17,0)),"Produit ?"))</f>
        <v/>
      </c>
      <c r="F338" s="22">
        <f>IF($C338="","",IFERROR(INDEX(Produits!$D$5:$D$17,MATCH($C338,Produits!$A$5:$A$17,0)),"Produit ?"))</f>
        <v/>
      </c>
      <c r="G338" s="7">
        <f>IF(OR($C338="",$D338=""),"",IFERROR(D338*E338,""))</f>
        <v/>
      </c>
      <c r="H338" s="7">
        <f>IF(G338="","",D338*F338)</f>
        <v/>
      </c>
      <c r="I338" s="7">
        <f>IF(G338="","",G338-H338)</f>
        <v/>
      </c>
      <c r="J338" s="26">
        <f>IF(G338="","",IFERROR(I338/G338,0))</f>
        <v/>
      </c>
    </row>
    <row r="339">
      <c r="A339" s="27" t="n"/>
      <c r="B339" s="20" t="n"/>
      <c r="C339" s="20" t="n"/>
      <c r="D339" s="21" t="n"/>
      <c r="E339" s="22">
        <f>IF($C339="","",IFERROR(INDEX(Produits!$E$5:$E$17,MATCH($C339,Produits!$A$5:$A$17,0)),"Produit ?"))</f>
        <v/>
      </c>
      <c r="F339" s="22">
        <f>IF($C339="","",IFERROR(INDEX(Produits!$D$5:$D$17,MATCH($C339,Produits!$A$5:$A$17,0)),"Produit ?"))</f>
        <v/>
      </c>
      <c r="G339" s="7">
        <f>IF(OR($C339="",$D339=""),"",IFERROR(D339*E339,""))</f>
        <v/>
      </c>
      <c r="H339" s="7">
        <f>IF(G339="","",D339*F339)</f>
        <v/>
      </c>
      <c r="I339" s="7">
        <f>IF(G339="","",G339-H339)</f>
        <v/>
      </c>
      <c r="J339" s="26">
        <f>IF(G339="","",IFERROR(I339/G339,0))</f>
        <v/>
      </c>
    </row>
    <row r="340">
      <c r="A340" s="27" t="n"/>
      <c r="B340" s="20" t="n"/>
      <c r="C340" s="20" t="n"/>
      <c r="D340" s="21" t="n"/>
      <c r="E340" s="22">
        <f>IF($C340="","",IFERROR(INDEX(Produits!$E$5:$E$17,MATCH($C340,Produits!$A$5:$A$17,0)),"Produit ?"))</f>
        <v/>
      </c>
      <c r="F340" s="22">
        <f>IF($C340="","",IFERROR(INDEX(Produits!$D$5:$D$17,MATCH($C340,Produits!$A$5:$A$17,0)),"Produit ?"))</f>
        <v/>
      </c>
      <c r="G340" s="7">
        <f>IF(OR($C340="",$D340=""),"",IFERROR(D340*E340,""))</f>
        <v/>
      </c>
      <c r="H340" s="7">
        <f>IF(G340="","",D340*F340)</f>
        <v/>
      </c>
      <c r="I340" s="7">
        <f>IF(G340="","",G340-H340)</f>
        <v/>
      </c>
      <c r="J340" s="26">
        <f>IF(G340="","",IFERROR(I340/G340,0))</f>
        <v/>
      </c>
    </row>
    <row r="341">
      <c r="A341" s="27" t="n"/>
      <c r="B341" s="20" t="n"/>
      <c r="C341" s="20" t="n"/>
      <c r="D341" s="21" t="n"/>
      <c r="E341" s="22">
        <f>IF($C341="","",IFERROR(INDEX(Produits!$E$5:$E$17,MATCH($C341,Produits!$A$5:$A$17,0)),"Produit ?"))</f>
        <v/>
      </c>
      <c r="F341" s="22">
        <f>IF($C341="","",IFERROR(INDEX(Produits!$D$5:$D$17,MATCH($C341,Produits!$A$5:$A$17,0)),"Produit ?"))</f>
        <v/>
      </c>
      <c r="G341" s="7">
        <f>IF(OR($C341="",$D341=""),"",IFERROR(D341*E341,""))</f>
        <v/>
      </c>
      <c r="H341" s="7">
        <f>IF(G341="","",D341*F341)</f>
        <v/>
      </c>
      <c r="I341" s="7">
        <f>IF(G341="","",G341-H341)</f>
        <v/>
      </c>
      <c r="J341" s="26">
        <f>IF(G341="","",IFERROR(I341/G341,0))</f>
        <v/>
      </c>
    </row>
    <row r="342">
      <c r="A342" s="27" t="n"/>
      <c r="B342" s="20" t="n"/>
      <c r="C342" s="20" t="n"/>
      <c r="D342" s="21" t="n"/>
      <c r="E342" s="22">
        <f>IF($C342="","",IFERROR(INDEX(Produits!$E$5:$E$17,MATCH($C342,Produits!$A$5:$A$17,0)),"Produit ?"))</f>
        <v/>
      </c>
      <c r="F342" s="22">
        <f>IF($C342="","",IFERROR(INDEX(Produits!$D$5:$D$17,MATCH($C342,Produits!$A$5:$A$17,0)),"Produit ?"))</f>
        <v/>
      </c>
      <c r="G342" s="7">
        <f>IF(OR($C342="",$D342=""),"",IFERROR(D342*E342,""))</f>
        <v/>
      </c>
      <c r="H342" s="7">
        <f>IF(G342="","",D342*F342)</f>
        <v/>
      </c>
      <c r="I342" s="7">
        <f>IF(G342="","",G342-H342)</f>
        <v/>
      </c>
      <c r="J342" s="26">
        <f>IF(G342="","",IFERROR(I342/G342,0))</f>
        <v/>
      </c>
    </row>
    <row r="343">
      <c r="A343" s="27" t="n"/>
      <c r="B343" s="20" t="n"/>
      <c r="C343" s="20" t="n"/>
      <c r="D343" s="21" t="n"/>
      <c r="E343" s="22">
        <f>IF($C343="","",IFERROR(INDEX(Produits!$E$5:$E$17,MATCH($C343,Produits!$A$5:$A$17,0)),"Produit ?"))</f>
        <v/>
      </c>
      <c r="F343" s="22">
        <f>IF($C343="","",IFERROR(INDEX(Produits!$D$5:$D$17,MATCH($C343,Produits!$A$5:$A$17,0)),"Produit ?"))</f>
        <v/>
      </c>
      <c r="G343" s="7">
        <f>IF(OR($C343="",$D343=""),"",IFERROR(D343*E343,""))</f>
        <v/>
      </c>
      <c r="H343" s="7">
        <f>IF(G343="","",D343*F343)</f>
        <v/>
      </c>
      <c r="I343" s="7">
        <f>IF(G343="","",G343-H343)</f>
        <v/>
      </c>
      <c r="J343" s="26">
        <f>IF(G343="","",IFERROR(I343/G343,0))</f>
        <v/>
      </c>
    </row>
    <row r="344">
      <c r="A344" s="27" t="n"/>
      <c r="B344" s="20" t="n"/>
      <c r="C344" s="20" t="n"/>
      <c r="D344" s="21" t="n"/>
      <c r="E344" s="22">
        <f>IF($C344="","",IFERROR(INDEX(Produits!$E$5:$E$17,MATCH($C344,Produits!$A$5:$A$17,0)),"Produit ?"))</f>
        <v/>
      </c>
      <c r="F344" s="22">
        <f>IF($C344="","",IFERROR(INDEX(Produits!$D$5:$D$17,MATCH($C344,Produits!$A$5:$A$17,0)),"Produit ?"))</f>
        <v/>
      </c>
      <c r="G344" s="7">
        <f>IF(OR($C344="",$D344=""),"",IFERROR(D344*E344,""))</f>
        <v/>
      </c>
      <c r="H344" s="7">
        <f>IF(G344="","",D344*F344)</f>
        <v/>
      </c>
      <c r="I344" s="7">
        <f>IF(G344="","",G344-H344)</f>
        <v/>
      </c>
      <c r="J344" s="26">
        <f>IF(G344="","",IFERROR(I344/G344,0))</f>
        <v/>
      </c>
    </row>
    <row r="345">
      <c r="A345" s="27" t="n"/>
      <c r="B345" s="20" t="n"/>
      <c r="C345" s="20" t="n"/>
      <c r="D345" s="21" t="n"/>
      <c r="E345" s="22">
        <f>IF($C345="","",IFERROR(INDEX(Produits!$E$5:$E$17,MATCH($C345,Produits!$A$5:$A$17,0)),"Produit ?"))</f>
        <v/>
      </c>
      <c r="F345" s="22">
        <f>IF($C345="","",IFERROR(INDEX(Produits!$D$5:$D$17,MATCH($C345,Produits!$A$5:$A$17,0)),"Produit ?"))</f>
        <v/>
      </c>
      <c r="G345" s="7">
        <f>IF(OR($C345="",$D345=""),"",IFERROR(D345*E345,""))</f>
        <v/>
      </c>
      <c r="H345" s="7">
        <f>IF(G345="","",D345*F345)</f>
        <v/>
      </c>
      <c r="I345" s="7">
        <f>IF(G345="","",G345-H345)</f>
        <v/>
      </c>
      <c r="J345" s="26">
        <f>IF(G345="","",IFERROR(I345/G345,0))</f>
        <v/>
      </c>
    </row>
    <row r="346">
      <c r="A346" s="27" t="n"/>
      <c r="B346" s="20" t="n"/>
      <c r="C346" s="20" t="n"/>
      <c r="D346" s="21" t="n"/>
      <c r="E346" s="22">
        <f>IF($C346="","",IFERROR(INDEX(Produits!$E$5:$E$17,MATCH($C346,Produits!$A$5:$A$17,0)),"Produit ?"))</f>
        <v/>
      </c>
      <c r="F346" s="22">
        <f>IF($C346="","",IFERROR(INDEX(Produits!$D$5:$D$17,MATCH($C346,Produits!$A$5:$A$17,0)),"Produit ?"))</f>
        <v/>
      </c>
      <c r="G346" s="7">
        <f>IF(OR($C346="",$D346=""),"",IFERROR(D346*E346,""))</f>
        <v/>
      </c>
      <c r="H346" s="7">
        <f>IF(G346="","",D346*F346)</f>
        <v/>
      </c>
      <c r="I346" s="7">
        <f>IF(G346="","",G346-H346)</f>
        <v/>
      </c>
      <c r="J346" s="26">
        <f>IF(G346="","",IFERROR(I346/G346,0))</f>
        <v/>
      </c>
    </row>
    <row r="347">
      <c r="A347" s="27" t="n"/>
      <c r="B347" s="20" t="n"/>
      <c r="C347" s="20" t="n"/>
      <c r="D347" s="21" t="n"/>
      <c r="E347" s="22">
        <f>IF($C347="","",IFERROR(INDEX(Produits!$E$5:$E$17,MATCH($C347,Produits!$A$5:$A$17,0)),"Produit ?"))</f>
        <v/>
      </c>
      <c r="F347" s="22">
        <f>IF($C347="","",IFERROR(INDEX(Produits!$D$5:$D$17,MATCH($C347,Produits!$A$5:$A$17,0)),"Produit ?"))</f>
        <v/>
      </c>
      <c r="G347" s="7">
        <f>IF(OR($C347="",$D347=""),"",IFERROR(D347*E347,""))</f>
        <v/>
      </c>
      <c r="H347" s="7">
        <f>IF(G347="","",D347*F347)</f>
        <v/>
      </c>
      <c r="I347" s="7">
        <f>IF(G347="","",G347-H347)</f>
        <v/>
      </c>
      <c r="J347" s="26">
        <f>IF(G347="","",IFERROR(I347/G347,0))</f>
        <v/>
      </c>
    </row>
    <row r="348">
      <c r="A348" s="27" t="n"/>
      <c r="B348" s="20" t="n"/>
      <c r="C348" s="20" t="n"/>
      <c r="D348" s="21" t="n"/>
      <c r="E348" s="22">
        <f>IF($C348="","",IFERROR(INDEX(Produits!$E$5:$E$17,MATCH($C348,Produits!$A$5:$A$17,0)),"Produit ?"))</f>
        <v/>
      </c>
      <c r="F348" s="22">
        <f>IF($C348="","",IFERROR(INDEX(Produits!$D$5:$D$17,MATCH($C348,Produits!$A$5:$A$17,0)),"Produit ?"))</f>
        <v/>
      </c>
      <c r="G348" s="7">
        <f>IF(OR($C348="",$D348=""),"",IFERROR(D348*E348,""))</f>
        <v/>
      </c>
      <c r="H348" s="7">
        <f>IF(G348="","",D348*F348)</f>
        <v/>
      </c>
      <c r="I348" s="7">
        <f>IF(G348="","",G348-H348)</f>
        <v/>
      </c>
      <c r="J348" s="26">
        <f>IF(G348="","",IFERROR(I348/G348,0))</f>
        <v/>
      </c>
    </row>
    <row r="349">
      <c r="A349" s="27" t="n"/>
      <c r="B349" s="20" t="n"/>
      <c r="C349" s="20" t="n"/>
      <c r="D349" s="21" t="n"/>
      <c r="E349" s="22">
        <f>IF($C349="","",IFERROR(INDEX(Produits!$E$5:$E$17,MATCH($C349,Produits!$A$5:$A$17,0)),"Produit ?"))</f>
        <v/>
      </c>
      <c r="F349" s="22">
        <f>IF($C349="","",IFERROR(INDEX(Produits!$D$5:$D$17,MATCH($C349,Produits!$A$5:$A$17,0)),"Produit ?"))</f>
        <v/>
      </c>
      <c r="G349" s="7">
        <f>IF(OR($C349="",$D349=""),"",IFERROR(D349*E349,""))</f>
        <v/>
      </c>
      <c r="H349" s="7">
        <f>IF(G349="","",D349*F349)</f>
        <v/>
      </c>
      <c r="I349" s="7">
        <f>IF(G349="","",G349-H349)</f>
        <v/>
      </c>
      <c r="J349" s="26">
        <f>IF(G349="","",IFERROR(I349/G349,0))</f>
        <v/>
      </c>
    </row>
    <row r="350">
      <c r="A350" s="27" t="n"/>
      <c r="B350" s="20" t="n"/>
      <c r="C350" s="20" t="n"/>
      <c r="D350" s="21" t="n"/>
      <c r="E350" s="22">
        <f>IF($C350="","",IFERROR(INDEX(Produits!$E$5:$E$17,MATCH($C350,Produits!$A$5:$A$17,0)),"Produit ?"))</f>
        <v/>
      </c>
      <c r="F350" s="22">
        <f>IF($C350="","",IFERROR(INDEX(Produits!$D$5:$D$17,MATCH($C350,Produits!$A$5:$A$17,0)),"Produit ?"))</f>
        <v/>
      </c>
      <c r="G350" s="7">
        <f>IF(OR($C350="",$D350=""),"",IFERROR(D350*E350,""))</f>
        <v/>
      </c>
      <c r="H350" s="7">
        <f>IF(G350="","",D350*F350)</f>
        <v/>
      </c>
      <c r="I350" s="7">
        <f>IF(G350="","",G350-H350)</f>
        <v/>
      </c>
      <c r="J350" s="26">
        <f>IF(G350="","",IFERROR(I350/G350,0))</f>
        <v/>
      </c>
    </row>
    <row r="351">
      <c r="A351" s="27" t="n"/>
      <c r="B351" s="20" t="n"/>
      <c r="C351" s="20" t="n"/>
      <c r="D351" s="21" t="n"/>
      <c r="E351" s="22">
        <f>IF($C351="","",IFERROR(INDEX(Produits!$E$5:$E$17,MATCH($C351,Produits!$A$5:$A$17,0)),"Produit ?"))</f>
        <v/>
      </c>
      <c r="F351" s="22">
        <f>IF($C351="","",IFERROR(INDEX(Produits!$D$5:$D$17,MATCH($C351,Produits!$A$5:$A$17,0)),"Produit ?"))</f>
        <v/>
      </c>
      <c r="G351" s="7">
        <f>IF(OR($C351="",$D351=""),"",IFERROR(D351*E351,""))</f>
        <v/>
      </c>
      <c r="H351" s="7">
        <f>IF(G351="","",D351*F351)</f>
        <v/>
      </c>
      <c r="I351" s="7">
        <f>IF(G351="","",G351-H351)</f>
        <v/>
      </c>
      <c r="J351" s="26">
        <f>IF(G351="","",IFERROR(I351/G351,0))</f>
        <v/>
      </c>
    </row>
    <row r="352">
      <c r="A352" s="27" t="n"/>
      <c r="B352" s="20" t="n"/>
      <c r="C352" s="20" t="n"/>
      <c r="D352" s="21" t="n"/>
      <c r="E352" s="22">
        <f>IF($C352="","",IFERROR(INDEX(Produits!$E$5:$E$17,MATCH($C352,Produits!$A$5:$A$17,0)),"Produit ?"))</f>
        <v/>
      </c>
      <c r="F352" s="22">
        <f>IF($C352="","",IFERROR(INDEX(Produits!$D$5:$D$17,MATCH($C352,Produits!$A$5:$A$17,0)),"Produit ?"))</f>
        <v/>
      </c>
      <c r="G352" s="7">
        <f>IF(OR($C352="",$D352=""),"",IFERROR(D352*E352,""))</f>
        <v/>
      </c>
      <c r="H352" s="7">
        <f>IF(G352="","",D352*F352)</f>
        <v/>
      </c>
      <c r="I352" s="7">
        <f>IF(G352="","",G352-H352)</f>
        <v/>
      </c>
      <c r="J352" s="26">
        <f>IF(G352="","",IFERROR(I352/G352,0))</f>
        <v/>
      </c>
    </row>
    <row r="353">
      <c r="A353" s="27" t="n"/>
      <c r="B353" s="20" t="n"/>
      <c r="C353" s="20" t="n"/>
      <c r="D353" s="21" t="n"/>
      <c r="E353" s="22">
        <f>IF($C353="","",IFERROR(INDEX(Produits!$E$5:$E$17,MATCH($C353,Produits!$A$5:$A$17,0)),"Produit ?"))</f>
        <v/>
      </c>
      <c r="F353" s="22">
        <f>IF($C353="","",IFERROR(INDEX(Produits!$D$5:$D$17,MATCH($C353,Produits!$A$5:$A$17,0)),"Produit ?"))</f>
        <v/>
      </c>
      <c r="G353" s="7">
        <f>IF(OR($C353="",$D353=""),"",IFERROR(D353*E353,""))</f>
        <v/>
      </c>
      <c r="H353" s="7">
        <f>IF(G353="","",D353*F353)</f>
        <v/>
      </c>
      <c r="I353" s="7">
        <f>IF(G353="","",G353-H353)</f>
        <v/>
      </c>
      <c r="J353" s="26">
        <f>IF(G353="","",IFERROR(I353/G353,0))</f>
        <v/>
      </c>
    </row>
    <row r="354">
      <c r="A354" s="27" t="n"/>
      <c r="B354" s="20" t="n"/>
      <c r="C354" s="20" t="n"/>
      <c r="D354" s="21" t="n"/>
      <c r="E354" s="22">
        <f>IF($C354="","",IFERROR(INDEX(Produits!$E$5:$E$17,MATCH($C354,Produits!$A$5:$A$17,0)),"Produit ?"))</f>
        <v/>
      </c>
      <c r="F354" s="22">
        <f>IF($C354="","",IFERROR(INDEX(Produits!$D$5:$D$17,MATCH($C354,Produits!$A$5:$A$17,0)),"Produit ?"))</f>
        <v/>
      </c>
      <c r="G354" s="7">
        <f>IF(OR($C354="",$D354=""),"",IFERROR(D354*E354,""))</f>
        <v/>
      </c>
      <c r="H354" s="7">
        <f>IF(G354="","",D354*F354)</f>
        <v/>
      </c>
      <c r="I354" s="7">
        <f>IF(G354="","",G354-H354)</f>
        <v/>
      </c>
      <c r="J354" s="26">
        <f>IF(G354="","",IFERROR(I354/G354,0))</f>
        <v/>
      </c>
    </row>
    <row r="355">
      <c r="A355" s="27" t="n"/>
      <c r="B355" s="20" t="n"/>
      <c r="C355" s="20" t="n"/>
      <c r="D355" s="21" t="n"/>
      <c r="E355" s="22">
        <f>IF($C355="","",IFERROR(INDEX(Produits!$E$5:$E$17,MATCH($C355,Produits!$A$5:$A$17,0)),"Produit ?"))</f>
        <v/>
      </c>
      <c r="F355" s="22">
        <f>IF($C355="","",IFERROR(INDEX(Produits!$D$5:$D$17,MATCH($C355,Produits!$A$5:$A$17,0)),"Produit ?"))</f>
        <v/>
      </c>
      <c r="G355" s="7">
        <f>IF(OR($C355="",$D355=""),"",IFERROR(D355*E355,""))</f>
        <v/>
      </c>
      <c r="H355" s="7">
        <f>IF(G355="","",D355*F355)</f>
        <v/>
      </c>
      <c r="I355" s="7">
        <f>IF(G355="","",G355-H355)</f>
        <v/>
      </c>
      <c r="J355" s="26">
        <f>IF(G355="","",IFERROR(I355/G355,0))</f>
        <v/>
      </c>
    </row>
    <row r="356">
      <c r="A356" s="27" t="n"/>
      <c r="B356" s="20" t="n"/>
      <c r="C356" s="20" t="n"/>
      <c r="D356" s="21" t="n"/>
      <c r="E356" s="22">
        <f>IF($C356="","",IFERROR(INDEX(Produits!$E$5:$E$17,MATCH($C356,Produits!$A$5:$A$17,0)),"Produit ?"))</f>
        <v/>
      </c>
      <c r="F356" s="22">
        <f>IF($C356="","",IFERROR(INDEX(Produits!$D$5:$D$17,MATCH($C356,Produits!$A$5:$A$17,0)),"Produit ?"))</f>
        <v/>
      </c>
      <c r="G356" s="7">
        <f>IF(OR($C356="",$D356=""),"",IFERROR(D356*E356,""))</f>
        <v/>
      </c>
      <c r="H356" s="7">
        <f>IF(G356="","",D356*F356)</f>
        <v/>
      </c>
      <c r="I356" s="7">
        <f>IF(G356="","",G356-H356)</f>
        <v/>
      </c>
      <c r="J356" s="26">
        <f>IF(G356="","",IFERROR(I356/G356,0))</f>
        <v/>
      </c>
    </row>
    <row r="357">
      <c r="A357" s="27" t="n"/>
      <c r="B357" s="20" t="n"/>
      <c r="C357" s="20" t="n"/>
      <c r="D357" s="21" t="n"/>
      <c r="E357" s="22">
        <f>IF($C357="","",IFERROR(INDEX(Produits!$E$5:$E$17,MATCH($C357,Produits!$A$5:$A$17,0)),"Produit ?"))</f>
        <v/>
      </c>
      <c r="F357" s="22">
        <f>IF($C357="","",IFERROR(INDEX(Produits!$D$5:$D$17,MATCH($C357,Produits!$A$5:$A$17,0)),"Produit ?"))</f>
        <v/>
      </c>
      <c r="G357" s="7">
        <f>IF(OR($C357="",$D357=""),"",IFERROR(D357*E357,""))</f>
        <v/>
      </c>
      <c r="H357" s="7">
        <f>IF(G357="","",D357*F357)</f>
        <v/>
      </c>
      <c r="I357" s="7">
        <f>IF(G357="","",G357-H357)</f>
        <v/>
      </c>
      <c r="J357" s="26">
        <f>IF(G357="","",IFERROR(I357/G357,0))</f>
        <v/>
      </c>
    </row>
    <row r="358">
      <c r="A358" s="27" t="n"/>
      <c r="B358" s="20" t="n"/>
      <c r="C358" s="20" t="n"/>
      <c r="D358" s="21" t="n"/>
      <c r="E358" s="22">
        <f>IF($C358="","",IFERROR(INDEX(Produits!$E$5:$E$17,MATCH($C358,Produits!$A$5:$A$17,0)),"Produit ?"))</f>
        <v/>
      </c>
      <c r="F358" s="22">
        <f>IF($C358="","",IFERROR(INDEX(Produits!$D$5:$D$17,MATCH($C358,Produits!$A$5:$A$17,0)),"Produit ?"))</f>
        <v/>
      </c>
      <c r="G358" s="7">
        <f>IF(OR($C358="",$D358=""),"",IFERROR(D358*E358,""))</f>
        <v/>
      </c>
      <c r="H358" s="7">
        <f>IF(G358="","",D358*F358)</f>
        <v/>
      </c>
      <c r="I358" s="7">
        <f>IF(G358="","",G358-H358)</f>
        <v/>
      </c>
      <c r="J358" s="26">
        <f>IF(G358="","",IFERROR(I358/G358,0))</f>
        <v/>
      </c>
    </row>
    <row r="359">
      <c r="A359" s="27" t="n"/>
      <c r="B359" s="20" t="n"/>
      <c r="C359" s="20" t="n"/>
      <c r="D359" s="21" t="n"/>
      <c r="E359" s="22">
        <f>IF($C359="","",IFERROR(INDEX(Produits!$E$5:$E$17,MATCH($C359,Produits!$A$5:$A$17,0)),"Produit ?"))</f>
        <v/>
      </c>
      <c r="F359" s="22">
        <f>IF($C359="","",IFERROR(INDEX(Produits!$D$5:$D$17,MATCH($C359,Produits!$A$5:$A$17,0)),"Produit ?"))</f>
        <v/>
      </c>
      <c r="G359" s="7">
        <f>IF(OR($C359="",$D359=""),"",IFERROR(D359*E359,""))</f>
        <v/>
      </c>
      <c r="H359" s="7">
        <f>IF(G359="","",D359*F359)</f>
        <v/>
      </c>
      <c r="I359" s="7">
        <f>IF(G359="","",G359-H359)</f>
        <v/>
      </c>
      <c r="J359" s="26">
        <f>IF(G359="","",IFERROR(I359/G359,0))</f>
        <v/>
      </c>
    </row>
    <row r="360">
      <c r="A360" s="27" t="n"/>
      <c r="B360" s="20" t="n"/>
      <c r="C360" s="20" t="n"/>
      <c r="D360" s="21" t="n"/>
      <c r="E360" s="22">
        <f>IF($C360="","",IFERROR(INDEX(Produits!$E$5:$E$17,MATCH($C360,Produits!$A$5:$A$17,0)),"Produit ?"))</f>
        <v/>
      </c>
      <c r="F360" s="22">
        <f>IF($C360="","",IFERROR(INDEX(Produits!$D$5:$D$17,MATCH($C360,Produits!$A$5:$A$17,0)),"Produit ?"))</f>
        <v/>
      </c>
      <c r="G360" s="7">
        <f>IF(OR($C360="",$D360=""),"",IFERROR(D360*E360,""))</f>
        <v/>
      </c>
      <c r="H360" s="7">
        <f>IF(G360="","",D360*F360)</f>
        <v/>
      </c>
      <c r="I360" s="7">
        <f>IF(G360="","",G360-H360)</f>
        <v/>
      </c>
      <c r="J360" s="26">
        <f>IF(G360="","",IFERROR(I360/G360,0))</f>
        <v/>
      </c>
    </row>
    <row r="361">
      <c r="A361" s="27" t="n"/>
      <c r="B361" s="20" t="n"/>
      <c r="C361" s="20" t="n"/>
      <c r="D361" s="21" t="n"/>
      <c r="E361" s="22">
        <f>IF($C361="","",IFERROR(INDEX(Produits!$E$5:$E$17,MATCH($C361,Produits!$A$5:$A$17,0)),"Produit ?"))</f>
        <v/>
      </c>
      <c r="F361" s="22">
        <f>IF($C361="","",IFERROR(INDEX(Produits!$D$5:$D$17,MATCH($C361,Produits!$A$5:$A$17,0)),"Produit ?"))</f>
        <v/>
      </c>
      <c r="G361" s="7">
        <f>IF(OR($C361="",$D361=""),"",IFERROR(D361*E361,""))</f>
        <v/>
      </c>
      <c r="H361" s="7">
        <f>IF(G361="","",D361*F361)</f>
        <v/>
      </c>
      <c r="I361" s="7">
        <f>IF(G361="","",G361-H361)</f>
        <v/>
      </c>
      <c r="J361" s="26">
        <f>IF(G361="","",IFERROR(I361/G361,0))</f>
        <v/>
      </c>
    </row>
    <row r="362">
      <c r="A362" s="27" t="n"/>
      <c r="B362" s="20" t="n"/>
      <c r="C362" s="20" t="n"/>
      <c r="D362" s="21" t="n"/>
      <c r="E362" s="22">
        <f>IF($C362="","",IFERROR(INDEX(Produits!$E$5:$E$17,MATCH($C362,Produits!$A$5:$A$17,0)),"Produit ?"))</f>
        <v/>
      </c>
      <c r="F362" s="22">
        <f>IF($C362="","",IFERROR(INDEX(Produits!$D$5:$D$17,MATCH($C362,Produits!$A$5:$A$17,0)),"Produit ?"))</f>
        <v/>
      </c>
      <c r="G362" s="7">
        <f>IF(OR($C362="",$D362=""),"",IFERROR(D362*E362,""))</f>
        <v/>
      </c>
      <c r="H362" s="7">
        <f>IF(G362="","",D362*F362)</f>
        <v/>
      </c>
      <c r="I362" s="7">
        <f>IF(G362="","",G362-H362)</f>
        <v/>
      </c>
      <c r="J362" s="26">
        <f>IF(G362="","",IFERROR(I362/G362,0))</f>
        <v/>
      </c>
    </row>
    <row r="363">
      <c r="A363" s="27" t="n"/>
      <c r="B363" s="20" t="n"/>
      <c r="C363" s="20" t="n"/>
      <c r="D363" s="21" t="n"/>
      <c r="E363" s="22">
        <f>IF($C363="","",IFERROR(INDEX(Produits!$E$5:$E$17,MATCH($C363,Produits!$A$5:$A$17,0)),"Produit ?"))</f>
        <v/>
      </c>
      <c r="F363" s="22">
        <f>IF($C363="","",IFERROR(INDEX(Produits!$D$5:$D$17,MATCH($C363,Produits!$A$5:$A$17,0)),"Produit ?"))</f>
        <v/>
      </c>
      <c r="G363" s="7">
        <f>IF(OR($C363="",$D363=""),"",IFERROR(D363*E363,""))</f>
        <v/>
      </c>
      <c r="H363" s="7">
        <f>IF(G363="","",D363*F363)</f>
        <v/>
      </c>
      <c r="I363" s="7">
        <f>IF(G363="","",G363-H363)</f>
        <v/>
      </c>
      <c r="J363" s="26">
        <f>IF(G363="","",IFERROR(I363/G363,0))</f>
        <v/>
      </c>
    </row>
    <row r="364">
      <c r="A364" s="27" t="n"/>
      <c r="B364" s="20" t="n"/>
      <c r="C364" s="20" t="n"/>
      <c r="D364" s="21" t="n"/>
      <c r="E364" s="22">
        <f>IF($C364="","",IFERROR(INDEX(Produits!$E$5:$E$17,MATCH($C364,Produits!$A$5:$A$17,0)),"Produit ?"))</f>
        <v/>
      </c>
      <c r="F364" s="22">
        <f>IF($C364="","",IFERROR(INDEX(Produits!$D$5:$D$17,MATCH($C364,Produits!$A$5:$A$17,0)),"Produit ?"))</f>
        <v/>
      </c>
      <c r="G364" s="7">
        <f>IF(OR($C364="",$D364=""),"",IFERROR(D364*E364,""))</f>
        <v/>
      </c>
      <c r="H364" s="7">
        <f>IF(G364="","",D364*F364)</f>
        <v/>
      </c>
      <c r="I364" s="7">
        <f>IF(G364="","",G364-H364)</f>
        <v/>
      </c>
      <c r="J364" s="26">
        <f>IF(G364="","",IFERROR(I364/G364,0))</f>
        <v/>
      </c>
    </row>
    <row r="365">
      <c r="A365" s="27" t="n"/>
      <c r="B365" s="20" t="n"/>
      <c r="C365" s="20" t="n"/>
      <c r="D365" s="21" t="n"/>
      <c r="E365" s="22">
        <f>IF($C365="","",IFERROR(INDEX(Produits!$E$5:$E$17,MATCH($C365,Produits!$A$5:$A$17,0)),"Produit ?"))</f>
        <v/>
      </c>
      <c r="F365" s="22">
        <f>IF($C365="","",IFERROR(INDEX(Produits!$D$5:$D$17,MATCH($C365,Produits!$A$5:$A$17,0)),"Produit ?"))</f>
        <v/>
      </c>
      <c r="G365" s="7">
        <f>IF(OR($C365="",$D365=""),"",IFERROR(D365*E365,""))</f>
        <v/>
      </c>
      <c r="H365" s="7">
        <f>IF(G365="","",D365*F365)</f>
        <v/>
      </c>
      <c r="I365" s="7">
        <f>IF(G365="","",G365-H365)</f>
        <v/>
      </c>
      <c r="J365" s="26">
        <f>IF(G365="","",IFERROR(I365/G365,0))</f>
        <v/>
      </c>
    </row>
    <row r="366">
      <c r="A366" s="27" t="n"/>
      <c r="B366" s="20" t="n"/>
      <c r="C366" s="20" t="n"/>
      <c r="D366" s="21" t="n"/>
      <c r="E366" s="22">
        <f>IF($C366="","",IFERROR(INDEX(Produits!$E$5:$E$17,MATCH($C366,Produits!$A$5:$A$17,0)),"Produit ?"))</f>
        <v/>
      </c>
      <c r="F366" s="22">
        <f>IF($C366="","",IFERROR(INDEX(Produits!$D$5:$D$17,MATCH($C366,Produits!$A$5:$A$17,0)),"Produit ?"))</f>
        <v/>
      </c>
      <c r="G366" s="7">
        <f>IF(OR($C366="",$D366=""),"",IFERROR(D366*E366,""))</f>
        <v/>
      </c>
      <c r="H366" s="7">
        <f>IF(G366="","",D366*F366)</f>
        <v/>
      </c>
      <c r="I366" s="7">
        <f>IF(G366="","",G366-H366)</f>
        <v/>
      </c>
      <c r="J366" s="26">
        <f>IF(G366="","",IFERROR(I366/G366,0))</f>
        <v/>
      </c>
    </row>
    <row r="367">
      <c r="A367" s="27" t="n"/>
      <c r="B367" s="20" t="n"/>
      <c r="C367" s="20" t="n"/>
      <c r="D367" s="21" t="n"/>
      <c r="E367" s="22">
        <f>IF($C367="","",IFERROR(INDEX(Produits!$E$5:$E$17,MATCH($C367,Produits!$A$5:$A$17,0)),"Produit ?"))</f>
        <v/>
      </c>
      <c r="F367" s="22">
        <f>IF($C367="","",IFERROR(INDEX(Produits!$D$5:$D$17,MATCH($C367,Produits!$A$5:$A$17,0)),"Produit ?"))</f>
        <v/>
      </c>
      <c r="G367" s="7">
        <f>IF(OR($C367="",$D367=""),"",IFERROR(D367*E367,""))</f>
        <v/>
      </c>
      <c r="H367" s="7">
        <f>IF(G367="","",D367*F367)</f>
        <v/>
      </c>
      <c r="I367" s="7">
        <f>IF(G367="","",G367-H367)</f>
        <v/>
      </c>
      <c r="J367" s="26">
        <f>IF(G367="","",IFERROR(I367/G367,0))</f>
        <v/>
      </c>
    </row>
    <row r="368">
      <c r="A368" s="27" t="n"/>
      <c r="B368" s="20" t="n"/>
      <c r="C368" s="20" t="n"/>
      <c r="D368" s="21" t="n"/>
      <c r="E368" s="22">
        <f>IF($C368="","",IFERROR(INDEX(Produits!$E$5:$E$17,MATCH($C368,Produits!$A$5:$A$17,0)),"Produit ?"))</f>
        <v/>
      </c>
      <c r="F368" s="22">
        <f>IF($C368="","",IFERROR(INDEX(Produits!$D$5:$D$17,MATCH($C368,Produits!$A$5:$A$17,0)),"Produit ?"))</f>
        <v/>
      </c>
      <c r="G368" s="7">
        <f>IF(OR($C368="",$D368=""),"",IFERROR(D368*E368,""))</f>
        <v/>
      </c>
      <c r="H368" s="7">
        <f>IF(G368="","",D368*F368)</f>
        <v/>
      </c>
      <c r="I368" s="7">
        <f>IF(G368="","",G368-H368)</f>
        <v/>
      </c>
      <c r="J368" s="26">
        <f>IF(G368="","",IFERROR(I368/G368,0))</f>
        <v/>
      </c>
    </row>
    <row r="369">
      <c r="A369" s="27" t="n"/>
      <c r="B369" s="20" t="n"/>
      <c r="C369" s="20" t="n"/>
      <c r="D369" s="21" t="n"/>
      <c r="E369" s="22">
        <f>IF($C369="","",IFERROR(INDEX(Produits!$E$5:$E$17,MATCH($C369,Produits!$A$5:$A$17,0)),"Produit ?"))</f>
        <v/>
      </c>
      <c r="F369" s="22">
        <f>IF($C369="","",IFERROR(INDEX(Produits!$D$5:$D$17,MATCH($C369,Produits!$A$5:$A$17,0)),"Produit ?"))</f>
        <v/>
      </c>
      <c r="G369" s="7">
        <f>IF(OR($C369="",$D369=""),"",IFERROR(D369*E369,""))</f>
        <v/>
      </c>
      <c r="H369" s="7">
        <f>IF(G369="","",D369*F369)</f>
        <v/>
      </c>
      <c r="I369" s="7">
        <f>IF(G369="","",G369-H369)</f>
        <v/>
      </c>
      <c r="J369" s="26">
        <f>IF(G369="","",IFERROR(I369/G369,0))</f>
        <v/>
      </c>
    </row>
    <row r="370">
      <c r="A370" s="27" t="n"/>
      <c r="B370" s="20" t="n"/>
      <c r="C370" s="20" t="n"/>
      <c r="D370" s="21" t="n"/>
      <c r="E370" s="22">
        <f>IF($C370="","",IFERROR(INDEX(Produits!$E$5:$E$17,MATCH($C370,Produits!$A$5:$A$17,0)),"Produit ?"))</f>
        <v/>
      </c>
      <c r="F370" s="22">
        <f>IF($C370="","",IFERROR(INDEX(Produits!$D$5:$D$17,MATCH($C370,Produits!$A$5:$A$17,0)),"Produit ?"))</f>
        <v/>
      </c>
      <c r="G370" s="7">
        <f>IF(OR($C370="",$D370=""),"",IFERROR(D370*E370,""))</f>
        <v/>
      </c>
      <c r="H370" s="7">
        <f>IF(G370="","",D370*F370)</f>
        <v/>
      </c>
      <c r="I370" s="7">
        <f>IF(G370="","",G370-H370)</f>
        <v/>
      </c>
      <c r="J370" s="26">
        <f>IF(G370="","",IFERROR(I370/G370,0))</f>
        <v/>
      </c>
    </row>
    <row r="371">
      <c r="A371" s="27" t="n"/>
      <c r="B371" s="20" t="n"/>
      <c r="C371" s="20" t="n"/>
      <c r="D371" s="21" t="n"/>
      <c r="E371" s="22">
        <f>IF($C371="","",IFERROR(INDEX(Produits!$E$5:$E$17,MATCH($C371,Produits!$A$5:$A$17,0)),"Produit ?"))</f>
        <v/>
      </c>
      <c r="F371" s="22">
        <f>IF($C371="","",IFERROR(INDEX(Produits!$D$5:$D$17,MATCH($C371,Produits!$A$5:$A$17,0)),"Produit ?"))</f>
        <v/>
      </c>
      <c r="G371" s="7">
        <f>IF(OR($C371="",$D371=""),"",IFERROR(D371*E371,""))</f>
        <v/>
      </c>
      <c r="H371" s="7">
        <f>IF(G371="","",D371*F371)</f>
        <v/>
      </c>
      <c r="I371" s="7">
        <f>IF(G371="","",G371-H371)</f>
        <v/>
      </c>
      <c r="J371" s="26">
        <f>IF(G371="","",IFERROR(I371/G371,0))</f>
        <v/>
      </c>
    </row>
    <row r="372">
      <c r="A372" s="27" t="n"/>
      <c r="B372" s="20" t="n"/>
      <c r="C372" s="20" t="n"/>
      <c r="D372" s="21" t="n"/>
      <c r="E372" s="22">
        <f>IF($C372="","",IFERROR(INDEX(Produits!$E$5:$E$17,MATCH($C372,Produits!$A$5:$A$17,0)),"Produit ?"))</f>
        <v/>
      </c>
      <c r="F372" s="22">
        <f>IF($C372="","",IFERROR(INDEX(Produits!$D$5:$D$17,MATCH($C372,Produits!$A$5:$A$17,0)),"Produit ?"))</f>
        <v/>
      </c>
      <c r="G372" s="7">
        <f>IF(OR($C372="",$D372=""),"",IFERROR(D372*E372,""))</f>
        <v/>
      </c>
      <c r="H372" s="7">
        <f>IF(G372="","",D372*F372)</f>
        <v/>
      </c>
      <c r="I372" s="7">
        <f>IF(G372="","",G372-H372)</f>
        <v/>
      </c>
      <c r="J372" s="26">
        <f>IF(G372="","",IFERROR(I372/G372,0))</f>
        <v/>
      </c>
    </row>
    <row r="373">
      <c r="A373" s="27" t="n"/>
      <c r="B373" s="20" t="n"/>
      <c r="C373" s="20" t="n"/>
      <c r="D373" s="21" t="n"/>
      <c r="E373" s="22">
        <f>IF($C373="","",IFERROR(INDEX(Produits!$E$5:$E$17,MATCH($C373,Produits!$A$5:$A$17,0)),"Produit ?"))</f>
        <v/>
      </c>
      <c r="F373" s="22">
        <f>IF($C373="","",IFERROR(INDEX(Produits!$D$5:$D$17,MATCH($C373,Produits!$A$5:$A$17,0)),"Produit ?"))</f>
        <v/>
      </c>
      <c r="G373" s="7">
        <f>IF(OR($C373="",$D373=""),"",IFERROR(D373*E373,""))</f>
        <v/>
      </c>
      <c r="H373" s="7">
        <f>IF(G373="","",D373*F373)</f>
        <v/>
      </c>
      <c r="I373" s="7">
        <f>IF(G373="","",G373-H373)</f>
        <v/>
      </c>
      <c r="J373" s="26">
        <f>IF(G373="","",IFERROR(I373/G373,0))</f>
        <v/>
      </c>
    </row>
    <row r="374">
      <c r="A374" s="27" t="n"/>
      <c r="B374" s="20" t="n"/>
      <c r="C374" s="20" t="n"/>
      <c r="D374" s="21" t="n"/>
      <c r="E374" s="22">
        <f>IF($C374="","",IFERROR(INDEX(Produits!$E$5:$E$17,MATCH($C374,Produits!$A$5:$A$17,0)),"Produit ?"))</f>
        <v/>
      </c>
      <c r="F374" s="22">
        <f>IF($C374="","",IFERROR(INDEX(Produits!$D$5:$D$17,MATCH($C374,Produits!$A$5:$A$17,0)),"Produit ?"))</f>
        <v/>
      </c>
      <c r="G374" s="7">
        <f>IF(OR($C374="",$D374=""),"",IFERROR(D374*E374,""))</f>
        <v/>
      </c>
      <c r="H374" s="7">
        <f>IF(G374="","",D374*F374)</f>
        <v/>
      </c>
      <c r="I374" s="7">
        <f>IF(G374="","",G374-H374)</f>
        <v/>
      </c>
      <c r="J374" s="26">
        <f>IF(G374="","",IFERROR(I374/G374,0))</f>
        <v/>
      </c>
    </row>
    <row r="375">
      <c r="A375" s="27" t="n"/>
      <c r="B375" s="20" t="n"/>
      <c r="C375" s="20" t="n"/>
      <c r="D375" s="21" t="n"/>
      <c r="E375" s="22">
        <f>IF($C375="","",IFERROR(INDEX(Produits!$E$5:$E$17,MATCH($C375,Produits!$A$5:$A$17,0)),"Produit ?"))</f>
        <v/>
      </c>
      <c r="F375" s="22">
        <f>IF($C375="","",IFERROR(INDEX(Produits!$D$5:$D$17,MATCH($C375,Produits!$A$5:$A$17,0)),"Produit ?"))</f>
        <v/>
      </c>
      <c r="G375" s="7">
        <f>IF(OR($C375="",$D375=""),"",IFERROR(D375*E375,""))</f>
        <v/>
      </c>
      <c r="H375" s="7">
        <f>IF(G375="","",D375*F375)</f>
        <v/>
      </c>
      <c r="I375" s="7">
        <f>IF(G375="","",G375-H375)</f>
        <v/>
      </c>
      <c r="J375" s="26">
        <f>IF(G375="","",IFERROR(I375/G375,0))</f>
        <v/>
      </c>
    </row>
    <row r="376">
      <c r="A376" s="27" t="n"/>
      <c r="B376" s="20" t="n"/>
      <c r="C376" s="20" t="n"/>
      <c r="D376" s="21" t="n"/>
      <c r="E376" s="22">
        <f>IF($C376="","",IFERROR(INDEX(Produits!$E$5:$E$17,MATCH($C376,Produits!$A$5:$A$17,0)),"Produit ?"))</f>
        <v/>
      </c>
      <c r="F376" s="22">
        <f>IF($C376="","",IFERROR(INDEX(Produits!$D$5:$D$17,MATCH($C376,Produits!$A$5:$A$17,0)),"Produit ?"))</f>
        <v/>
      </c>
      <c r="G376" s="7">
        <f>IF(OR($C376="",$D376=""),"",IFERROR(D376*E376,""))</f>
        <v/>
      </c>
      <c r="H376" s="7">
        <f>IF(G376="","",D376*F376)</f>
        <v/>
      </c>
      <c r="I376" s="7">
        <f>IF(G376="","",G376-H376)</f>
        <v/>
      </c>
      <c r="J376" s="26">
        <f>IF(G376="","",IFERROR(I376/G376,0))</f>
        <v/>
      </c>
    </row>
    <row r="377">
      <c r="A377" s="27" t="n"/>
      <c r="B377" s="20" t="n"/>
      <c r="C377" s="20" t="n"/>
      <c r="D377" s="21" t="n"/>
      <c r="E377" s="22">
        <f>IF($C377="","",IFERROR(INDEX(Produits!$E$5:$E$17,MATCH($C377,Produits!$A$5:$A$17,0)),"Produit ?"))</f>
        <v/>
      </c>
      <c r="F377" s="22">
        <f>IF($C377="","",IFERROR(INDEX(Produits!$D$5:$D$17,MATCH($C377,Produits!$A$5:$A$17,0)),"Produit ?"))</f>
        <v/>
      </c>
      <c r="G377" s="7">
        <f>IF(OR($C377="",$D377=""),"",IFERROR(D377*E377,""))</f>
        <v/>
      </c>
      <c r="H377" s="7">
        <f>IF(G377="","",D377*F377)</f>
        <v/>
      </c>
      <c r="I377" s="7">
        <f>IF(G377="","",G377-H377)</f>
        <v/>
      </c>
      <c r="J377" s="26">
        <f>IF(G377="","",IFERROR(I377/G377,0))</f>
        <v/>
      </c>
    </row>
    <row r="378">
      <c r="A378" s="27" t="n"/>
      <c r="B378" s="20" t="n"/>
      <c r="C378" s="20" t="n"/>
      <c r="D378" s="21" t="n"/>
      <c r="E378" s="22">
        <f>IF($C378="","",IFERROR(INDEX(Produits!$E$5:$E$17,MATCH($C378,Produits!$A$5:$A$17,0)),"Produit ?"))</f>
        <v/>
      </c>
      <c r="F378" s="22">
        <f>IF($C378="","",IFERROR(INDEX(Produits!$D$5:$D$17,MATCH($C378,Produits!$A$5:$A$17,0)),"Produit ?"))</f>
        <v/>
      </c>
      <c r="G378" s="7">
        <f>IF(OR($C378="",$D378=""),"",IFERROR(D378*E378,""))</f>
        <v/>
      </c>
      <c r="H378" s="7">
        <f>IF(G378="","",D378*F378)</f>
        <v/>
      </c>
      <c r="I378" s="7">
        <f>IF(G378="","",G378-H378)</f>
        <v/>
      </c>
      <c r="J378" s="26">
        <f>IF(G378="","",IFERROR(I378/G378,0))</f>
        <v/>
      </c>
    </row>
    <row r="379">
      <c r="A379" s="27" t="n"/>
      <c r="B379" s="20" t="n"/>
      <c r="C379" s="20" t="n"/>
      <c r="D379" s="21" t="n"/>
      <c r="E379" s="22">
        <f>IF($C379="","",IFERROR(INDEX(Produits!$E$5:$E$17,MATCH($C379,Produits!$A$5:$A$17,0)),"Produit ?"))</f>
        <v/>
      </c>
      <c r="F379" s="22">
        <f>IF($C379="","",IFERROR(INDEX(Produits!$D$5:$D$17,MATCH($C379,Produits!$A$5:$A$17,0)),"Produit ?"))</f>
        <v/>
      </c>
      <c r="G379" s="7">
        <f>IF(OR($C379="",$D379=""),"",IFERROR(D379*E379,""))</f>
        <v/>
      </c>
      <c r="H379" s="7">
        <f>IF(G379="","",D379*F379)</f>
        <v/>
      </c>
      <c r="I379" s="7">
        <f>IF(G379="","",G379-H379)</f>
        <v/>
      </c>
      <c r="J379" s="26">
        <f>IF(G379="","",IFERROR(I379/G379,0))</f>
        <v/>
      </c>
    </row>
    <row r="380">
      <c r="A380" s="27" t="n"/>
      <c r="B380" s="20" t="n"/>
      <c r="C380" s="20" t="n"/>
      <c r="D380" s="21" t="n"/>
      <c r="E380" s="22">
        <f>IF($C380="","",IFERROR(INDEX(Produits!$E$5:$E$17,MATCH($C380,Produits!$A$5:$A$17,0)),"Produit ?"))</f>
        <v/>
      </c>
      <c r="F380" s="22">
        <f>IF($C380="","",IFERROR(INDEX(Produits!$D$5:$D$17,MATCH($C380,Produits!$A$5:$A$17,0)),"Produit ?"))</f>
        <v/>
      </c>
      <c r="G380" s="7">
        <f>IF(OR($C380="",$D380=""),"",IFERROR(D380*E380,""))</f>
        <v/>
      </c>
      <c r="H380" s="7">
        <f>IF(G380="","",D380*F380)</f>
        <v/>
      </c>
      <c r="I380" s="7">
        <f>IF(G380="","",G380-H380)</f>
        <v/>
      </c>
      <c r="J380" s="26">
        <f>IF(G380="","",IFERROR(I380/G380,0))</f>
        <v/>
      </c>
    </row>
    <row r="381">
      <c r="A381" s="27" t="n"/>
      <c r="B381" s="20" t="n"/>
      <c r="C381" s="20" t="n"/>
      <c r="D381" s="21" t="n"/>
      <c r="E381" s="22">
        <f>IF($C381="","",IFERROR(INDEX(Produits!$E$5:$E$17,MATCH($C381,Produits!$A$5:$A$17,0)),"Produit ?"))</f>
        <v/>
      </c>
      <c r="F381" s="22">
        <f>IF($C381="","",IFERROR(INDEX(Produits!$D$5:$D$17,MATCH($C381,Produits!$A$5:$A$17,0)),"Produit ?"))</f>
        <v/>
      </c>
      <c r="G381" s="7">
        <f>IF(OR($C381="",$D381=""),"",IFERROR(D381*E381,""))</f>
        <v/>
      </c>
      <c r="H381" s="7">
        <f>IF(G381="","",D381*F381)</f>
        <v/>
      </c>
      <c r="I381" s="7">
        <f>IF(G381="","",G381-H381)</f>
        <v/>
      </c>
      <c r="J381" s="26">
        <f>IF(G381="","",IFERROR(I381/G381,0))</f>
        <v/>
      </c>
    </row>
    <row r="382">
      <c r="A382" s="27" t="n"/>
      <c r="B382" s="20" t="n"/>
      <c r="C382" s="20" t="n"/>
      <c r="D382" s="21" t="n"/>
      <c r="E382" s="22">
        <f>IF($C382="","",IFERROR(INDEX(Produits!$E$5:$E$17,MATCH($C382,Produits!$A$5:$A$17,0)),"Produit ?"))</f>
        <v/>
      </c>
      <c r="F382" s="22">
        <f>IF($C382="","",IFERROR(INDEX(Produits!$D$5:$D$17,MATCH($C382,Produits!$A$5:$A$17,0)),"Produit ?"))</f>
        <v/>
      </c>
      <c r="G382" s="7">
        <f>IF(OR($C382="",$D382=""),"",IFERROR(D382*E382,""))</f>
        <v/>
      </c>
      <c r="H382" s="7">
        <f>IF(G382="","",D382*F382)</f>
        <v/>
      </c>
      <c r="I382" s="7">
        <f>IF(G382="","",G382-H382)</f>
        <v/>
      </c>
      <c r="J382" s="26">
        <f>IF(G382="","",IFERROR(I382/G382,0))</f>
        <v/>
      </c>
    </row>
    <row r="383">
      <c r="A383" s="27" t="n"/>
      <c r="B383" s="20" t="n"/>
      <c r="C383" s="20" t="n"/>
      <c r="D383" s="21" t="n"/>
      <c r="E383" s="22">
        <f>IF($C383="","",IFERROR(INDEX(Produits!$E$5:$E$17,MATCH($C383,Produits!$A$5:$A$17,0)),"Produit ?"))</f>
        <v/>
      </c>
      <c r="F383" s="22">
        <f>IF($C383="","",IFERROR(INDEX(Produits!$D$5:$D$17,MATCH($C383,Produits!$A$5:$A$17,0)),"Produit ?"))</f>
        <v/>
      </c>
      <c r="G383" s="7">
        <f>IF(OR($C383="",$D383=""),"",IFERROR(D383*E383,""))</f>
        <v/>
      </c>
      <c r="H383" s="7">
        <f>IF(G383="","",D383*F383)</f>
        <v/>
      </c>
      <c r="I383" s="7">
        <f>IF(G383="","",G383-H383)</f>
        <v/>
      </c>
      <c r="J383" s="26">
        <f>IF(G383="","",IFERROR(I383/G383,0))</f>
        <v/>
      </c>
    </row>
    <row r="384">
      <c r="A384" s="27" t="n"/>
      <c r="B384" s="20" t="n"/>
      <c r="C384" s="20" t="n"/>
      <c r="D384" s="21" t="n"/>
      <c r="E384" s="22">
        <f>IF($C384="","",IFERROR(INDEX(Produits!$E$5:$E$17,MATCH($C384,Produits!$A$5:$A$17,0)),"Produit ?"))</f>
        <v/>
      </c>
      <c r="F384" s="22">
        <f>IF($C384="","",IFERROR(INDEX(Produits!$D$5:$D$17,MATCH($C384,Produits!$A$5:$A$17,0)),"Produit ?"))</f>
        <v/>
      </c>
      <c r="G384" s="7">
        <f>IF(OR($C384="",$D384=""),"",IFERROR(D384*E384,""))</f>
        <v/>
      </c>
      <c r="H384" s="7">
        <f>IF(G384="","",D384*F384)</f>
        <v/>
      </c>
      <c r="I384" s="7">
        <f>IF(G384="","",G384-H384)</f>
        <v/>
      </c>
      <c r="J384" s="26">
        <f>IF(G384="","",IFERROR(I384/G384,0))</f>
        <v/>
      </c>
    </row>
    <row r="385">
      <c r="A385" s="27" t="n"/>
      <c r="B385" s="20" t="n"/>
      <c r="C385" s="20" t="n"/>
      <c r="D385" s="21" t="n"/>
      <c r="E385" s="22">
        <f>IF($C385="","",IFERROR(INDEX(Produits!$E$5:$E$17,MATCH($C385,Produits!$A$5:$A$17,0)),"Produit ?"))</f>
        <v/>
      </c>
      <c r="F385" s="22">
        <f>IF($C385="","",IFERROR(INDEX(Produits!$D$5:$D$17,MATCH($C385,Produits!$A$5:$A$17,0)),"Produit ?"))</f>
        <v/>
      </c>
      <c r="G385" s="7">
        <f>IF(OR($C385="",$D385=""),"",IFERROR(D385*E385,""))</f>
        <v/>
      </c>
      <c r="H385" s="7">
        <f>IF(G385="","",D385*F385)</f>
        <v/>
      </c>
      <c r="I385" s="7">
        <f>IF(G385="","",G385-H385)</f>
        <v/>
      </c>
      <c r="J385" s="26">
        <f>IF(G385="","",IFERROR(I385/G385,0))</f>
        <v/>
      </c>
    </row>
    <row r="386">
      <c r="A386" s="27" t="n"/>
      <c r="B386" s="20" t="n"/>
      <c r="C386" s="20" t="n"/>
      <c r="D386" s="21" t="n"/>
      <c r="E386" s="22">
        <f>IF($C386="","",IFERROR(INDEX(Produits!$E$5:$E$17,MATCH($C386,Produits!$A$5:$A$17,0)),"Produit ?"))</f>
        <v/>
      </c>
      <c r="F386" s="22">
        <f>IF($C386="","",IFERROR(INDEX(Produits!$D$5:$D$17,MATCH($C386,Produits!$A$5:$A$17,0)),"Produit ?"))</f>
        <v/>
      </c>
      <c r="G386" s="7">
        <f>IF(OR($C386="",$D386=""),"",IFERROR(D386*E386,""))</f>
        <v/>
      </c>
      <c r="H386" s="7">
        <f>IF(G386="","",D386*F386)</f>
        <v/>
      </c>
      <c r="I386" s="7">
        <f>IF(G386="","",G386-H386)</f>
        <v/>
      </c>
      <c r="J386" s="26">
        <f>IF(G386="","",IFERROR(I386/G386,0))</f>
        <v/>
      </c>
    </row>
    <row r="387">
      <c r="A387" s="27" t="n"/>
      <c r="B387" s="20" t="n"/>
      <c r="C387" s="20" t="n"/>
      <c r="D387" s="21" t="n"/>
      <c r="E387" s="22">
        <f>IF($C387="","",IFERROR(INDEX(Produits!$E$5:$E$17,MATCH($C387,Produits!$A$5:$A$17,0)),"Produit ?"))</f>
        <v/>
      </c>
      <c r="F387" s="22">
        <f>IF($C387="","",IFERROR(INDEX(Produits!$D$5:$D$17,MATCH($C387,Produits!$A$5:$A$17,0)),"Produit ?"))</f>
        <v/>
      </c>
      <c r="G387" s="7">
        <f>IF(OR($C387="",$D387=""),"",IFERROR(D387*E387,""))</f>
        <v/>
      </c>
      <c r="H387" s="7">
        <f>IF(G387="","",D387*F387)</f>
        <v/>
      </c>
      <c r="I387" s="7">
        <f>IF(G387="","",G387-H387)</f>
        <v/>
      </c>
      <c r="J387" s="26">
        <f>IF(G387="","",IFERROR(I387/G387,0))</f>
        <v/>
      </c>
    </row>
    <row r="388">
      <c r="A388" s="27" t="n"/>
      <c r="B388" s="20" t="n"/>
      <c r="C388" s="20" t="n"/>
      <c r="D388" s="21" t="n"/>
      <c r="E388" s="22">
        <f>IF($C388="","",IFERROR(INDEX(Produits!$E$5:$E$17,MATCH($C388,Produits!$A$5:$A$17,0)),"Produit ?"))</f>
        <v/>
      </c>
      <c r="F388" s="22">
        <f>IF($C388="","",IFERROR(INDEX(Produits!$D$5:$D$17,MATCH($C388,Produits!$A$5:$A$17,0)),"Produit ?"))</f>
        <v/>
      </c>
      <c r="G388" s="7">
        <f>IF(OR($C388="",$D388=""),"",IFERROR(D388*E388,""))</f>
        <v/>
      </c>
      <c r="H388" s="7">
        <f>IF(G388="","",D388*F388)</f>
        <v/>
      </c>
      <c r="I388" s="7">
        <f>IF(G388="","",G388-H388)</f>
        <v/>
      </c>
      <c r="J388" s="26">
        <f>IF(G388="","",IFERROR(I388/G388,0))</f>
        <v/>
      </c>
    </row>
    <row r="389">
      <c r="A389" s="27" t="n"/>
      <c r="B389" s="20" t="n"/>
      <c r="C389" s="20" t="n"/>
      <c r="D389" s="21" t="n"/>
      <c r="E389" s="22">
        <f>IF($C389="","",IFERROR(INDEX(Produits!$E$5:$E$17,MATCH($C389,Produits!$A$5:$A$17,0)),"Produit ?"))</f>
        <v/>
      </c>
      <c r="F389" s="22">
        <f>IF($C389="","",IFERROR(INDEX(Produits!$D$5:$D$17,MATCH($C389,Produits!$A$5:$A$17,0)),"Produit ?"))</f>
        <v/>
      </c>
      <c r="G389" s="7">
        <f>IF(OR($C389="",$D389=""),"",IFERROR(D389*E389,""))</f>
        <v/>
      </c>
      <c r="H389" s="7">
        <f>IF(G389="","",D389*F389)</f>
        <v/>
      </c>
      <c r="I389" s="7">
        <f>IF(G389="","",G389-H389)</f>
        <v/>
      </c>
      <c r="J389" s="26">
        <f>IF(G389="","",IFERROR(I389/G389,0))</f>
        <v/>
      </c>
    </row>
    <row r="390">
      <c r="A390" s="27" t="n"/>
      <c r="B390" s="20" t="n"/>
      <c r="C390" s="20" t="n"/>
      <c r="D390" s="21" t="n"/>
      <c r="E390" s="22">
        <f>IF($C390="","",IFERROR(INDEX(Produits!$E$5:$E$17,MATCH($C390,Produits!$A$5:$A$17,0)),"Produit ?"))</f>
        <v/>
      </c>
      <c r="F390" s="22">
        <f>IF($C390="","",IFERROR(INDEX(Produits!$D$5:$D$17,MATCH($C390,Produits!$A$5:$A$17,0)),"Produit ?"))</f>
        <v/>
      </c>
      <c r="G390" s="7">
        <f>IF(OR($C390="",$D390=""),"",IFERROR(D390*E390,""))</f>
        <v/>
      </c>
      <c r="H390" s="7">
        <f>IF(G390="","",D390*F390)</f>
        <v/>
      </c>
      <c r="I390" s="7">
        <f>IF(G390="","",G390-H390)</f>
        <v/>
      </c>
      <c r="J390" s="26">
        <f>IF(G390="","",IFERROR(I390/G390,0))</f>
        <v/>
      </c>
    </row>
    <row r="391">
      <c r="A391" s="27" t="n"/>
      <c r="B391" s="20" t="n"/>
      <c r="C391" s="20" t="n"/>
      <c r="D391" s="21" t="n"/>
      <c r="E391" s="22">
        <f>IF($C391="","",IFERROR(INDEX(Produits!$E$5:$E$17,MATCH($C391,Produits!$A$5:$A$17,0)),"Produit ?"))</f>
        <v/>
      </c>
      <c r="F391" s="22">
        <f>IF($C391="","",IFERROR(INDEX(Produits!$D$5:$D$17,MATCH($C391,Produits!$A$5:$A$17,0)),"Produit ?"))</f>
        <v/>
      </c>
      <c r="G391" s="7">
        <f>IF(OR($C391="",$D391=""),"",IFERROR(D391*E391,""))</f>
        <v/>
      </c>
      <c r="H391" s="7">
        <f>IF(G391="","",D391*F391)</f>
        <v/>
      </c>
      <c r="I391" s="7">
        <f>IF(G391="","",G391-H391)</f>
        <v/>
      </c>
      <c r="J391" s="26">
        <f>IF(G391="","",IFERROR(I391/G391,0))</f>
        <v/>
      </c>
    </row>
    <row r="392">
      <c r="A392" s="27" t="n"/>
      <c r="B392" s="20" t="n"/>
      <c r="C392" s="20" t="n"/>
      <c r="D392" s="21" t="n"/>
      <c r="E392" s="22">
        <f>IF($C392="","",IFERROR(INDEX(Produits!$E$5:$E$17,MATCH($C392,Produits!$A$5:$A$17,0)),"Produit ?"))</f>
        <v/>
      </c>
      <c r="F392" s="22">
        <f>IF($C392="","",IFERROR(INDEX(Produits!$D$5:$D$17,MATCH($C392,Produits!$A$5:$A$17,0)),"Produit ?"))</f>
        <v/>
      </c>
      <c r="G392" s="7">
        <f>IF(OR($C392="",$D392=""),"",IFERROR(D392*E392,""))</f>
        <v/>
      </c>
      <c r="H392" s="7">
        <f>IF(G392="","",D392*F392)</f>
        <v/>
      </c>
      <c r="I392" s="7">
        <f>IF(G392="","",G392-H392)</f>
        <v/>
      </c>
      <c r="J392" s="26">
        <f>IF(G392="","",IFERROR(I392/G392,0))</f>
        <v/>
      </c>
    </row>
    <row r="393">
      <c r="A393" s="27" t="n"/>
      <c r="B393" s="20" t="n"/>
      <c r="C393" s="20" t="n"/>
      <c r="D393" s="21" t="n"/>
      <c r="E393" s="22">
        <f>IF($C393="","",IFERROR(INDEX(Produits!$E$5:$E$17,MATCH($C393,Produits!$A$5:$A$17,0)),"Produit ?"))</f>
        <v/>
      </c>
      <c r="F393" s="22">
        <f>IF($C393="","",IFERROR(INDEX(Produits!$D$5:$D$17,MATCH($C393,Produits!$A$5:$A$17,0)),"Produit ?"))</f>
        <v/>
      </c>
      <c r="G393" s="7">
        <f>IF(OR($C393="",$D393=""),"",IFERROR(D393*E393,""))</f>
        <v/>
      </c>
      <c r="H393" s="7">
        <f>IF(G393="","",D393*F393)</f>
        <v/>
      </c>
      <c r="I393" s="7">
        <f>IF(G393="","",G393-H393)</f>
        <v/>
      </c>
      <c r="J393" s="26">
        <f>IF(G393="","",IFERROR(I393/G393,0))</f>
        <v/>
      </c>
    </row>
    <row r="394">
      <c r="A394" s="27" t="n"/>
      <c r="B394" s="20" t="n"/>
      <c r="C394" s="20" t="n"/>
      <c r="D394" s="21" t="n"/>
      <c r="E394" s="22">
        <f>IF($C394="","",IFERROR(INDEX(Produits!$E$5:$E$17,MATCH($C394,Produits!$A$5:$A$17,0)),"Produit ?"))</f>
        <v/>
      </c>
      <c r="F394" s="22">
        <f>IF($C394="","",IFERROR(INDEX(Produits!$D$5:$D$17,MATCH($C394,Produits!$A$5:$A$17,0)),"Produit ?"))</f>
        <v/>
      </c>
      <c r="G394" s="7">
        <f>IF(OR($C394="",$D394=""),"",IFERROR(D394*E394,""))</f>
        <v/>
      </c>
      <c r="H394" s="7">
        <f>IF(G394="","",D394*F394)</f>
        <v/>
      </c>
      <c r="I394" s="7">
        <f>IF(G394="","",G394-H394)</f>
        <v/>
      </c>
      <c r="J394" s="26">
        <f>IF(G394="","",IFERROR(I394/G394,0))</f>
        <v/>
      </c>
    </row>
    <row r="395">
      <c r="A395" s="27" t="n"/>
      <c r="B395" s="20" t="n"/>
      <c r="C395" s="20" t="n"/>
      <c r="D395" s="21" t="n"/>
      <c r="E395" s="22">
        <f>IF($C395="","",IFERROR(INDEX(Produits!$E$5:$E$17,MATCH($C395,Produits!$A$5:$A$17,0)),"Produit ?"))</f>
        <v/>
      </c>
      <c r="F395" s="22">
        <f>IF($C395="","",IFERROR(INDEX(Produits!$D$5:$D$17,MATCH($C395,Produits!$A$5:$A$17,0)),"Produit ?"))</f>
        <v/>
      </c>
      <c r="G395" s="7">
        <f>IF(OR($C395="",$D395=""),"",IFERROR(D395*E395,""))</f>
        <v/>
      </c>
      <c r="H395" s="7">
        <f>IF(G395="","",D395*F395)</f>
        <v/>
      </c>
      <c r="I395" s="7">
        <f>IF(G395="","",G395-H395)</f>
        <v/>
      </c>
      <c r="J395" s="26">
        <f>IF(G395="","",IFERROR(I395/G395,0))</f>
        <v/>
      </c>
    </row>
    <row r="396">
      <c r="A396" s="27" t="n"/>
      <c r="B396" s="20" t="n"/>
      <c r="C396" s="20" t="n"/>
      <c r="D396" s="21" t="n"/>
      <c r="E396" s="22">
        <f>IF($C396="","",IFERROR(INDEX(Produits!$E$5:$E$17,MATCH($C396,Produits!$A$5:$A$17,0)),"Produit ?"))</f>
        <v/>
      </c>
      <c r="F396" s="22">
        <f>IF($C396="","",IFERROR(INDEX(Produits!$D$5:$D$17,MATCH($C396,Produits!$A$5:$A$17,0)),"Produit ?"))</f>
        <v/>
      </c>
      <c r="G396" s="7">
        <f>IF(OR($C396="",$D396=""),"",IFERROR(D396*E396,""))</f>
        <v/>
      </c>
      <c r="H396" s="7">
        <f>IF(G396="","",D396*F396)</f>
        <v/>
      </c>
      <c r="I396" s="7">
        <f>IF(G396="","",G396-H396)</f>
        <v/>
      </c>
      <c r="J396" s="26">
        <f>IF(G396="","",IFERROR(I396/G396,0))</f>
        <v/>
      </c>
    </row>
    <row r="397">
      <c r="A397" s="27" t="n"/>
      <c r="B397" s="20" t="n"/>
      <c r="C397" s="20" t="n"/>
      <c r="D397" s="21" t="n"/>
      <c r="E397" s="22">
        <f>IF($C397="","",IFERROR(INDEX(Produits!$E$5:$E$17,MATCH($C397,Produits!$A$5:$A$17,0)),"Produit ?"))</f>
        <v/>
      </c>
      <c r="F397" s="22">
        <f>IF($C397="","",IFERROR(INDEX(Produits!$D$5:$D$17,MATCH($C397,Produits!$A$5:$A$17,0)),"Produit ?"))</f>
        <v/>
      </c>
      <c r="G397" s="7">
        <f>IF(OR($C397="",$D397=""),"",IFERROR(D397*E397,""))</f>
        <v/>
      </c>
      <c r="H397" s="7">
        <f>IF(G397="","",D397*F397)</f>
        <v/>
      </c>
      <c r="I397" s="7">
        <f>IF(G397="","",G397-H397)</f>
        <v/>
      </c>
      <c r="J397" s="26">
        <f>IF(G397="","",IFERROR(I397/G397,0))</f>
        <v/>
      </c>
    </row>
    <row r="398">
      <c r="A398" s="27" t="n"/>
      <c r="B398" s="20" t="n"/>
      <c r="C398" s="20" t="n"/>
      <c r="D398" s="21" t="n"/>
      <c r="E398" s="22">
        <f>IF($C398="","",IFERROR(INDEX(Produits!$E$5:$E$17,MATCH($C398,Produits!$A$5:$A$17,0)),"Produit ?"))</f>
        <v/>
      </c>
      <c r="F398" s="22">
        <f>IF($C398="","",IFERROR(INDEX(Produits!$D$5:$D$17,MATCH($C398,Produits!$A$5:$A$17,0)),"Produit ?"))</f>
        <v/>
      </c>
      <c r="G398" s="7">
        <f>IF(OR($C398="",$D398=""),"",IFERROR(D398*E398,""))</f>
        <v/>
      </c>
      <c r="H398" s="7">
        <f>IF(G398="","",D398*F398)</f>
        <v/>
      </c>
      <c r="I398" s="7">
        <f>IF(G398="","",G398-H398)</f>
        <v/>
      </c>
      <c r="J398" s="26">
        <f>IF(G398="","",IFERROR(I398/G398,0))</f>
        <v/>
      </c>
    </row>
    <row r="399">
      <c r="A399" s="27" t="n"/>
      <c r="B399" s="20" t="n"/>
      <c r="C399" s="20" t="n"/>
      <c r="D399" s="21" t="n"/>
      <c r="E399" s="22">
        <f>IF($C399="","",IFERROR(INDEX(Produits!$E$5:$E$17,MATCH($C399,Produits!$A$5:$A$17,0)),"Produit ?"))</f>
        <v/>
      </c>
      <c r="F399" s="22">
        <f>IF($C399="","",IFERROR(INDEX(Produits!$D$5:$D$17,MATCH($C399,Produits!$A$5:$A$17,0)),"Produit ?"))</f>
        <v/>
      </c>
      <c r="G399" s="7">
        <f>IF(OR($C399="",$D399=""),"",IFERROR(D399*E399,""))</f>
        <v/>
      </c>
      <c r="H399" s="7">
        <f>IF(G399="","",D399*F399)</f>
        <v/>
      </c>
      <c r="I399" s="7">
        <f>IF(G399="","",G399-H399)</f>
        <v/>
      </c>
      <c r="J399" s="26">
        <f>IF(G399="","",IFERROR(I399/G399,0))</f>
        <v/>
      </c>
    </row>
    <row r="400">
      <c r="A400" s="27" t="n"/>
      <c r="B400" s="20" t="n"/>
      <c r="C400" s="20" t="n"/>
      <c r="D400" s="21" t="n"/>
      <c r="E400" s="22">
        <f>IF($C400="","",IFERROR(INDEX(Produits!$E$5:$E$17,MATCH($C400,Produits!$A$5:$A$17,0)),"Produit ?"))</f>
        <v/>
      </c>
      <c r="F400" s="22">
        <f>IF($C400="","",IFERROR(INDEX(Produits!$D$5:$D$17,MATCH($C400,Produits!$A$5:$A$17,0)),"Produit ?"))</f>
        <v/>
      </c>
      <c r="G400" s="7">
        <f>IF(OR($C400="",$D400=""),"",IFERROR(D400*E400,""))</f>
        <v/>
      </c>
      <c r="H400" s="7">
        <f>IF(G400="","",D400*F400)</f>
        <v/>
      </c>
      <c r="I400" s="7">
        <f>IF(G400="","",G400-H400)</f>
        <v/>
      </c>
      <c r="J400" s="26">
        <f>IF(G400="","",IFERROR(I400/G400,0))</f>
        <v/>
      </c>
    </row>
    <row r="401">
      <c r="A401" s="27" t="n"/>
      <c r="B401" s="20" t="n"/>
      <c r="C401" s="20" t="n"/>
      <c r="D401" s="21" t="n"/>
      <c r="E401" s="22">
        <f>IF($C401="","",IFERROR(INDEX(Produits!$E$5:$E$17,MATCH($C401,Produits!$A$5:$A$17,0)),"Produit ?"))</f>
        <v/>
      </c>
      <c r="F401" s="22">
        <f>IF($C401="","",IFERROR(INDEX(Produits!$D$5:$D$17,MATCH($C401,Produits!$A$5:$A$17,0)),"Produit ?"))</f>
        <v/>
      </c>
      <c r="G401" s="7">
        <f>IF(OR($C401="",$D401=""),"",IFERROR(D401*E401,""))</f>
        <v/>
      </c>
      <c r="H401" s="7">
        <f>IF(G401="","",D401*F401)</f>
        <v/>
      </c>
      <c r="I401" s="7">
        <f>IF(G401="","",G401-H401)</f>
        <v/>
      </c>
      <c r="J401" s="26">
        <f>IF(G401="","",IFERROR(I401/G401,0))</f>
        <v/>
      </c>
    </row>
    <row r="402">
      <c r="A402" s="27" t="n"/>
      <c r="B402" s="20" t="n"/>
      <c r="C402" s="20" t="n"/>
      <c r="D402" s="21" t="n"/>
      <c r="E402" s="22">
        <f>IF($C402="","",IFERROR(INDEX(Produits!$E$5:$E$17,MATCH($C402,Produits!$A$5:$A$17,0)),"Produit ?"))</f>
        <v/>
      </c>
      <c r="F402" s="22">
        <f>IF($C402="","",IFERROR(INDEX(Produits!$D$5:$D$17,MATCH($C402,Produits!$A$5:$A$17,0)),"Produit ?"))</f>
        <v/>
      </c>
      <c r="G402" s="7">
        <f>IF(OR($C402="",$D402=""),"",IFERROR(D402*E402,""))</f>
        <v/>
      </c>
      <c r="H402" s="7">
        <f>IF(G402="","",D402*F402)</f>
        <v/>
      </c>
      <c r="I402" s="7">
        <f>IF(G402="","",G402-H402)</f>
        <v/>
      </c>
      <c r="J402" s="26">
        <f>IF(G402="","",IFERROR(I402/G402,0))</f>
        <v/>
      </c>
    </row>
    <row r="403">
      <c r="A403" s="27" t="n"/>
      <c r="B403" s="20" t="n"/>
      <c r="C403" s="20" t="n"/>
      <c r="D403" s="21" t="n"/>
      <c r="E403" s="22">
        <f>IF($C403="","",IFERROR(INDEX(Produits!$E$5:$E$17,MATCH($C403,Produits!$A$5:$A$17,0)),"Produit ?"))</f>
        <v/>
      </c>
      <c r="F403" s="22">
        <f>IF($C403="","",IFERROR(INDEX(Produits!$D$5:$D$17,MATCH($C403,Produits!$A$5:$A$17,0)),"Produit ?"))</f>
        <v/>
      </c>
      <c r="G403" s="7">
        <f>IF(OR($C403="",$D403=""),"",IFERROR(D403*E403,""))</f>
        <v/>
      </c>
      <c r="H403" s="7">
        <f>IF(G403="","",D403*F403)</f>
        <v/>
      </c>
      <c r="I403" s="7">
        <f>IF(G403="","",G403-H403)</f>
        <v/>
      </c>
      <c r="J403" s="26">
        <f>IF(G403="","",IFERROR(I403/G403,0))</f>
        <v/>
      </c>
    </row>
    <row r="404">
      <c r="A404" s="27" t="n"/>
      <c r="B404" s="20" t="n"/>
      <c r="C404" s="20" t="n"/>
      <c r="D404" s="21" t="n"/>
      <c r="E404" s="22">
        <f>IF($C404="","",IFERROR(INDEX(Produits!$E$5:$E$17,MATCH($C404,Produits!$A$5:$A$17,0)),"Produit ?"))</f>
        <v/>
      </c>
      <c r="F404" s="22">
        <f>IF($C404="","",IFERROR(INDEX(Produits!$D$5:$D$17,MATCH($C404,Produits!$A$5:$A$17,0)),"Produit ?"))</f>
        <v/>
      </c>
      <c r="G404" s="7">
        <f>IF(OR($C404="",$D404=""),"",IFERROR(D404*E404,""))</f>
        <v/>
      </c>
      <c r="H404" s="7">
        <f>IF(G404="","",D404*F404)</f>
        <v/>
      </c>
      <c r="I404" s="7">
        <f>IF(G404="","",G404-H404)</f>
        <v/>
      </c>
      <c r="J404" s="26">
        <f>IF(G404="","",IFERROR(I404/G404,0))</f>
        <v/>
      </c>
    </row>
    <row r="405">
      <c r="A405" s="27" t="n"/>
      <c r="B405" s="20" t="n"/>
      <c r="C405" s="20" t="n"/>
      <c r="D405" s="21" t="n"/>
      <c r="E405" s="22">
        <f>IF($C405="","",IFERROR(INDEX(Produits!$E$5:$E$17,MATCH($C405,Produits!$A$5:$A$17,0)),"Produit ?"))</f>
        <v/>
      </c>
      <c r="F405" s="22">
        <f>IF($C405="","",IFERROR(INDEX(Produits!$D$5:$D$17,MATCH($C405,Produits!$A$5:$A$17,0)),"Produit ?"))</f>
        <v/>
      </c>
      <c r="G405" s="7">
        <f>IF(OR($C405="",$D405=""),"",IFERROR(D405*E405,""))</f>
        <v/>
      </c>
      <c r="H405" s="7">
        <f>IF(G405="","",D405*F405)</f>
        <v/>
      </c>
      <c r="I405" s="7">
        <f>IF(G405="","",G405-H405)</f>
        <v/>
      </c>
      <c r="J405" s="26">
        <f>IF(G405="","",IFERROR(I405/G405,0))</f>
        <v/>
      </c>
    </row>
    <row r="406">
      <c r="A406" s="27" t="n"/>
      <c r="B406" s="20" t="n"/>
      <c r="C406" s="20" t="n"/>
      <c r="D406" s="21" t="n"/>
      <c r="E406" s="22">
        <f>IF($C406="","",IFERROR(INDEX(Produits!$E$5:$E$17,MATCH($C406,Produits!$A$5:$A$17,0)),"Produit ?"))</f>
        <v/>
      </c>
      <c r="F406" s="22">
        <f>IF($C406="","",IFERROR(INDEX(Produits!$D$5:$D$17,MATCH($C406,Produits!$A$5:$A$17,0)),"Produit ?"))</f>
        <v/>
      </c>
      <c r="G406" s="7">
        <f>IF(OR($C406="",$D406=""),"",IFERROR(D406*E406,""))</f>
        <v/>
      </c>
      <c r="H406" s="7">
        <f>IF(G406="","",D406*F406)</f>
        <v/>
      </c>
      <c r="I406" s="7">
        <f>IF(G406="","",G406-H406)</f>
        <v/>
      </c>
      <c r="J406" s="26">
        <f>IF(G406="","",IFERROR(I406/G406,0))</f>
        <v/>
      </c>
    </row>
    <row r="407">
      <c r="A407" s="27" t="n"/>
      <c r="B407" s="20" t="n"/>
      <c r="C407" s="20" t="n"/>
      <c r="D407" s="21" t="n"/>
      <c r="E407" s="22">
        <f>IF($C407="","",IFERROR(INDEX(Produits!$E$5:$E$17,MATCH($C407,Produits!$A$5:$A$17,0)),"Produit ?"))</f>
        <v/>
      </c>
      <c r="F407" s="22">
        <f>IF($C407="","",IFERROR(INDEX(Produits!$D$5:$D$17,MATCH($C407,Produits!$A$5:$A$17,0)),"Produit ?"))</f>
        <v/>
      </c>
      <c r="G407" s="7">
        <f>IF(OR($C407="",$D407=""),"",IFERROR(D407*E407,""))</f>
        <v/>
      </c>
      <c r="H407" s="7">
        <f>IF(G407="","",D407*F407)</f>
        <v/>
      </c>
      <c r="I407" s="7">
        <f>IF(G407="","",G407-H407)</f>
        <v/>
      </c>
      <c r="J407" s="26">
        <f>IF(G407="","",IFERROR(I407/G407,0))</f>
        <v/>
      </c>
    </row>
    <row r="408">
      <c r="A408" s="27" t="n"/>
      <c r="B408" s="20" t="n"/>
      <c r="C408" s="20" t="n"/>
      <c r="D408" s="21" t="n"/>
      <c r="E408" s="22">
        <f>IF($C408="","",IFERROR(INDEX(Produits!$E$5:$E$17,MATCH($C408,Produits!$A$5:$A$17,0)),"Produit ?"))</f>
        <v/>
      </c>
      <c r="F408" s="22">
        <f>IF($C408="","",IFERROR(INDEX(Produits!$D$5:$D$17,MATCH($C408,Produits!$A$5:$A$17,0)),"Produit ?"))</f>
        <v/>
      </c>
      <c r="G408" s="7">
        <f>IF(OR($C408="",$D408=""),"",IFERROR(D408*E408,""))</f>
        <v/>
      </c>
      <c r="H408" s="7">
        <f>IF(G408="","",D408*F408)</f>
        <v/>
      </c>
      <c r="I408" s="7">
        <f>IF(G408="","",G408-H408)</f>
        <v/>
      </c>
      <c r="J408" s="26">
        <f>IF(G408="","",IFERROR(I408/G408,0))</f>
        <v/>
      </c>
    </row>
    <row r="409">
      <c r="A409" s="27" t="n"/>
      <c r="B409" s="20" t="n"/>
      <c r="C409" s="20" t="n"/>
      <c r="D409" s="21" t="n"/>
      <c r="E409" s="22">
        <f>IF($C409="","",IFERROR(INDEX(Produits!$E$5:$E$17,MATCH($C409,Produits!$A$5:$A$17,0)),"Produit ?"))</f>
        <v/>
      </c>
      <c r="F409" s="22">
        <f>IF($C409="","",IFERROR(INDEX(Produits!$D$5:$D$17,MATCH($C409,Produits!$A$5:$A$17,0)),"Produit ?"))</f>
        <v/>
      </c>
      <c r="G409" s="7">
        <f>IF(OR($C409="",$D409=""),"",IFERROR(D409*E409,""))</f>
        <v/>
      </c>
      <c r="H409" s="7">
        <f>IF(G409="","",D409*F409)</f>
        <v/>
      </c>
      <c r="I409" s="7">
        <f>IF(G409="","",G409-H409)</f>
        <v/>
      </c>
      <c r="J409" s="26">
        <f>IF(G409="","",IFERROR(I409/G409,0))</f>
        <v/>
      </c>
    </row>
    <row r="410">
      <c r="A410" s="27" t="n"/>
      <c r="B410" s="20" t="n"/>
      <c r="C410" s="20" t="n"/>
      <c r="D410" s="21" t="n"/>
      <c r="E410" s="22">
        <f>IF($C410="","",IFERROR(INDEX(Produits!$E$5:$E$17,MATCH($C410,Produits!$A$5:$A$17,0)),"Produit ?"))</f>
        <v/>
      </c>
      <c r="F410" s="22">
        <f>IF($C410="","",IFERROR(INDEX(Produits!$D$5:$D$17,MATCH($C410,Produits!$A$5:$A$17,0)),"Produit ?"))</f>
        <v/>
      </c>
      <c r="G410" s="7">
        <f>IF(OR($C410="",$D410=""),"",IFERROR(D410*E410,""))</f>
        <v/>
      </c>
      <c r="H410" s="7">
        <f>IF(G410="","",D410*F410)</f>
        <v/>
      </c>
      <c r="I410" s="7">
        <f>IF(G410="","",G410-H410)</f>
        <v/>
      </c>
      <c r="J410" s="26">
        <f>IF(G410="","",IFERROR(I410/G410,0))</f>
        <v/>
      </c>
    </row>
    <row r="411">
      <c r="A411" s="27" t="n"/>
      <c r="B411" s="20" t="n"/>
      <c r="C411" s="20" t="n"/>
      <c r="D411" s="21" t="n"/>
      <c r="E411" s="22">
        <f>IF($C411="","",IFERROR(INDEX(Produits!$E$5:$E$17,MATCH($C411,Produits!$A$5:$A$17,0)),"Produit ?"))</f>
        <v/>
      </c>
      <c r="F411" s="22">
        <f>IF($C411="","",IFERROR(INDEX(Produits!$D$5:$D$17,MATCH($C411,Produits!$A$5:$A$17,0)),"Produit ?"))</f>
        <v/>
      </c>
      <c r="G411" s="7">
        <f>IF(OR($C411="",$D411=""),"",IFERROR(D411*E411,""))</f>
        <v/>
      </c>
      <c r="H411" s="7">
        <f>IF(G411="","",D411*F411)</f>
        <v/>
      </c>
      <c r="I411" s="7">
        <f>IF(G411="","",G411-H411)</f>
        <v/>
      </c>
      <c r="J411" s="26">
        <f>IF(G411="","",IFERROR(I411/G411,0))</f>
        <v/>
      </c>
    </row>
    <row r="412">
      <c r="A412" s="27" t="n"/>
      <c r="B412" s="20" t="n"/>
      <c r="C412" s="20" t="n"/>
      <c r="D412" s="21" t="n"/>
      <c r="E412" s="22">
        <f>IF($C412="","",IFERROR(INDEX(Produits!$E$5:$E$17,MATCH($C412,Produits!$A$5:$A$17,0)),"Produit ?"))</f>
        <v/>
      </c>
      <c r="F412" s="22">
        <f>IF($C412="","",IFERROR(INDEX(Produits!$D$5:$D$17,MATCH($C412,Produits!$A$5:$A$17,0)),"Produit ?"))</f>
        <v/>
      </c>
      <c r="G412" s="7">
        <f>IF(OR($C412="",$D412=""),"",IFERROR(D412*E412,""))</f>
        <v/>
      </c>
      <c r="H412" s="7">
        <f>IF(G412="","",D412*F412)</f>
        <v/>
      </c>
      <c r="I412" s="7">
        <f>IF(G412="","",G412-H412)</f>
        <v/>
      </c>
      <c r="J412" s="26">
        <f>IF(G412="","",IFERROR(I412/G412,0))</f>
        <v/>
      </c>
    </row>
    <row r="413">
      <c r="A413" s="27" t="n"/>
      <c r="B413" s="20" t="n"/>
      <c r="C413" s="20" t="n"/>
      <c r="D413" s="21" t="n"/>
      <c r="E413" s="22">
        <f>IF($C413="","",IFERROR(INDEX(Produits!$E$5:$E$17,MATCH($C413,Produits!$A$5:$A$17,0)),"Produit ?"))</f>
        <v/>
      </c>
      <c r="F413" s="22">
        <f>IF($C413="","",IFERROR(INDEX(Produits!$D$5:$D$17,MATCH($C413,Produits!$A$5:$A$17,0)),"Produit ?"))</f>
        <v/>
      </c>
      <c r="G413" s="7">
        <f>IF(OR($C413="",$D413=""),"",IFERROR(D413*E413,""))</f>
        <v/>
      </c>
      <c r="H413" s="7">
        <f>IF(G413="","",D413*F413)</f>
        <v/>
      </c>
      <c r="I413" s="7">
        <f>IF(G413="","",G413-H413)</f>
        <v/>
      </c>
      <c r="J413" s="26">
        <f>IF(G413="","",IFERROR(I413/G413,0))</f>
        <v/>
      </c>
    </row>
    <row r="414">
      <c r="A414" s="27" t="n"/>
      <c r="B414" s="20" t="n"/>
      <c r="C414" s="20" t="n"/>
      <c r="D414" s="21" t="n"/>
      <c r="E414" s="22">
        <f>IF($C414="","",IFERROR(INDEX(Produits!$E$5:$E$17,MATCH($C414,Produits!$A$5:$A$17,0)),"Produit ?"))</f>
        <v/>
      </c>
      <c r="F414" s="22">
        <f>IF($C414="","",IFERROR(INDEX(Produits!$D$5:$D$17,MATCH($C414,Produits!$A$5:$A$17,0)),"Produit ?"))</f>
        <v/>
      </c>
      <c r="G414" s="7">
        <f>IF(OR($C414="",$D414=""),"",IFERROR(D414*E414,""))</f>
        <v/>
      </c>
      <c r="H414" s="7">
        <f>IF(G414="","",D414*F414)</f>
        <v/>
      </c>
      <c r="I414" s="7">
        <f>IF(G414="","",G414-H414)</f>
        <v/>
      </c>
      <c r="J414" s="26">
        <f>IF(G414="","",IFERROR(I414/G414,0))</f>
        <v/>
      </c>
    </row>
    <row r="415">
      <c r="A415" s="27" t="n"/>
      <c r="B415" s="20" t="n"/>
      <c r="C415" s="20" t="n"/>
      <c r="D415" s="21" t="n"/>
      <c r="E415" s="22">
        <f>IF($C415="","",IFERROR(INDEX(Produits!$E$5:$E$17,MATCH($C415,Produits!$A$5:$A$17,0)),"Produit ?"))</f>
        <v/>
      </c>
      <c r="F415" s="22">
        <f>IF($C415="","",IFERROR(INDEX(Produits!$D$5:$D$17,MATCH($C415,Produits!$A$5:$A$17,0)),"Produit ?"))</f>
        <v/>
      </c>
      <c r="G415" s="7">
        <f>IF(OR($C415="",$D415=""),"",IFERROR(D415*E415,""))</f>
        <v/>
      </c>
      <c r="H415" s="7">
        <f>IF(G415="","",D415*F415)</f>
        <v/>
      </c>
      <c r="I415" s="7">
        <f>IF(G415="","",G415-H415)</f>
        <v/>
      </c>
      <c r="J415" s="26">
        <f>IF(G415="","",IFERROR(I415/G415,0))</f>
        <v/>
      </c>
    </row>
    <row r="416">
      <c r="A416" s="27" t="n"/>
      <c r="B416" s="20" t="n"/>
      <c r="C416" s="20" t="n"/>
      <c r="D416" s="21" t="n"/>
      <c r="E416" s="22">
        <f>IF($C416="","",IFERROR(INDEX(Produits!$E$5:$E$17,MATCH($C416,Produits!$A$5:$A$17,0)),"Produit ?"))</f>
        <v/>
      </c>
      <c r="F416" s="22">
        <f>IF($C416="","",IFERROR(INDEX(Produits!$D$5:$D$17,MATCH($C416,Produits!$A$5:$A$17,0)),"Produit ?"))</f>
        <v/>
      </c>
      <c r="G416" s="7">
        <f>IF(OR($C416="",$D416=""),"",IFERROR(D416*E416,""))</f>
        <v/>
      </c>
      <c r="H416" s="7">
        <f>IF(G416="","",D416*F416)</f>
        <v/>
      </c>
      <c r="I416" s="7">
        <f>IF(G416="","",G416-H416)</f>
        <v/>
      </c>
      <c r="J416" s="26">
        <f>IF(G416="","",IFERROR(I416/G416,0))</f>
        <v/>
      </c>
    </row>
    <row r="417">
      <c r="A417" s="27" t="n"/>
      <c r="B417" s="20" t="n"/>
      <c r="C417" s="20" t="n"/>
      <c r="D417" s="21" t="n"/>
      <c r="E417" s="22">
        <f>IF($C417="","",IFERROR(INDEX(Produits!$E$5:$E$17,MATCH($C417,Produits!$A$5:$A$17,0)),"Produit ?"))</f>
        <v/>
      </c>
      <c r="F417" s="22">
        <f>IF($C417="","",IFERROR(INDEX(Produits!$D$5:$D$17,MATCH($C417,Produits!$A$5:$A$17,0)),"Produit ?"))</f>
        <v/>
      </c>
      <c r="G417" s="7">
        <f>IF(OR($C417="",$D417=""),"",IFERROR(D417*E417,""))</f>
        <v/>
      </c>
      <c r="H417" s="7">
        <f>IF(G417="","",D417*F417)</f>
        <v/>
      </c>
      <c r="I417" s="7">
        <f>IF(G417="","",G417-H417)</f>
        <v/>
      </c>
      <c r="J417" s="26">
        <f>IF(G417="","",IFERROR(I417/G417,0))</f>
        <v/>
      </c>
    </row>
    <row r="418">
      <c r="A418" s="27" t="n"/>
      <c r="B418" s="20" t="n"/>
      <c r="C418" s="20" t="n"/>
      <c r="D418" s="21" t="n"/>
      <c r="E418" s="22">
        <f>IF($C418="","",IFERROR(INDEX(Produits!$E$5:$E$17,MATCH($C418,Produits!$A$5:$A$17,0)),"Produit ?"))</f>
        <v/>
      </c>
      <c r="F418" s="22">
        <f>IF($C418="","",IFERROR(INDEX(Produits!$D$5:$D$17,MATCH($C418,Produits!$A$5:$A$17,0)),"Produit ?"))</f>
        <v/>
      </c>
      <c r="G418" s="7">
        <f>IF(OR($C418="",$D418=""),"",IFERROR(D418*E418,""))</f>
        <v/>
      </c>
      <c r="H418" s="7">
        <f>IF(G418="","",D418*F418)</f>
        <v/>
      </c>
      <c r="I418" s="7">
        <f>IF(G418="","",G418-H418)</f>
        <v/>
      </c>
      <c r="J418" s="26">
        <f>IF(G418="","",IFERROR(I418/G418,0))</f>
        <v/>
      </c>
    </row>
    <row r="419">
      <c r="A419" s="27" t="n"/>
      <c r="B419" s="20" t="n"/>
      <c r="C419" s="20" t="n"/>
      <c r="D419" s="21" t="n"/>
      <c r="E419" s="22">
        <f>IF($C419="","",IFERROR(INDEX(Produits!$E$5:$E$17,MATCH($C419,Produits!$A$5:$A$17,0)),"Produit ?"))</f>
        <v/>
      </c>
      <c r="F419" s="22">
        <f>IF($C419="","",IFERROR(INDEX(Produits!$D$5:$D$17,MATCH($C419,Produits!$A$5:$A$17,0)),"Produit ?"))</f>
        <v/>
      </c>
      <c r="G419" s="7">
        <f>IF(OR($C419="",$D419=""),"",IFERROR(D419*E419,""))</f>
        <v/>
      </c>
      <c r="H419" s="7">
        <f>IF(G419="","",D419*F419)</f>
        <v/>
      </c>
      <c r="I419" s="7">
        <f>IF(G419="","",G419-H419)</f>
        <v/>
      </c>
      <c r="J419" s="26">
        <f>IF(G419="","",IFERROR(I419/G419,0))</f>
        <v/>
      </c>
    </row>
    <row r="420">
      <c r="A420" s="27" t="n"/>
      <c r="B420" s="20" t="n"/>
      <c r="C420" s="20" t="n"/>
      <c r="D420" s="21" t="n"/>
      <c r="E420" s="22">
        <f>IF($C420="","",IFERROR(INDEX(Produits!$E$5:$E$17,MATCH($C420,Produits!$A$5:$A$17,0)),"Produit ?"))</f>
        <v/>
      </c>
      <c r="F420" s="22">
        <f>IF($C420="","",IFERROR(INDEX(Produits!$D$5:$D$17,MATCH($C420,Produits!$A$5:$A$17,0)),"Produit ?"))</f>
        <v/>
      </c>
      <c r="G420" s="7">
        <f>IF(OR($C420="",$D420=""),"",IFERROR(D420*E420,""))</f>
        <v/>
      </c>
      <c r="H420" s="7">
        <f>IF(G420="","",D420*F420)</f>
        <v/>
      </c>
      <c r="I420" s="7">
        <f>IF(G420="","",G420-H420)</f>
        <v/>
      </c>
      <c r="J420" s="26">
        <f>IF(G420="","",IFERROR(I420/G420,0))</f>
        <v/>
      </c>
    </row>
    <row r="421">
      <c r="A421" s="27" t="n"/>
      <c r="B421" s="20" t="n"/>
      <c r="C421" s="20" t="n"/>
      <c r="D421" s="21" t="n"/>
      <c r="E421" s="22">
        <f>IF($C421="","",IFERROR(INDEX(Produits!$E$5:$E$17,MATCH($C421,Produits!$A$5:$A$17,0)),"Produit ?"))</f>
        <v/>
      </c>
      <c r="F421" s="22">
        <f>IF($C421="","",IFERROR(INDEX(Produits!$D$5:$D$17,MATCH($C421,Produits!$A$5:$A$17,0)),"Produit ?"))</f>
        <v/>
      </c>
      <c r="G421" s="7">
        <f>IF(OR($C421="",$D421=""),"",IFERROR(D421*E421,""))</f>
        <v/>
      </c>
      <c r="H421" s="7">
        <f>IF(G421="","",D421*F421)</f>
        <v/>
      </c>
      <c r="I421" s="7">
        <f>IF(G421="","",G421-H421)</f>
        <v/>
      </c>
      <c r="J421" s="26">
        <f>IF(G421="","",IFERROR(I421/G421,0))</f>
        <v/>
      </c>
    </row>
    <row r="422">
      <c r="A422" s="27" t="n"/>
      <c r="B422" s="20" t="n"/>
      <c r="C422" s="20" t="n"/>
      <c r="D422" s="21" t="n"/>
      <c r="E422" s="22">
        <f>IF($C422="","",IFERROR(INDEX(Produits!$E$5:$E$17,MATCH($C422,Produits!$A$5:$A$17,0)),"Produit ?"))</f>
        <v/>
      </c>
      <c r="F422" s="22">
        <f>IF($C422="","",IFERROR(INDEX(Produits!$D$5:$D$17,MATCH($C422,Produits!$A$5:$A$17,0)),"Produit ?"))</f>
        <v/>
      </c>
      <c r="G422" s="7">
        <f>IF(OR($C422="",$D422=""),"",IFERROR(D422*E422,""))</f>
        <v/>
      </c>
      <c r="H422" s="7">
        <f>IF(G422="","",D422*F422)</f>
        <v/>
      </c>
      <c r="I422" s="7">
        <f>IF(G422="","",G422-H422)</f>
        <v/>
      </c>
      <c r="J422" s="26">
        <f>IF(G422="","",IFERROR(I422/G422,0))</f>
        <v/>
      </c>
    </row>
    <row r="423">
      <c r="A423" s="27" t="n"/>
      <c r="B423" s="20" t="n"/>
      <c r="C423" s="20" t="n"/>
      <c r="D423" s="21" t="n"/>
      <c r="E423" s="22">
        <f>IF($C423="","",IFERROR(INDEX(Produits!$E$5:$E$17,MATCH($C423,Produits!$A$5:$A$17,0)),"Produit ?"))</f>
        <v/>
      </c>
      <c r="F423" s="22">
        <f>IF($C423="","",IFERROR(INDEX(Produits!$D$5:$D$17,MATCH($C423,Produits!$A$5:$A$17,0)),"Produit ?"))</f>
        <v/>
      </c>
      <c r="G423" s="7">
        <f>IF(OR($C423="",$D423=""),"",IFERROR(D423*E423,""))</f>
        <v/>
      </c>
      <c r="H423" s="7">
        <f>IF(G423="","",D423*F423)</f>
        <v/>
      </c>
      <c r="I423" s="7">
        <f>IF(G423="","",G423-H423)</f>
        <v/>
      </c>
      <c r="J423" s="26">
        <f>IF(G423="","",IFERROR(I423/G423,0))</f>
        <v/>
      </c>
    </row>
    <row r="424">
      <c r="A424" s="27" t="n"/>
      <c r="B424" s="20" t="n"/>
      <c r="C424" s="20" t="n"/>
      <c r="D424" s="21" t="n"/>
      <c r="E424" s="22">
        <f>IF($C424="","",IFERROR(INDEX(Produits!$E$5:$E$17,MATCH($C424,Produits!$A$5:$A$17,0)),"Produit ?"))</f>
        <v/>
      </c>
      <c r="F424" s="22">
        <f>IF($C424="","",IFERROR(INDEX(Produits!$D$5:$D$17,MATCH($C424,Produits!$A$5:$A$17,0)),"Produit ?"))</f>
        <v/>
      </c>
      <c r="G424" s="7">
        <f>IF(OR($C424="",$D424=""),"",IFERROR(D424*E424,""))</f>
        <v/>
      </c>
      <c r="H424" s="7">
        <f>IF(G424="","",D424*F424)</f>
        <v/>
      </c>
      <c r="I424" s="7">
        <f>IF(G424="","",G424-H424)</f>
        <v/>
      </c>
      <c r="J424" s="26">
        <f>IF(G424="","",IFERROR(I424/G424,0))</f>
        <v/>
      </c>
    </row>
    <row r="425">
      <c r="A425" s="27" t="n"/>
      <c r="B425" s="20" t="n"/>
      <c r="C425" s="20" t="n"/>
      <c r="D425" s="21" t="n"/>
      <c r="E425" s="22">
        <f>IF($C425="","",IFERROR(INDEX(Produits!$E$5:$E$17,MATCH($C425,Produits!$A$5:$A$17,0)),"Produit ?"))</f>
        <v/>
      </c>
      <c r="F425" s="22">
        <f>IF($C425="","",IFERROR(INDEX(Produits!$D$5:$D$17,MATCH($C425,Produits!$A$5:$A$17,0)),"Produit ?"))</f>
        <v/>
      </c>
      <c r="G425" s="7">
        <f>IF(OR($C425="",$D425=""),"",IFERROR(D425*E425,""))</f>
        <v/>
      </c>
      <c r="H425" s="7">
        <f>IF(G425="","",D425*F425)</f>
        <v/>
      </c>
      <c r="I425" s="7">
        <f>IF(G425="","",G425-H425)</f>
        <v/>
      </c>
      <c r="J425" s="26">
        <f>IF(G425="","",IFERROR(I425/G425,0))</f>
        <v/>
      </c>
    </row>
    <row r="426">
      <c r="A426" s="27" t="n"/>
      <c r="B426" s="20" t="n"/>
      <c r="C426" s="20" t="n"/>
      <c r="D426" s="21" t="n"/>
      <c r="E426" s="22">
        <f>IF($C426="","",IFERROR(INDEX(Produits!$E$5:$E$17,MATCH($C426,Produits!$A$5:$A$17,0)),"Produit ?"))</f>
        <v/>
      </c>
      <c r="F426" s="22">
        <f>IF($C426="","",IFERROR(INDEX(Produits!$D$5:$D$17,MATCH($C426,Produits!$A$5:$A$17,0)),"Produit ?"))</f>
        <v/>
      </c>
      <c r="G426" s="7">
        <f>IF(OR($C426="",$D426=""),"",IFERROR(D426*E426,""))</f>
        <v/>
      </c>
      <c r="H426" s="7">
        <f>IF(G426="","",D426*F426)</f>
        <v/>
      </c>
      <c r="I426" s="7">
        <f>IF(G426="","",G426-H426)</f>
        <v/>
      </c>
      <c r="J426" s="26">
        <f>IF(G426="","",IFERROR(I426/G426,0))</f>
        <v/>
      </c>
    </row>
    <row r="427">
      <c r="A427" s="27" t="n"/>
      <c r="B427" s="20" t="n"/>
      <c r="C427" s="20" t="n"/>
      <c r="D427" s="21" t="n"/>
      <c r="E427" s="22">
        <f>IF($C427="","",IFERROR(INDEX(Produits!$E$5:$E$17,MATCH($C427,Produits!$A$5:$A$17,0)),"Produit ?"))</f>
        <v/>
      </c>
      <c r="F427" s="22">
        <f>IF($C427="","",IFERROR(INDEX(Produits!$D$5:$D$17,MATCH($C427,Produits!$A$5:$A$17,0)),"Produit ?"))</f>
        <v/>
      </c>
      <c r="G427" s="7">
        <f>IF(OR($C427="",$D427=""),"",IFERROR(D427*E427,""))</f>
        <v/>
      </c>
      <c r="H427" s="7">
        <f>IF(G427="","",D427*F427)</f>
        <v/>
      </c>
      <c r="I427" s="7">
        <f>IF(G427="","",G427-H427)</f>
        <v/>
      </c>
      <c r="J427" s="26">
        <f>IF(G427="","",IFERROR(I427/G427,0))</f>
        <v/>
      </c>
    </row>
    <row r="428">
      <c r="A428" s="27" t="n"/>
      <c r="B428" s="20" t="n"/>
      <c r="C428" s="20" t="n"/>
      <c r="D428" s="21" t="n"/>
      <c r="E428" s="22">
        <f>IF($C428="","",IFERROR(INDEX(Produits!$E$5:$E$17,MATCH($C428,Produits!$A$5:$A$17,0)),"Produit ?"))</f>
        <v/>
      </c>
      <c r="F428" s="22">
        <f>IF($C428="","",IFERROR(INDEX(Produits!$D$5:$D$17,MATCH($C428,Produits!$A$5:$A$17,0)),"Produit ?"))</f>
        <v/>
      </c>
      <c r="G428" s="7">
        <f>IF(OR($C428="",$D428=""),"",IFERROR(D428*E428,""))</f>
        <v/>
      </c>
      <c r="H428" s="7">
        <f>IF(G428="","",D428*F428)</f>
        <v/>
      </c>
      <c r="I428" s="7">
        <f>IF(G428="","",G428-H428)</f>
        <v/>
      </c>
      <c r="J428" s="26">
        <f>IF(G428="","",IFERROR(I428/G428,0))</f>
        <v/>
      </c>
    </row>
    <row r="429">
      <c r="A429" s="27" t="n"/>
      <c r="B429" s="20" t="n"/>
      <c r="C429" s="20" t="n"/>
      <c r="D429" s="21" t="n"/>
      <c r="E429" s="22">
        <f>IF($C429="","",IFERROR(INDEX(Produits!$E$5:$E$17,MATCH($C429,Produits!$A$5:$A$17,0)),"Produit ?"))</f>
        <v/>
      </c>
      <c r="F429" s="22">
        <f>IF($C429="","",IFERROR(INDEX(Produits!$D$5:$D$17,MATCH($C429,Produits!$A$5:$A$17,0)),"Produit ?"))</f>
        <v/>
      </c>
      <c r="G429" s="7">
        <f>IF(OR($C429="",$D429=""),"",IFERROR(D429*E429,""))</f>
        <v/>
      </c>
      <c r="H429" s="7">
        <f>IF(G429="","",D429*F429)</f>
        <v/>
      </c>
      <c r="I429" s="7">
        <f>IF(G429="","",G429-H429)</f>
        <v/>
      </c>
      <c r="J429" s="26">
        <f>IF(G429="","",IFERROR(I429/G429,0))</f>
        <v/>
      </c>
    </row>
    <row r="430">
      <c r="A430" s="27" t="n"/>
      <c r="B430" s="20" t="n"/>
      <c r="C430" s="20" t="n"/>
      <c r="D430" s="21" t="n"/>
      <c r="E430" s="22">
        <f>IF($C430="","",IFERROR(INDEX(Produits!$E$5:$E$17,MATCH($C430,Produits!$A$5:$A$17,0)),"Produit ?"))</f>
        <v/>
      </c>
      <c r="F430" s="22">
        <f>IF($C430="","",IFERROR(INDEX(Produits!$D$5:$D$17,MATCH($C430,Produits!$A$5:$A$17,0)),"Produit ?"))</f>
        <v/>
      </c>
      <c r="G430" s="7">
        <f>IF(OR($C430="",$D430=""),"",IFERROR(D430*E430,""))</f>
        <v/>
      </c>
      <c r="H430" s="7">
        <f>IF(G430="","",D430*F430)</f>
        <v/>
      </c>
      <c r="I430" s="7">
        <f>IF(G430="","",G430-H430)</f>
        <v/>
      </c>
      <c r="J430" s="26">
        <f>IF(G430="","",IFERROR(I430/G430,0))</f>
        <v/>
      </c>
    </row>
    <row r="431">
      <c r="A431" s="27" t="n"/>
      <c r="B431" s="20" t="n"/>
      <c r="C431" s="20" t="n"/>
      <c r="D431" s="21" t="n"/>
      <c r="E431" s="22">
        <f>IF($C431="","",IFERROR(INDEX(Produits!$E$5:$E$17,MATCH($C431,Produits!$A$5:$A$17,0)),"Produit ?"))</f>
        <v/>
      </c>
      <c r="F431" s="22">
        <f>IF($C431="","",IFERROR(INDEX(Produits!$D$5:$D$17,MATCH($C431,Produits!$A$5:$A$17,0)),"Produit ?"))</f>
        <v/>
      </c>
      <c r="G431" s="7">
        <f>IF(OR($C431="",$D431=""),"",IFERROR(D431*E431,""))</f>
        <v/>
      </c>
      <c r="H431" s="7">
        <f>IF(G431="","",D431*F431)</f>
        <v/>
      </c>
      <c r="I431" s="7">
        <f>IF(G431="","",G431-H431)</f>
        <v/>
      </c>
      <c r="J431" s="26">
        <f>IF(G431="","",IFERROR(I431/G431,0))</f>
        <v/>
      </c>
    </row>
    <row r="432">
      <c r="A432" s="27" t="n"/>
      <c r="B432" s="20" t="n"/>
      <c r="C432" s="20" t="n"/>
      <c r="D432" s="21" t="n"/>
      <c r="E432" s="22">
        <f>IF($C432="","",IFERROR(INDEX(Produits!$E$5:$E$17,MATCH($C432,Produits!$A$5:$A$17,0)),"Produit ?"))</f>
        <v/>
      </c>
      <c r="F432" s="22">
        <f>IF($C432="","",IFERROR(INDEX(Produits!$D$5:$D$17,MATCH($C432,Produits!$A$5:$A$17,0)),"Produit ?"))</f>
        <v/>
      </c>
      <c r="G432" s="7">
        <f>IF(OR($C432="",$D432=""),"",IFERROR(D432*E432,""))</f>
        <v/>
      </c>
      <c r="H432" s="7">
        <f>IF(G432="","",D432*F432)</f>
        <v/>
      </c>
      <c r="I432" s="7">
        <f>IF(G432="","",G432-H432)</f>
        <v/>
      </c>
      <c r="J432" s="26">
        <f>IF(G432="","",IFERROR(I432/G432,0))</f>
        <v/>
      </c>
    </row>
    <row r="433">
      <c r="A433" s="27" t="n"/>
      <c r="B433" s="20" t="n"/>
      <c r="C433" s="20" t="n"/>
      <c r="D433" s="21" t="n"/>
      <c r="E433" s="22">
        <f>IF($C433="","",IFERROR(INDEX(Produits!$E$5:$E$17,MATCH($C433,Produits!$A$5:$A$17,0)),"Produit ?"))</f>
        <v/>
      </c>
      <c r="F433" s="22">
        <f>IF($C433="","",IFERROR(INDEX(Produits!$D$5:$D$17,MATCH($C433,Produits!$A$5:$A$17,0)),"Produit ?"))</f>
        <v/>
      </c>
      <c r="G433" s="7">
        <f>IF(OR($C433="",$D433=""),"",IFERROR(D433*E433,""))</f>
        <v/>
      </c>
      <c r="H433" s="7">
        <f>IF(G433="","",D433*F433)</f>
        <v/>
      </c>
      <c r="I433" s="7">
        <f>IF(G433="","",G433-H433)</f>
        <v/>
      </c>
      <c r="J433" s="26">
        <f>IF(G433="","",IFERROR(I433/G433,0))</f>
        <v/>
      </c>
    </row>
    <row r="434">
      <c r="A434" s="27" t="n"/>
      <c r="B434" s="20" t="n"/>
      <c r="C434" s="20" t="n"/>
      <c r="D434" s="21" t="n"/>
      <c r="E434" s="22">
        <f>IF($C434="","",IFERROR(INDEX(Produits!$E$5:$E$17,MATCH($C434,Produits!$A$5:$A$17,0)),"Produit ?"))</f>
        <v/>
      </c>
      <c r="F434" s="22">
        <f>IF($C434="","",IFERROR(INDEX(Produits!$D$5:$D$17,MATCH($C434,Produits!$A$5:$A$17,0)),"Produit ?"))</f>
        <v/>
      </c>
      <c r="G434" s="7">
        <f>IF(OR($C434="",$D434=""),"",IFERROR(D434*E434,""))</f>
        <v/>
      </c>
      <c r="H434" s="7">
        <f>IF(G434="","",D434*F434)</f>
        <v/>
      </c>
      <c r="I434" s="7">
        <f>IF(G434="","",G434-H434)</f>
        <v/>
      </c>
      <c r="J434" s="26">
        <f>IF(G434="","",IFERROR(I434/G434,0))</f>
        <v/>
      </c>
    </row>
    <row r="435">
      <c r="A435" s="27" t="n"/>
      <c r="B435" s="20" t="n"/>
      <c r="C435" s="20" t="n"/>
      <c r="D435" s="21" t="n"/>
      <c r="E435" s="22">
        <f>IF($C435="","",IFERROR(INDEX(Produits!$E$5:$E$17,MATCH($C435,Produits!$A$5:$A$17,0)),"Produit ?"))</f>
        <v/>
      </c>
      <c r="F435" s="22">
        <f>IF($C435="","",IFERROR(INDEX(Produits!$D$5:$D$17,MATCH($C435,Produits!$A$5:$A$17,0)),"Produit ?"))</f>
        <v/>
      </c>
      <c r="G435" s="7">
        <f>IF(OR($C435="",$D435=""),"",IFERROR(D435*E435,""))</f>
        <v/>
      </c>
      <c r="H435" s="7">
        <f>IF(G435="","",D435*F435)</f>
        <v/>
      </c>
      <c r="I435" s="7">
        <f>IF(G435="","",G435-H435)</f>
        <v/>
      </c>
      <c r="J435" s="26">
        <f>IF(G435="","",IFERROR(I435/G435,0))</f>
        <v/>
      </c>
    </row>
    <row r="436">
      <c r="A436" s="27" t="n"/>
      <c r="B436" s="20" t="n"/>
      <c r="C436" s="20" t="n"/>
      <c r="D436" s="21" t="n"/>
      <c r="E436" s="22">
        <f>IF($C436="","",IFERROR(INDEX(Produits!$E$5:$E$17,MATCH($C436,Produits!$A$5:$A$17,0)),"Produit ?"))</f>
        <v/>
      </c>
      <c r="F436" s="22">
        <f>IF($C436="","",IFERROR(INDEX(Produits!$D$5:$D$17,MATCH($C436,Produits!$A$5:$A$17,0)),"Produit ?"))</f>
        <v/>
      </c>
      <c r="G436" s="7">
        <f>IF(OR($C436="",$D436=""),"",IFERROR(D436*E436,""))</f>
        <v/>
      </c>
      <c r="H436" s="7">
        <f>IF(G436="","",D436*F436)</f>
        <v/>
      </c>
      <c r="I436" s="7">
        <f>IF(G436="","",G436-H436)</f>
        <v/>
      </c>
      <c r="J436" s="26">
        <f>IF(G436="","",IFERROR(I436/G436,0))</f>
        <v/>
      </c>
    </row>
    <row r="437">
      <c r="A437" s="27" t="n"/>
      <c r="B437" s="20" t="n"/>
      <c r="C437" s="20" t="n"/>
      <c r="D437" s="21" t="n"/>
      <c r="E437" s="22">
        <f>IF($C437="","",IFERROR(INDEX(Produits!$E$5:$E$17,MATCH($C437,Produits!$A$5:$A$17,0)),"Produit ?"))</f>
        <v/>
      </c>
      <c r="F437" s="22">
        <f>IF($C437="","",IFERROR(INDEX(Produits!$D$5:$D$17,MATCH($C437,Produits!$A$5:$A$17,0)),"Produit ?"))</f>
        <v/>
      </c>
      <c r="G437" s="7">
        <f>IF(OR($C437="",$D437=""),"",IFERROR(D437*E437,""))</f>
        <v/>
      </c>
      <c r="H437" s="7">
        <f>IF(G437="","",D437*F437)</f>
        <v/>
      </c>
      <c r="I437" s="7">
        <f>IF(G437="","",G437-H437)</f>
        <v/>
      </c>
      <c r="J437" s="26">
        <f>IF(G437="","",IFERROR(I437/G437,0))</f>
        <v/>
      </c>
    </row>
    <row r="438">
      <c r="A438" s="27" t="n"/>
      <c r="B438" s="20" t="n"/>
      <c r="C438" s="20" t="n"/>
      <c r="D438" s="21" t="n"/>
      <c r="E438" s="22">
        <f>IF($C438="","",IFERROR(INDEX(Produits!$E$5:$E$17,MATCH($C438,Produits!$A$5:$A$17,0)),"Produit ?"))</f>
        <v/>
      </c>
      <c r="F438" s="22">
        <f>IF($C438="","",IFERROR(INDEX(Produits!$D$5:$D$17,MATCH($C438,Produits!$A$5:$A$17,0)),"Produit ?"))</f>
        <v/>
      </c>
      <c r="G438" s="7">
        <f>IF(OR($C438="",$D438=""),"",IFERROR(D438*E438,""))</f>
        <v/>
      </c>
      <c r="H438" s="7">
        <f>IF(G438="","",D438*F438)</f>
        <v/>
      </c>
      <c r="I438" s="7">
        <f>IF(G438="","",G438-H438)</f>
        <v/>
      </c>
      <c r="J438" s="26">
        <f>IF(G438="","",IFERROR(I438/G438,0))</f>
        <v/>
      </c>
    </row>
    <row r="439">
      <c r="A439" s="27" t="n"/>
      <c r="B439" s="20" t="n"/>
      <c r="C439" s="20" t="n"/>
      <c r="D439" s="21" t="n"/>
      <c r="E439" s="22">
        <f>IF($C439="","",IFERROR(INDEX(Produits!$E$5:$E$17,MATCH($C439,Produits!$A$5:$A$17,0)),"Produit ?"))</f>
        <v/>
      </c>
      <c r="F439" s="22">
        <f>IF($C439="","",IFERROR(INDEX(Produits!$D$5:$D$17,MATCH($C439,Produits!$A$5:$A$17,0)),"Produit ?"))</f>
        <v/>
      </c>
      <c r="G439" s="7">
        <f>IF(OR($C439="",$D439=""),"",IFERROR(D439*E439,""))</f>
        <v/>
      </c>
      <c r="H439" s="7">
        <f>IF(G439="","",D439*F439)</f>
        <v/>
      </c>
      <c r="I439" s="7">
        <f>IF(G439="","",G439-H439)</f>
        <v/>
      </c>
      <c r="J439" s="26">
        <f>IF(G439="","",IFERROR(I439/G439,0))</f>
        <v/>
      </c>
    </row>
    <row r="440">
      <c r="A440" s="27" t="n"/>
      <c r="B440" s="20" t="n"/>
      <c r="C440" s="20" t="n"/>
      <c r="D440" s="21" t="n"/>
      <c r="E440" s="22">
        <f>IF($C440="","",IFERROR(INDEX(Produits!$E$5:$E$17,MATCH($C440,Produits!$A$5:$A$17,0)),"Produit ?"))</f>
        <v/>
      </c>
      <c r="F440" s="22">
        <f>IF($C440="","",IFERROR(INDEX(Produits!$D$5:$D$17,MATCH($C440,Produits!$A$5:$A$17,0)),"Produit ?"))</f>
        <v/>
      </c>
      <c r="G440" s="7">
        <f>IF(OR($C440="",$D440=""),"",IFERROR(D440*E440,""))</f>
        <v/>
      </c>
      <c r="H440" s="7">
        <f>IF(G440="","",D440*F440)</f>
        <v/>
      </c>
      <c r="I440" s="7">
        <f>IF(G440="","",G440-H440)</f>
        <v/>
      </c>
      <c r="J440" s="26">
        <f>IF(G440="","",IFERROR(I440/G440,0))</f>
        <v/>
      </c>
    </row>
    <row r="441">
      <c r="A441" s="27" t="n"/>
      <c r="B441" s="20" t="n"/>
      <c r="C441" s="20" t="n"/>
      <c r="D441" s="21" t="n"/>
      <c r="E441" s="22">
        <f>IF($C441="","",IFERROR(INDEX(Produits!$E$5:$E$17,MATCH($C441,Produits!$A$5:$A$17,0)),"Produit ?"))</f>
        <v/>
      </c>
      <c r="F441" s="22">
        <f>IF($C441="","",IFERROR(INDEX(Produits!$D$5:$D$17,MATCH($C441,Produits!$A$5:$A$17,0)),"Produit ?"))</f>
        <v/>
      </c>
      <c r="G441" s="7">
        <f>IF(OR($C441="",$D441=""),"",IFERROR(D441*E441,""))</f>
        <v/>
      </c>
      <c r="H441" s="7">
        <f>IF(G441="","",D441*F441)</f>
        <v/>
      </c>
      <c r="I441" s="7">
        <f>IF(G441="","",G441-H441)</f>
        <v/>
      </c>
      <c r="J441" s="26">
        <f>IF(G441="","",IFERROR(I441/G441,0))</f>
        <v/>
      </c>
    </row>
    <row r="442">
      <c r="A442" s="27" t="n"/>
      <c r="B442" s="20" t="n"/>
      <c r="C442" s="20" t="n"/>
      <c r="D442" s="21" t="n"/>
      <c r="E442" s="22">
        <f>IF($C442="","",IFERROR(INDEX(Produits!$E$5:$E$17,MATCH($C442,Produits!$A$5:$A$17,0)),"Produit ?"))</f>
        <v/>
      </c>
      <c r="F442" s="22">
        <f>IF($C442="","",IFERROR(INDEX(Produits!$D$5:$D$17,MATCH($C442,Produits!$A$5:$A$17,0)),"Produit ?"))</f>
        <v/>
      </c>
      <c r="G442" s="7">
        <f>IF(OR($C442="",$D442=""),"",IFERROR(D442*E442,""))</f>
        <v/>
      </c>
      <c r="H442" s="7">
        <f>IF(G442="","",D442*F442)</f>
        <v/>
      </c>
      <c r="I442" s="7">
        <f>IF(G442="","",G442-H442)</f>
        <v/>
      </c>
      <c r="J442" s="26">
        <f>IF(G442="","",IFERROR(I442/G442,0))</f>
        <v/>
      </c>
    </row>
    <row r="443">
      <c r="A443" s="27" t="n"/>
      <c r="B443" s="20" t="n"/>
      <c r="C443" s="20" t="n"/>
      <c r="D443" s="21" t="n"/>
      <c r="E443" s="22">
        <f>IF($C443="","",IFERROR(INDEX(Produits!$E$5:$E$17,MATCH($C443,Produits!$A$5:$A$17,0)),"Produit ?"))</f>
        <v/>
      </c>
      <c r="F443" s="22">
        <f>IF($C443="","",IFERROR(INDEX(Produits!$D$5:$D$17,MATCH($C443,Produits!$A$5:$A$17,0)),"Produit ?"))</f>
        <v/>
      </c>
      <c r="G443" s="7">
        <f>IF(OR($C443="",$D443=""),"",IFERROR(D443*E443,""))</f>
        <v/>
      </c>
      <c r="H443" s="7">
        <f>IF(G443="","",D443*F443)</f>
        <v/>
      </c>
      <c r="I443" s="7">
        <f>IF(G443="","",G443-H443)</f>
        <v/>
      </c>
      <c r="J443" s="26">
        <f>IF(G443="","",IFERROR(I443/G443,0))</f>
        <v/>
      </c>
    </row>
    <row r="444">
      <c r="A444" s="27" t="n"/>
      <c r="B444" s="20" t="n"/>
      <c r="C444" s="20" t="n"/>
      <c r="D444" s="21" t="n"/>
      <c r="E444" s="22">
        <f>IF($C444="","",IFERROR(INDEX(Produits!$E$5:$E$17,MATCH($C444,Produits!$A$5:$A$17,0)),"Produit ?"))</f>
        <v/>
      </c>
      <c r="F444" s="22">
        <f>IF($C444="","",IFERROR(INDEX(Produits!$D$5:$D$17,MATCH($C444,Produits!$A$5:$A$17,0)),"Produit ?"))</f>
        <v/>
      </c>
      <c r="G444" s="7">
        <f>IF(OR($C444="",$D444=""),"",IFERROR(D444*E444,""))</f>
        <v/>
      </c>
      <c r="H444" s="7">
        <f>IF(G444="","",D444*F444)</f>
        <v/>
      </c>
      <c r="I444" s="7">
        <f>IF(G444="","",G444-H444)</f>
        <v/>
      </c>
      <c r="J444" s="26">
        <f>IF(G444="","",IFERROR(I444/G444,0))</f>
        <v/>
      </c>
    </row>
    <row r="445">
      <c r="A445" s="27" t="n"/>
      <c r="B445" s="20" t="n"/>
      <c r="C445" s="20" t="n"/>
      <c r="D445" s="21" t="n"/>
      <c r="E445" s="22">
        <f>IF($C445="","",IFERROR(INDEX(Produits!$E$5:$E$17,MATCH($C445,Produits!$A$5:$A$17,0)),"Produit ?"))</f>
        <v/>
      </c>
      <c r="F445" s="22">
        <f>IF($C445="","",IFERROR(INDEX(Produits!$D$5:$D$17,MATCH($C445,Produits!$A$5:$A$17,0)),"Produit ?"))</f>
        <v/>
      </c>
      <c r="G445" s="7">
        <f>IF(OR($C445="",$D445=""),"",IFERROR(D445*E445,""))</f>
        <v/>
      </c>
      <c r="H445" s="7">
        <f>IF(G445="","",D445*F445)</f>
        <v/>
      </c>
      <c r="I445" s="7">
        <f>IF(G445="","",G445-H445)</f>
        <v/>
      </c>
      <c r="J445" s="26">
        <f>IF(G445="","",IFERROR(I445/G445,0))</f>
        <v/>
      </c>
    </row>
    <row r="446">
      <c r="A446" s="27" t="n"/>
      <c r="B446" s="20" t="n"/>
      <c r="C446" s="20" t="n"/>
      <c r="D446" s="21" t="n"/>
      <c r="E446" s="22">
        <f>IF($C446="","",IFERROR(INDEX(Produits!$E$5:$E$17,MATCH($C446,Produits!$A$5:$A$17,0)),"Produit ?"))</f>
        <v/>
      </c>
      <c r="F446" s="22">
        <f>IF($C446="","",IFERROR(INDEX(Produits!$D$5:$D$17,MATCH($C446,Produits!$A$5:$A$17,0)),"Produit ?"))</f>
        <v/>
      </c>
      <c r="G446" s="7">
        <f>IF(OR($C446="",$D446=""),"",IFERROR(D446*E446,""))</f>
        <v/>
      </c>
      <c r="H446" s="7">
        <f>IF(G446="","",D446*F446)</f>
        <v/>
      </c>
      <c r="I446" s="7">
        <f>IF(G446="","",G446-H446)</f>
        <v/>
      </c>
      <c r="J446" s="26">
        <f>IF(G446="","",IFERROR(I446/G446,0))</f>
        <v/>
      </c>
    </row>
    <row r="447">
      <c r="A447" s="27" t="n"/>
      <c r="B447" s="20" t="n"/>
      <c r="C447" s="20" t="n"/>
      <c r="D447" s="21" t="n"/>
      <c r="E447" s="22">
        <f>IF($C447="","",IFERROR(INDEX(Produits!$E$5:$E$17,MATCH($C447,Produits!$A$5:$A$17,0)),"Produit ?"))</f>
        <v/>
      </c>
      <c r="F447" s="22">
        <f>IF($C447="","",IFERROR(INDEX(Produits!$D$5:$D$17,MATCH($C447,Produits!$A$5:$A$17,0)),"Produit ?"))</f>
        <v/>
      </c>
      <c r="G447" s="7">
        <f>IF(OR($C447="",$D447=""),"",IFERROR(D447*E447,""))</f>
        <v/>
      </c>
      <c r="H447" s="7">
        <f>IF(G447="","",D447*F447)</f>
        <v/>
      </c>
      <c r="I447" s="7">
        <f>IF(G447="","",G447-H447)</f>
        <v/>
      </c>
      <c r="J447" s="26">
        <f>IF(G447="","",IFERROR(I447/G447,0))</f>
        <v/>
      </c>
    </row>
    <row r="448">
      <c r="A448" s="27" t="n"/>
      <c r="B448" s="20" t="n"/>
      <c r="C448" s="20" t="n"/>
      <c r="D448" s="21" t="n"/>
      <c r="E448" s="22">
        <f>IF($C448="","",IFERROR(INDEX(Produits!$E$5:$E$17,MATCH($C448,Produits!$A$5:$A$17,0)),"Produit ?"))</f>
        <v/>
      </c>
      <c r="F448" s="22">
        <f>IF($C448="","",IFERROR(INDEX(Produits!$D$5:$D$17,MATCH($C448,Produits!$A$5:$A$17,0)),"Produit ?"))</f>
        <v/>
      </c>
      <c r="G448" s="7">
        <f>IF(OR($C448="",$D448=""),"",IFERROR(D448*E448,""))</f>
        <v/>
      </c>
      <c r="H448" s="7">
        <f>IF(G448="","",D448*F448)</f>
        <v/>
      </c>
      <c r="I448" s="7">
        <f>IF(G448="","",G448-H448)</f>
        <v/>
      </c>
      <c r="J448" s="26">
        <f>IF(G448="","",IFERROR(I448/G448,0))</f>
        <v/>
      </c>
    </row>
    <row r="449">
      <c r="A449" s="27" t="n"/>
      <c r="B449" s="20" t="n"/>
      <c r="C449" s="20" t="n"/>
      <c r="D449" s="21" t="n"/>
      <c r="E449" s="22">
        <f>IF($C449="","",IFERROR(INDEX(Produits!$E$5:$E$17,MATCH($C449,Produits!$A$5:$A$17,0)),"Produit ?"))</f>
        <v/>
      </c>
      <c r="F449" s="22">
        <f>IF($C449="","",IFERROR(INDEX(Produits!$D$5:$D$17,MATCH($C449,Produits!$A$5:$A$17,0)),"Produit ?"))</f>
        <v/>
      </c>
      <c r="G449" s="7">
        <f>IF(OR($C449="",$D449=""),"",IFERROR(D449*E449,""))</f>
        <v/>
      </c>
      <c r="H449" s="7">
        <f>IF(G449="","",D449*F449)</f>
        <v/>
      </c>
      <c r="I449" s="7">
        <f>IF(G449="","",G449-H449)</f>
        <v/>
      </c>
      <c r="J449" s="26">
        <f>IF(G449="","",IFERROR(I449/G449,0))</f>
        <v/>
      </c>
    </row>
    <row r="450">
      <c r="A450" s="27" t="n"/>
      <c r="B450" s="20" t="n"/>
      <c r="C450" s="20" t="n"/>
      <c r="D450" s="21" t="n"/>
      <c r="E450" s="22">
        <f>IF($C450="","",IFERROR(INDEX(Produits!$E$5:$E$17,MATCH($C450,Produits!$A$5:$A$17,0)),"Produit ?"))</f>
        <v/>
      </c>
      <c r="F450" s="22">
        <f>IF($C450="","",IFERROR(INDEX(Produits!$D$5:$D$17,MATCH($C450,Produits!$A$5:$A$17,0)),"Produit ?"))</f>
        <v/>
      </c>
      <c r="G450" s="7">
        <f>IF(OR($C450="",$D450=""),"",IFERROR(D450*E450,""))</f>
        <v/>
      </c>
      <c r="H450" s="7">
        <f>IF(G450="","",D450*F450)</f>
        <v/>
      </c>
      <c r="I450" s="7">
        <f>IF(G450="","",G450-H450)</f>
        <v/>
      </c>
      <c r="J450" s="26">
        <f>IF(G450="","",IFERROR(I450/G450,0))</f>
        <v/>
      </c>
    </row>
    <row r="451">
      <c r="A451" s="27" t="n"/>
      <c r="B451" s="20" t="n"/>
      <c r="C451" s="20" t="n"/>
      <c r="D451" s="21" t="n"/>
      <c r="E451" s="22">
        <f>IF($C451="","",IFERROR(INDEX(Produits!$E$5:$E$17,MATCH($C451,Produits!$A$5:$A$17,0)),"Produit ?"))</f>
        <v/>
      </c>
      <c r="F451" s="22">
        <f>IF($C451="","",IFERROR(INDEX(Produits!$D$5:$D$17,MATCH($C451,Produits!$A$5:$A$17,0)),"Produit ?"))</f>
        <v/>
      </c>
      <c r="G451" s="7">
        <f>IF(OR($C451="",$D451=""),"",IFERROR(D451*E451,""))</f>
        <v/>
      </c>
      <c r="H451" s="7">
        <f>IF(G451="","",D451*F451)</f>
        <v/>
      </c>
      <c r="I451" s="7">
        <f>IF(G451="","",G451-H451)</f>
        <v/>
      </c>
      <c r="J451" s="26">
        <f>IF(G451="","",IFERROR(I451/G451,0))</f>
        <v/>
      </c>
    </row>
    <row r="452">
      <c r="A452" s="27" t="n"/>
      <c r="B452" s="20" t="n"/>
      <c r="C452" s="20" t="n"/>
      <c r="D452" s="21" t="n"/>
      <c r="E452" s="22">
        <f>IF($C452="","",IFERROR(INDEX(Produits!$E$5:$E$17,MATCH($C452,Produits!$A$5:$A$17,0)),"Produit ?"))</f>
        <v/>
      </c>
      <c r="F452" s="22">
        <f>IF($C452="","",IFERROR(INDEX(Produits!$D$5:$D$17,MATCH($C452,Produits!$A$5:$A$17,0)),"Produit ?"))</f>
        <v/>
      </c>
      <c r="G452" s="7">
        <f>IF(OR($C452="",$D452=""),"",IFERROR(D452*E452,""))</f>
        <v/>
      </c>
      <c r="H452" s="7">
        <f>IF(G452="","",D452*F452)</f>
        <v/>
      </c>
      <c r="I452" s="7">
        <f>IF(G452="","",G452-H452)</f>
        <v/>
      </c>
      <c r="J452" s="26">
        <f>IF(G452="","",IFERROR(I452/G452,0))</f>
        <v/>
      </c>
    </row>
    <row r="453">
      <c r="A453" s="27" t="n"/>
      <c r="B453" s="20" t="n"/>
      <c r="C453" s="20" t="n"/>
      <c r="D453" s="21" t="n"/>
      <c r="E453" s="22">
        <f>IF($C453="","",IFERROR(INDEX(Produits!$E$5:$E$17,MATCH($C453,Produits!$A$5:$A$17,0)),"Produit ?"))</f>
        <v/>
      </c>
      <c r="F453" s="22">
        <f>IF($C453="","",IFERROR(INDEX(Produits!$D$5:$D$17,MATCH($C453,Produits!$A$5:$A$17,0)),"Produit ?"))</f>
        <v/>
      </c>
      <c r="G453" s="7">
        <f>IF(OR($C453="",$D453=""),"",IFERROR(D453*E453,""))</f>
        <v/>
      </c>
      <c r="H453" s="7">
        <f>IF(G453="","",D453*F453)</f>
        <v/>
      </c>
      <c r="I453" s="7">
        <f>IF(G453="","",G453-H453)</f>
        <v/>
      </c>
      <c r="J453" s="26">
        <f>IF(G453="","",IFERROR(I453/G453,0))</f>
        <v/>
      </c>
    </row>
    <row r="454">
      <c r="A454" s="27" t="n"/>
      <c r="B454" s="20" t="n"/>
      <c r="C454" s="20" t="n"/>
      <c r="D454" s="21" t="n"/>
      <c r="E454" s="22">
        <f>IF($C454="","",IFERROR(INDEX(Produits!$E$5:$E$17,MATCH($C454,Produits!$A$5:$A$17,0)),"Produit ?"))</f>
        <v/>
      </c>
      <c r="F454" s="22">
        <f>IF($C454="","",IFERROR(INDEX(Produits!$D$5:$D$17,MATCH($C454,Produits!$A$5:$A$17,0)),"Produit ?"))</f>
        <v/>
      </c>
      <c r="G454" s="7">
        <f>IF(OR($C454="",$D454=""),"",IFERROR(D454*E454,""))</f>
        <v/>
      </c>
      <c r="H454" s="7">
        <f>IF(G454="","",D454*F454)</f>
        <v/>
      </c>
      <c r="I454" s="7">
        <f>IF(G454="","",G454-H454)</f>
        <v/>
      </c>
      <c r="J454" s="26">
        <f>IF(G454="","",IFERROR(I454/G454,0))</f>
        <v/>
      </c>
    </row>
    <row r="455">
      <c r="A455" s="27" t="n"/>
      <c r="B455" s="20" t="n"/>
      <c r="C455" s="20" t="n"/>
      <c r="D455" s="21" t="n"/>
      <c r="E455" s="22">
        <f>IF($C455="","",IFERROR(INDEX(Produits!$E$5:$E$17,MATCH($C455,Produits!$A$5:$A$17,0)),"Produit ?"))</f>
        <v/>
      </c>
      <c r="F455" s="22">
        <f>IF($C455="","",IFERROR(INDEX(Produits!$D$5:$D$17,MATCH($C455,Produits!$A$5:$A$17,0)),"Produit ?"))</f>
        <v/>
      </c>
      <c r="G455" s="7">
        <f>IF(OR($C455="",$D455=""),"",IFERROR(D455*E455,""))</f>
        <v/>
      </c>
      <c r="H455" s="7">
        <f>IF(G455="","",D455*F455)</f>
        <v/>
      </c>
      <c r="I455" s="7">
        <f>IF(G455="","",G455-H455)</f>
        <v/>
      </c>
      <c r="J455" s="26">
        <f>IF(G455="","",IFERROR(I455/G455,0))</f>
        <v/>
      </c>
    </row>
    <row r="456">
      <c r="A456" s="27" t="n"/>
      <c r="B456" s="20" t="n"/>
      <c r="C456" s="20" t="n"/>
      <c r="D456" s="21" t="n"/>
      <c r="E456" s="22">
        <f>IF($C456="","",IFERROR(INDEX(Produits!$E$5:$E$17,MATCH($C456,Produits!$A$5:$A$17,0)),"Produit ?"))</f>
        <v/>
      </c>
      <c r="F456" s="22">
        <f>IF($C456="","",IFERROR(INDEX(Produits!$D$5:$D$17,MATCH($C456,Produits!$A$5:$A$17,0)),"Produit ?"))</f>
        <v/>
      </c>
      <c r="G456" s="7">
        <f>IF(OR($C456="",$D456=""),"",IFERROR(D456*E456,""))</f>
        <v/>
      </c>
      <c r="H456" s="7">
        <f>IF(G456="","",D456*F456)</f>
        <v/>
      </c>
      <c r="I456" s="7">
        <f>IF(G456="","",G456-H456)</f>
        <v/>
      </c>
      <c r="J456" s="26">
        <f>IF(G456="","",IFERROR(I456/G456,0))</f>
        <v/>
      </c>
    </row>
    <row r="457">
      <c r="A457" s="27" t="n"/>
      <c r="B457" s="20" t="n"/>
      <c r="C457" s="20" t="n"/>
      <c r="D457" s="21" t="n"/>
      <c r="E457" s="22">
        <f>IF($C457="","",IFERROR(INDEX(Produits!$E$5:$E$17,MATCH($C457,Produits!$A$5:$A$17,0)),"Produit ?"))</f>
        <v/>
      </c>
      <c r="F457" s="22">
        <f>IF($C457="","",IFERROR(INDEX(Produits!$D$5:$D$17,MATCH($C457,Produits!$A$5:$A$17,0)),"Produit ?"))</f>
        <v/>
      </c>
      <c r="G457" s="7">
        <f>IF(OR($C457="",$D457=""),"",IFERROR(D457*E457,""))</f>
        <v/>
      </c>
      <c r="H457" s="7">
        <f>IF(G457="","",D457*F457)</f>
        <v/>
      </c>
      <c r="I457" s="7">
        <f>IF(G457="","",G457-H457)</f>
        <v/>
      </c>
      <c r="J457" s="26">
        <f>IF(G457="","",IFERROR(I457/G457,0))</f>
        <v/>
      </c>
    </row>
    <row r="458">
      <c r="A458" s="27" t="n"/>
      <c r="B458" s="20" t="n"/>
      <c r="C458" s="20" t="n"/>
      <c r="D458" s="21" t="n"/>
      <c r="E458" s="22">
        <f>IF($C458="","",IFERROR(INDEX(Produits!$E$5:$E$17,MATCH($C458,Produits!$A$5:$A$17,0)),"Produit ?"))</f>
        <v/>
      </c>
      <c r="F458" s="22">
        <f>IF($C458="","",IFERROR(INDEX(Produits!$D$5:$D$17,MATCH($C458,Produits!$A$5:$A$17,0)),"Produit ?"))</f>
        <v/>
      </c>
      <c r="G458" s="7">
        <f>IF(OR($C458="",$D458=""),"",IFERROR(D458*E458,""))</f>
        <v/>
      </c>
      <c r="H458" s="7">
        <f>IF(G458="","",D458*F458)</f>
        <v/>
      </c>
      <c r="I458" s="7">
        <f>IF(G458="","",G458-H458)</f>
        <v/>
      </c>
      <c r="J458" s="26">
        <f>IF(G458="","",IFERROR(I458/G458,0))</f>
        <v/>
      </c>
    </row>
    <row r="459">
      <c r="A459" s="27" t="n"/>
      <c r="B459" s="20" t="n"/>
      <c r="C459" s="20" t="n"/>
      <c r="D459" s="21" t="n"/>
      <c r="E459" s="22">
        <f>IF($C459="","",IFERROR(INDEX(Produits!$E$5:$E$17,MATCH($C459,Produits!$A$5:$A$17,0)),"Produit ?"))</f>
        <v/>
      </c>
      <c r="F459" s="22">
        <f>IF($C459="","",IFERROR(INDEX(Produits!$D$5:$D$17,MATCH($C459,Produits!$A$5:$A$17,0)),"Produit ?"))</f>
        <v/>
      </c>
      <c r="G459" s="7">
        <f>IF(OR($C459="",$D459=""),"",IFERROR(D459*E459,""))</f>
        <v/>
      </c>
      <c r="H459" s="7">
        <f>IF(G459="","",D459*F459)</f>
        <v/>
      </c>
      <c r="I459" s="7">
        <f>IF(G459="","",G459-H459)</f>
        <v/>
      </c>
      <c r="J459" s="26">
        <f>IF(G459="","",IFERROR(I459/G459,0))</f>
        <v/>
      </c>
    </row>
    <row r="460">
      <c r="A460" s="27" t="n"/>
      <c r="B460" s="20" t="n"/>
      <c r="C460" s="20" t="n"/>
      <c r="D460" s="21" t="n"/>
      <c r="E460" s="22">
        <f>IF($C460="","",IFERROR(INDEX(Produits!$E$5:$E$17,MATCH($C460,Produits!$A$5:$A$17,0)),"Produit ?"))</f>
        <v/>
      </c>
      <c r="F460" s="22">
        <f>IF($C460="","",IFERROR(INDEX(Produits!$D$5:$D$17,MATCH($C460,Produits!$A$5:$A$17,0)),"Produit ?"))</f>
        <v/>
      </c>
      <c r="G460" s="7">
        <f>IF(OR($C460="",$D460=""),"",IFERROR(D460*E460,""))</f>
        <v/>
      </c>
      <c r="H460" s="7">
        <f>IF(G460="","",D460*F460)</f>
        <v/>
      </c>
      <c r="I460" s="7">
        <f>IF(G460="","",G460-H460)</f>
        <v/>
      </c>
      <c r="J460" s="26">
        <f>IF(G460="","",IFERROR(I460/G460,0))</f>
        <v/>
      </c>
    </row>
    <row r="461">
      <c r="A461" s="27" t="n"/>
      <c r="B461" s="20" t="n"/>
      <c r="C461" s="20" t="n"/>
      <c r="D461" s="21" t="n"/>
      <c r="E461" s="22">
        <f>IF($C461="","",IFERROR(INDEX(Produits!$E$5:$E$17,MATCH($C461,Produits!$A$5:$A$17,0)),"Produit ?"))</f>
        <v/>
      </c>
      <c r="F461" s="22">
        <f>IF($C461="","",IFERROR(INDEX(Produits!$D$5:$D$17,MATCH($C461,Produits!$A$5:$A$17,0)),"Produit ?"))</f>
        <v/>
      </c>
      <c r="G461" s="7">
        <f>IF(OR($C461="",$D461=""),"",IFERROR(D461*E461,""))</f>
        <v/>
      </c>
      <c r="H461" s="7">
        <f>IF(G461="","",D461*F461)</f>
        <v/>
      </c>
      <c r="I461" s="7">
        <f>IF(G461="","",G461-H461)</f>
        <v/>
      </c>
      <c r="J461" s="26">
        <f>IF(G461="","",IFERROR(I461/G461,0))</f>
        <v/>
      </c>
    </row>
    <row r="462">
      <c r="A462" s="27" t="n"/>
      <c r="B462" s="20" t="n"/>
      <c r="C462" s="20" t="n"/>
      <c r="D462" s="21" t="n"/>
      <c r="E462" s="22">
        <f>IF($C462="","",IFERROR(INDEX(Produits!$E$5:$E$17,MATCH($C462,Produits!$A$5:$A$17,0)),"Produit ?"))</f>
        <v/>
      </c>
      <c r="F462" s="22">
        <f>IF($C462="","",IFERROR(INDEX(Produits!$D$5:$D$17,MATCH($C462,Produits!$A$5:$A$17,0)),"Produit ?"))</f>
        <v/>
      </c>
      <c r="G462" s="7">
        <f>IF(OR($C462="",$D462=""),"",IFERROR(D462*E462,""))</f>
        <v/>
      </c>
      <c r="H462" s="7">
        <f>IF(G462="","",D462*F462)</f>
        <v/>
      </c>
      <c r="I462" s="7">
        <f>IF(G462="","",G462-H462)</f>
        <v/>
      </c>
      <c r="J462" s="26">
        <f>IF(G462="","",IFERROR(I462/G462,0))</f>
        <v/>
      </c>
    </row>
    <row r="463">
      <c r="A463" s="27" t="n"/>
      <c r="B463" s="20" t="n"/>
      <c r="C463" s="20" t="n"/>
      <c r="D463" s="21" t="n"/>
      <c r="E463" s="22">
        <f>IF($C463="","",IFERROR(INDEX(Produits!$E$5:$E$17,MATCH($C463,Produits!$A$5:$A$17,0)),"Produit ?"))</f>
        <v/>
      </c>
      <c r="F463" s="22">
        <f>IF($C463="","",IFERROR(INDEX(Produits!$D$5:$D$17,MATCH($C463,Produits!$A$5:$A$17,0)),"Produit ?"))</f>
        <v/>
      </c>
      <c r="G463" s="7">
        <f>IF(OR($C463="",$D463=""),"",IFERROR(D463*E463,""))</f>
        <v/>
      </c>
      <c r="H463" s="7">
        <f>IF(G463="","",D463*F463)</f>
        <v/>
      </c>
      <c r="I463" s="7">
        <f>IF(G463="","",G463-H463)</f>
        <v/>
      </c>
      <c r="J463" s="26">
        <f>IF(G463="","",IFERROR(I463/G463,0))</f>
        <v/>
      </c>
    </row>
    <row r="464">
      <c r="A464" s="27" t="n"/>
      <c r="B464" s="20" t="n"/>
      <c r="C464" s="20" t="n"/>
      <c r="D464" s="21" t="n"/>
      <c r="E464" s="22">
        <f>IF($C464="","",IFERROR(INDEX(Produits!$E$5:$E$17,MATCH($C464,Produits!$A$5:$A$17,0)),"Produit ?"))</f>
        <v/>
      </c>
      <c r="F464" s="22">
        <f>IF($C464="","",IFERROR(INDEX(Produits!$D$5:$D$17,MATCH($C464,Produits!$A$5:$A$17,0)),"Produit ?"))</f>
        <v/>
      </c>
      <c r="G464" s="7">
        <f>IF(OR($C464="",$D464=""),"",IFERROR(D464*E464,""))</f>
        <v/>
      </c>
      <c r="H464" s="7">
        <f>IF(G464="","",D464*F464)</f>
        <v/>
      </c>
      <c r="I464" s="7">
        <f>IF(G464="","",G464-H464)</f>
        <v/>
      </c>
      <c r="J464" s="26">
        <f>IF(G464="","",IFERROR(I464/G464,0))</f>
        <v/>
      </c>
    </row>
    <row r="465">
      <c r="A465" s="27" t="n"/>
      <c r="B465" s="20" t="n"/>
      <c r="C465" s="20" t="n"/>
      <c r="D465" s="21" t="n"/>
      <c r="E465" s="22">
        <f>IF($C465="","",IFERROR(INDEX(Produits!$E$5:$E$17,MATCH($C465,Produits!$A$5:$A$17,0)),"Produit ?"))</f>
        <v/>
      </c>
      <c r="F465" s="22">
        <f>IF($C465="","",IFERROR(INDEX(Produits!$D$5:$D$17,MATCH($C465,Produits!$A$5:$A$17,0)),"Produit ?"))</f>
        <v/>
      </c>
      <c r="G465" s="7">
        <f>IF(OR($C465="",$D465=""),"",IFERROR(D465*E465,""))</f>
        <v/>
      </c>
      <c r="H465" s="7">
        <f>IF(G465="","",D465*F465)</f>
        <v/>
      </c>
      <c r="I465" s="7">
        <f>IF(G465="","",G465-H465)</f>
        <v/>
      </c>
      <c r="J465" s="26">
        <f>IF(G465="","",IFERROR(I465/G465,0))</f>
        <v/>
      </c>
    </row>
    <row r="466">
      <c r="A466" s="27" t="n"/>
      <c r="B466" s="20" t="n"/>
      <c r="C466" s="20" t="n"/>
      <c r="D466" s="21" t="n"/>
      <c r="E466" s="22">
        <f>IF($C466="","",IFERROR(INDEX(Produits!$E$5:$E$17,MATCH($C466,Produits!$A$5:$A$17,0)),"Produit ?"))</f>
        <v/>
      </c>
      <c r="F466" s="22">
        <f>IF($C466="","",IFERROR(INDEX(Produits!$D$5:$D$17,MATCH($C466,Produits!$A$5:$A$17,0)),"Produit ?"))</f>
        <v/>
      </c>
      <c r="G466" s="7">
        <f>IF(OR($C466="",$D466=""),"",IFERROR(D466*E466,""))</f>
        <v/>
      </c>
      <c r="H466" s="7">
        <f>IF(G466="","",D466*F466)</f>
        <v/>
      </c>
      <c r="I466" s="7">
        <f>IF(G466="","",G466-H466)</f>
        <v/>
      </c>
      <c r="J466" s="26">
        <f>IF(G466="","",IFERROR(I466/G466,0))</f>
        <v/>
      </c>
    </row>
    <row r="467">
      <c r="A467" s="27" t="n"/>
      <c r="B467" s="20" t="n"/>
      <c r="C467" s="20" t="n"/>
      <c r="D467" s="21" t="n"/>
      <c r="E467" s="22">
        <f>IF($C467="","",IFERROR(INDEX(Produits!$E$5:$E$17,MATCH($C467,Produits!$A$5:$A$17,0)),"Produit ?"))</f>
        <v/>
      </c>
      <c r="F467" s="22">
        <f>IF($C467="","",IFERROR(INDEX(Produits!$D$5:$D$17,MATCH($C467,Produits!$A$5:$A$17,0)),"Produit ?"))</f>
        <v/>
      </c>
      <c r="G467" s="7">
        <f>IF(OR($C467="",$D467=""),"",IFERROR(D467*E467,""))</f>
        <v/>
      </c>
      <c r="H467" s="7">
        <f>IF(G467="","",D467*F467)</f>
        <v/>
      </c>
      <c r="I467" s="7">
        <f>IF(G467="","",G467-H467)</f>
        <v/>
      </c>
      <c r="J467" s="26">
        <f>IF(G467="","",IFERROR(I467/G467,0))</f>
        <v/>
      </c>
    </row>
    <row r="468">
      <c r="A468" s="27" t="n"/>
      <c r="B468" s="20" t="n"/>
      <c r="C468" s="20" t="n"/>
      <c r="D468" s="21" t="n"/>
      <c r="E468" s="22">
        <f>IF($C468="","",IFERROR(INDEX(Produits!$E$5:$E$17,MATCH($C468,Produits!$A$5:$A$17,0)),"Produit ?"))</f>
        <v/>
      </c>
      <c r="F468" s="22">
        <f>IF($C468="","",IFERROR(INDEX(Produits!$D$5:$D$17,MATCH($C468,Produits!$A$5:$A$17,0)),"Produit ?"))</f>
        <v/>
      </c>
      <c r="G468" s="7">
        <f>IF(OR($C468="",$D468=""),"",IFERROR(D468*E468,""))</f>
        <v/>
      </c>
      <c r="H468" s="7">
        <f>IF(G468="","",D468*F468)</f>
        <v/>
      </c>
      <c r="I468" s="7">
        <f>IF(G468="","",G468-H468)</f>
        <v/>
      </c>
      <c r="J468" s="26">
        <f>IF(G468="","",IFERROR(I468/G468,0))</f>
        <v/>
      </c>
    </row>
    <row r="469">
      <c r="A469" s="27" t="n"/>
      <c r="B469" s="20" t="n"/>
      <c r="C469" s="20" t="n"/>
      <c r="D469" s="21" t="n"/>
      <c r="E469" s="22">
        <f>IF($C469="","",IFERROR(INDEX(Produits!$E$5:$E$17,MATCH($C469,Produits!$A$5:$A$17,0)),"Produit ?"))</f>
        <v/>
      </c>
      <c r="F469" s="22">
        <f>IF($C469="","",IFERROR(INDEX(Produits!$D$5:$D$17,MATCH($C469,Produits!$A$5:$A$17,0)),"Produit ?"))</f>
        <v/>
      </c>
      <c r="G469" s="7">
        <f>IF(OR($C469="",$D469=""),"",IFERROR(D469*E469,""))</f>
        <v/>
      </c>
      <c r="H469" s="7">
        <f>IF(G469="","",D469*F469)</f>
        <v/>
      </c>
      <c r="I469" s="7">
        <f>IF(G469="","",G469-H469)</f>
        <v/>
      </c>
      <c r="J469" s="26">
        <f>IF(G469="","",IFERROR(I469/G469,0))</f>
        <v/>
      </c>
    </row>
    <row r="470">
      <c r="A470" s="27" t="n"/>
      <c r="B470" s="20" t="n"/>
      <c r="C470" s="20" t="n"/>
      <c r="D470" s="21" t="n"/>
      <c r="E470" s="22">
        <f>IF($C470="","",IFERROR(INDEX(Produits!$E$5:$E$17,MATCH($C470,Produits!$A$5:$A$17,0)),"Produit ?"))</f>
        <v/>
      </c>
      <c r="F470" s="22">
        <f>IF($C470="","",IFERROR(INDEX(Produits!$D$5:$D$17,MATCH($C470,Produits!$A$5:$A$17,0)),"Produit ?"))</f>
        <v/>
      </c>
      <c r="G470" s="7">
        <f>IF(OR($C470="",$D470=""),"",IFERROR(D470*E470,""))</f>
        <v/>
      </c>
      <c r="H470" s="7">
        <f>IF(G470="","",D470*F470)</f>
        <v/>
      </c>
      <c r="I470" s="7">
        <f>IF(G470="","",G470-H470)</f>
        <v/>
      </c>
      <c r="J470" s="26">
        <f>IF(G470="","",IFERROR(I470/G470,0))</f>
        <v/>
      </c>
    </row>
    <row r="471">
      <c r="A471" s="27" t="n"/>
      <c r="B471" s="20" t="n"/>
      <c r="C471" s="20" t="n"/>
      <c r="D471" s="21" t="n"/>
      <c r="E471" s="22">
        <f>IF($C471="","",IFERROR(INDEX(Produits!$E$5:$E$17,MATCH($C471,Produits!$A$5:$A$17,0)),"Produit ?"))</f>
        <v/>
      </c>
      <c r="F471" s="22">
        <f>IF($C471="","",IFERROR(INDEX(Produits!$D$5:$D$17,MATCH($C471,Produits!$A$5:$A$17,0)),"Produit ?"))</f>
        <v/>
      </c>
      <c r="G471" s="7">
        <f>IF(OR($C471="",$D471=""),"",IFERROR(D471*E471,""))</f>
        <v/>
      </c>
      <c r="H471" s="7">
        <f>IF(G471="","",D471*F471)</f>
        <v/>
      </c>
      <c r="I471" s="7">
        <f>IF(G471="","",G471-H471)</f>
        <v/>
      </c>
      <c r="J471" s="26">
        <f>IF(G471="","",IFERROR(I471/G471,0))</f>
        <v/>
      </c>
    </row>
    <row r="472">
      <c r="A472" s="27" t="n"/>
      <c r="B472" s="20" t="n"/>
      <c r="C472" s="20" t="n"/>
      <c r="D472" s="21" t="n"/>
      <c r="E472" s="22">
        <f>IF($C472="","",IFERROR(INDEX(Produits!$E$5:$E$17,MATCH($C472,Produits!$A$5:$A$17,0)),"Produit ?"))</f>
        <v/>
      </c>
      <c r="F472" s="22">
        <f>IF($C472="","",IFERROR(INDEX(Produits!$D$5:$D$17,MATCH($C472,Produits!$A$5:$A$17,0)),"Produit ?"))</f>
        <v/>
      </c>
      <c r="G472" s="7">
        <f>IF(OR($C472="",$D472=""),"",IFERROR(D472*E472,""))</f>
        <v/>
      </c>
      <c r="H472" s="7">
        <f>IF(G472="","",D472*F472)</f>
        <v/>
      </c>
      <c r="I472" s="7">
        <f>IF(G472="","",G472-H472)</f>
        <v/>
      </c>
      <c r="J472" s="26">
        <f>IF(G472="","",IFERROR(I472/G472,0))</f>
        <v/>
      </c>
    </row>
    <row r="473">
      <c r="A473" s="27" t="n"/>
      <c r="B473" s="20" t="n"/>
      <c r="C473" s="20" t="n"/>
      <c r="D473" s="21" t="n"/>
      <c r="E473" s="22">
        <f>IF($C473="","",IFERROR(INDEX(Produits!$E$5:$E$17,MATCH($C473,Produits!$A$5:$A$17,0)),"Produit ?"))</f>
        <v/>
      </c>
      <c r="F473" s="22">
        <f>IF($C473="","",IFERROR(INDEX(Produits!$D$5:$D$17,MATCH($C473,Produits!$A$5:$A$17,0)),"Produit ?"))</f>
        <v/>
      </c>
      <c r="G473" s="7">
        <f>IF(OR($C473="",$D473=""),"",IFERROR(D473*E473,""))</f>
        <v/>
      </c>
      <c r="H473" s="7">
        <f>IF(G473="","",D473*F473)</f>
        <v/>
      </c>
      <c r="I473" s="7">
        <f>IF(G473="","",G473-H473)</f>
        <v/>
      </c>
      <c r="J473" s="26">
        <f>IF(G473="","",IFERROR(I473/G473,0))</f>
        <v/>
      </c>
    </row>
    <row r="474">
      <c r="A474" s="27" t="n"/>
      <c r="B474" s="20" t="n"/>
      <c r="C474" s="20" t="n"/>
      <c r="D474" s="21" t="n"/>
      <c r="E474" s="22">
        <f>IF($C474="","",IFERROR(INDEX(Produits!$E$5:$E$17,MATCH($C474,Produits!$A$5:$A$17,0)),"Produit ?"))</f>
        <v/>
      </c>
      <c r="F474" s="22">
        <f>IF($C474="","",IFERROR(INDEX(Produits!$D$5:$D$17,MATCH($C474,Produits!$A$5:$A$17,0)),"Produit ?"))</f>
        <v/>
      </c>
      <c r="G474" s="7">
        <f>IF(OR($C474="",$D474=""),"",IFERROR(D474*E474,""))</f>
        <v/>
      </c>
      <c r="H474" s="7">
        <f>IF(G474="","",D474*F474)</f>
        <v/>
      </c>
      <c r="I474" s="7">
        <f>IF(G474="","",G474-H474)</f>
        <v/>
      </c>
      <c r="J474" s="26">
        <f>IF(G474="","",IFERROR(I474/G474,0))</f>
        <v/>
      </c>
    </row>
    <row r="475">
      <c r="A475" s="27" t="n"/>
      <c r="B475" s="20" t="n"/>
      <c r="C475" s="20" t="n"/>
      <c r="D475" s="21" t="n"/>
      <c r="E475" s="22">
        <f>IF($C475="","",IFERROR(INDEX(Produits!$E$5:$E$17,MATCH($C475,Produits!$A$5:$A$17,0)),"Produit ?"))</f>
        <v/>
      </c>
      <c r="F475" s="22">
        <f>IF($C475="","",IFERROR(INDEX(Produits!$D$5:$D$17,MATCH($C475,Produits!$A$5:$A$17,0)),"Produit ?"))</f>
        <v/>
      </c>
      <c r="G475" s="7">
        <f>IF(OR($C475="",$D475=""),"",IFERROR(D475*E475,""))</f>
        <v/>
      </c>
      <c r="H475" s="7">
        <f>IF(G475="","",D475*F475)</f>
        <v/>
      </c>
      <c r="I475" s="7">
        <f>IF(G475="","",G475-H475)</f>
        <v/>
      </c>
      <c r="J475" s="26">
        <f>IF(G475="","",IFERROR(I475/G475,0))</f>
        <v/>
      </c>
    </row>
    <row r="476">
      <c r="A476" s="27" t="n"/>
      <c r="B476" s="20" t="n"/>
      <c r="C476" s="20" t="n"/>
      <c r="D476" s="21" t="n"/>
      <c r="E476" s="22">
        <f>IF($C476="","",IFERROR(INDEX(Produits!$E$5:$E$17,MATCH($C476,Produits!$A$5:$A$17,0)),"Produit ?"))</f>
        <v/>
      </c>
      <c r="F476" s="22">
        <f>IF($C476="","",IFERROR(INDEX(Produits!$D$5:$D$17,MATCH($C476,Produits!$A$5:$A$17,0)),"Produit ?"))</f>
        <v/>
      </c>
      <c r="G476" s="7">
        <f>IF(OR($C476="",$D476=""),"",IFERROR(D476*E476,""))</f>
        <v/>
      </c>
      <c r="H476" s="7">
        <f>IF(G476="","",D476*F476)</f>
        <v/>
      </c>
      <c r="I476" s="7">
        <f>IF(G476="","",G476-H476)</f>
        <v/>
      </c>
      <c r="J476" s="26">
        <f>IF(G476="","",IFERROR(I476/G476,0))</f>
        <v/>
      </c>
    </row>
    <row r="477">
      <c r="A477" s="27" t="n"/>
      <c r="B477" s="20" t="n"/>
      <c r="C477" s="20" t="n"/>
      <c r="D477" s="21" t="n"/>
      <c r="E477" s="22">
        <f>IF($C477="","",IFERROR(INDEX(Produits!$E$5:$E$17,MATCH($C477,Produits!$A$5:$A$17,0)),"Produit ?"))</f>
        <v/>
      </c>
      <c r="F477" s="22">
        <f>IF($C477="","",IFERROR(INDEX(Produits!$D$5:$D$17,MATCH($C477,Produits!$A$5:$A$17,0)),"Produit ?"))</f>
        <v/>
      </c>
      <c r="G477" s="7">
        <f>IF(OR($C477="",$D477=""),"",IFERROR(D477*E477,""))</f>
        <v/>
      </c>
      <c r="H477" s="7">
        <f>IF(G477="","",D477*F477)</f>
        <v/>
      </c>
      <c r="I477" s="7">
        <f>IF(G477="","",G477-H477)</f>
        <v/>
      </c>
      <c r="J477" s="26">
        <f>IF(G477="","",IFERROR(I477/G477,0))</f>
        <v/>
      </c>
    </row>
    <row r="478">
      <c r="A478" s="27" t="n"/>
      <c r="B478" s="20" t="n"/>
      <c r="C478" s="20" t="n"/>
      <c r="D478" s="21" t="n"/>
      <c r="E478" s="22">
        <f>IF($C478="","",IFERROR(INDEX(Produits!$E$5:$E$17,MATCH($C478,Produits!$A$5:$A$17,0)),"Produit ?"))</f>
        <v/>
      </c>
      <c r="F478" s="22">
        <f>IF($C478="","",IFERROR(INDEX(Produits!$D$5:$D$17,MATCH($C478,Produits!$A$5:$A$17,0)),"Produit ?"))</f>
        <v/>
      </c>
      <c r="G478" s="7">
        <f>IF(OR($C478="",$D478=""),"",IFERROR(D478*E478,""))</f>
        <v/>
      </c>
      <c r="H478" s="7">
        <f>IF(G478="","",D478*F478)</f>
        <v/>
      </c>
      <c r="I478" s="7">
        <f>IF(G478="","",G478-H478)</f>
        <v/>
      </c>
      <c r="J478" s="26">
        <f>IF(G478="","",IFERROR(I478/G478,0))</f>
        <v/>
      </c>
    </row>
    <row r="479">
      <c r="A479" s="27" t="n"/>
      <c r="B479" s="20" t="n"/>
      <c r="C479" s="20" t="n"/>
      <c r="D479" s="21" t="n"/>
      <c r="E479" s="22">
        <f>IF($C479="","",IFERROR(INDEX(Produits!$E$5:$E$17,MATCH($C479,Produits!$A$5:$A$17,0)),"Produit ?"))</f>
        <v/>
      </c>
      <c r="F479" s="22">
        <f>IF($C479="","",IFERROR(INDEX(Produits!$D$5:$D$17,MATCH($C479,Produits!$A$5:$A$17,0)),"Produit ?"))</f>
        <v/>
      </c>
      <c r="G479" s="7">
        <f>IF(OR($C479="",$D479=""),"",IFERROR(D479*E479,""))</f>
        <v/>
      </c>
      <c r="H479" s="7">
        <f>IF(G479="","",D479*F479)</f>
        <v/>
      </c>
      <c r="I479" s="7">
        <f>IF(G479="","",G479-H479)</f>
        <v/>
      </c>
      <c r="J479" s="26">
        <f>IF(G479="","",IFERROR(I479/G479,0))</f>
        <v/>
      </c>
    </row>
    <row r="480">
      <c r="A480" s="27" t="n"/>
      <c r="B480" s="20" t="n"/>
      <c r="C480" s="20" t="n"/>
      <c r="D480" s="21" t="n"/>
      <c r="E480" s="22">
        <f>IF($C480="","",IFERROR(INDEX(Produits!$E$5:$E$17,MATCH($C480,Produits!$A$5:$A$17,0)),"Produit ?"))</f>
        <v/>
      </c>
      <c r="F480" s="22">
        <f>IF($C480="","",IFERROR(INDEX(Produits!$D$5:$D$17,MATCH($C480,Produits!$A$5:$A$17,0)),"Produit ?"))</f>
        <v/>
      </c>
      <c r="G480" s="7">
        <f>IF(OR($C480="",$D480=""),"",IFERROR(D480*E480,""))</f>
        <v/>
      </c>
      <c r="H480" s="7">
        <f>IF(G480="","",D480*F480)</f>
        <v/>
      </c>
      <c r="I480" s="7">
        <f>IF(G480="","",G480-H480)</f>
        <v/>
      </c>
      <c r="J480" s="26">
        <f>IF(G480="","",IFERROR(I480/G480,0))</f>
        <v/>
      </c>
    </row>
    <row r="481">
      <c r="A481" s="27" t="n"/>
      <c r="B481" s="20" t="n"/>
      <c r="C481" s="20" t="n"/>
      <c r="D481" s="21" t="n"/>
      <c r="E481" s="22">
        <f>IF($C481="","",IFERROR(INDEX(Produits!$E$5:$E$17,MATCH($C481,Produits!$A$5:$A$17,0)),"Produit ?"))</f>
        <v/>
      </c>
      <c r="F481" s="22">
        <f>IF($C481="","",IFERROR(INDEX(Produits!$D$5:$D$17,MATCH($C481,Produits!$A$5:$A$17,0)),"Produit ?"))</f>
        <v/>
      </c>
      <c r="G481" s="7">
        <f>IF(OR($C481="",$D481=""),"",IFERROR(D481*E481,""))</f>
        <v/>
      </c>
      <c r="H481" s="7">
        <f>IF(G481="","",D481*F481)</f>
        <v/>
      </c>
      <c r="I481" s="7">
        <f>IF(G481="","",G481-H481)</f>
        <v/>
      </c>
      <c r="J481" s="26">
        <f>IF(G481="","",IFERROR(I481/G481,0))</f>
        <v/>
      </c>
    </row>
    <row r="482">
      <c r="A482" s="27" t="n"/>
      <c r="B482" s="20" t="n"/>
      <c r="C482" s="20" t="n"/>
      <c r="D482" s="21" t="n"/>
      <c r="E482" s="22">
        <f>IF($C482="","",IFERROR(INDEX(Produits!$E$5:$E$17,MATCH($C482,Produits!$A$5:$A$17,0)),"Produit ?"))</f>
        <v/>
      </c>
      <c r="F482" s="22">
        <f>IF($C482="","",IFERROR(INDEX(Produits!$D$5:$D$17,MATCH($C482,Produits!$A$5:$A$17,0)),"Produit ?"))</f>
        <v/>
      </c>
      <c r="G482" s="7">
        <f>IF(OR($C482="",$D482=""),"",IFERROR(D482*E482,""))</f>
        <v/>
      </c>
      <c r="H482" s="7">
        <f>IF(G482="","",D482*F482)</f>
        <v/>
      </c>
      <c r="I482" s="7">
        <f>IF(G482="","",G482-H482)</f>
        <v/>
      </c>
      <c r="J482" s="26">
        <f>IF(G482="","",IFERROR(I482/G482,0))</f>
        <v/>
      </c>
    </row>
    <row r="483">
      <c r="A483" s="27" t="n"/>
      <c r="B483" s="20" t="n"/>
      <c r="C483" s="20" t="n"/>
      <c r="D483" s="21" t="n"/>
      <c r="E483" s="22">
        <f>IF($C483="","",IFERROR(INDEX(Produits!$E$5:$E$17,MATCH($C483,Produits!$A$5:$A$17,0)),"Produit ?"))</f>
        <v/>
      </c>
      <c r="F483" s="22">
        <f>IF($C483="","",IFERROR(INDEX(Produits!$D$5:$D$17,MATCH($C483,Produits!$A$5:$A$17,0)),"Produit ?"))</f>
        <v/>
      </c>
      <c r="G483" s="7">
        <f>IF(OR($C483="",$D483=""),"",IFERROR(D483*E483,""))</f>
        <v/>
      </c>
      <c r="H483" s="7">
        <f>IF(G483="","",D483*F483)</f>
        <v/>
      </c>
      <c r="I483" s="7">
        <f>IF(G483="","",G483-H483)</f>
        <v/>
      </c>
      <c r="J483" s="26">
        <f>IF(G483="","",IFERROR(I483/G483,0))</f>
        <v/>
      </c>
    </row>
    <row r="484">
      <c r="A484" s="27" t="n"/>
      <c r="B484" s="20" t="n"/>
      <c r="C484" s="20" t="n"/>
      <c r="D484" s="21" t="n"/>
      <c r="E484" s="22">
        <f>IF($C484="","",IFERROR(INDEX(Produits!$E$5:$E$17,MATCH($C484,Produits!$A$5:$A$17,0)),"Produit ?"))</f>
        <v/>
      </c>
      <c r="F484" s="22">
        <f>IF($C484="","",IFERROR(INDEX(Produits!$D$5:$D$17,MATCH($C484,Produits!$A$5:$A$17,0)),"Produit ?"))</f>
        <v/>
      </c>
      <c r="G484" s="7">
        <f>IF(OR($C484="",$D484=""),"",IFERROR(D484*E484,""))</f>
        <v/>
      </c>
      <c r="H484" s="7">
        <f>IF(G484="","",D484*F484)</f>
        <v/>
      </c>
      <c r="I484" s="7">
        <f>IF(G484="","",G484-H484)</f>
        <v/>
      </c>
      <c r="J484" s="26">
        <f>IF(G484="","",IFERROR(I484/G484,0))</f>
        <v/>
      </c>
    </row>
    <row r="485">
      <c r="A485" s="27" t="n"/>
      <c r="B485" s="20" t="n"/>
      <c r="C485" s="20" t="n"/>
      <c r="D485" s="21" t="n"/>
      <c r="E485" s="22">
        <f>IF($C485="","",IFERROR(INDEX(Produits!$E$5:$E$17,MATCH($C485,Produits!$A$5:$A$17,0)),"Produit ?"))</f>
        <v/>
      </c>
      <c r="F485" s="22">
        <f>IF($C485="","",IFERROR(INDEX(Produits!$D$5:$D$17,MATCH($C485,Produits!$A$5:$A$17,0)),"Produit ?"))</f>
        <v/>
      </c>
      <c r="G485" s="7">
        <f>IF(OR($C485="",$D485=""),"",IFERROR(D485*E485,""))</f>
        <v/>
      </c>
      <c r="H485" s="7">
        <f>IF(G485="","",D485*F485)</f>
        <v/>
      </c>
      <c r="I485" s="7">
        <f>IF(G485="","",G485-H485)</f>
        <v/>
      </c>
      <c r="J485" s="26">
        <f>IF(G485="","",IFERROR(I485/G485,0))</f>
        <v/>
      </c>
    </row>
    <row r="486">
      <c r="A486" s="27" t="n"/>
      <c r="B486" s="20" t="n"/>
      <c r="C486" s="20" t="n"/>
      <c r="D486" s="21" t="n"/>
      <c r="E486" s="22">
        <f>IF($C486="","",IFERROR(INDEX(Produits!$E$5:$E$17,MATCH($C486,Produits!$A$5:$A$17,0)),"Produit ?"))</f>
        <v/>
      </c>
      <c r="F486" s="22">
        <f>IF($C486="","",IFERROR(INDEX(Produits!$D$5:$D$17,MATCH($C486,Produits!$A$5:$A$17,0)),"Produit ?"))</f>
        <v/>
      </c>
      <c r="G486" s="7">
        <f>IF(OR($C486="",$D486=""),"",IFERROR(D486*E486,""))</f>
        <v/>
      </c>
      <c r="H486" s="7">
        <f>IF(G486="","",D486*F486)</f>
        <v/>
      </c>
      <c r="I486" s="7">
        <f>IF(G486="","",G486-H486)</f>
        <v/>
      </c>
      <c r="J486" s="26">
        <f>IF(G486="","",IFERROR(I486/G486,0))</f>
        <v/>
      </c>
    </row>
    <row r="487">
      <c r="A487" s="27" t="n"/>
      <c r="B487" s="20" t="n"/>
      <c r="C487" s="20" t="n"/>
      <c r="D487" s="21" t="n"/>
      <c r="E487" s="22">
        <f>IF($C487="","",IFERROR(INDEX(Produits!$E$5:$E$17,MATCH($C487,Produits!$A$5:$A$17,0)),"Produit ?"))</f>
        <v/>
      </c>
      <c r="F487" s="22">
        <f>IF($C487="","",IFERROR(INDEX(Produits!$D$5:$D$17,MATCH($C487,Produits!$A$5:$A$17,0)),"Produit ?"))</f>
        <v/>
      </c>
      <c r="G487" s="7">
        <f>IF(OR($C487="",$D487=""),"",IFERROR(D487*E487,""))</f>
        <v/>
      </c>
      <c r="H487" s="7">
        <f>IF(G487="","",D487*F487)</f>
        <v/>
      </c>
      <c r="I487" s="7">
        <f>IF(G487="","",G487-H487)</f>
        <v/>
      </c>
      <c r="J487" s="26">
        <f>IF(G487="","",IFERROR(I487/G487,0))</f>
        <v/>
      </c>
    </row>
    <row r="488">
      <c r="A488" s="27" t="n"/>
      <c r="B488" s="20" t="n"/>
      <c r="C488" s="20" t="n"/>
      <c r="D488" s="21" t="n"/>
      <c r="E488" s="22">
        <f>IF($C488="","",IFERROR(INDEX(Produits!$E$5:$E$17,MATCH($C488,Produits!$A$5:$A$17,0)),"Produit ?"))</f>
        <v/>
      </c>
      <c r="F488" s="22">
        <f>IF($C488="","",IFERROR(INDEX(Produits!$D$5:$D$17,MATCH($C488,Produits!$A$5:$A$17,0)),"Produit ?"))</f>
        <v/>
      </c>
      <c r="G488" s="7">
        <f>IF(OR($C488="",$D488=""),"",IFERROR(D488*E488,""))</f>
        <v/>
      </c>
      <c r="H488" s="7">
        <f>IF(G488="","",D488*F488)</f>
        <v/>
      </c>
      <c r="I488" s="7">
        <f>IF(G488="","",G488-H488)</f>
        <v/>
      </c>
      <c r="J488" s="26">
        <f>IF(G488="","",IFERROR(I488/G488,0))</f>
        <v/>
      </c>
    </row>
    <row r="489">
      <c r="A489" s="27" t="n"/>
      <c r="B489" s="20" t="n"/>
      <c r="C489" s="20" t="n"/>
      <c r="D489" s="21" t="n"/>
      <c r="E489" s="22">
        <f>IF($C489="","",IFERROR(INDEX(Produits!$E$5:$E$17,MATCH($C489,Produits!$A$5:$A$17,0)),"Produit ?"))</f>
        <v/>
      </c>
      <c r="F489" s="22">
        <f>IF($C489="","",IFERROR(INDEX(Produits!$D$5:$D$17,MATCH($C489,Produits!$A$5:$A$17,0)),"Produit ?"))</f>
        <v/>
      </c>
      <c r="G489" s="7">
        <f>IF(OR($C489="",$D489=""),"",IFERROR(D489*E489,""))</f>
        <v/>
      </c>
      <c r="H489" s="7">
        <f>IF(G489="","",D489*F489)</f>
        <v/>
      </c>
      <c r="I489" s="7">
        <f>IF(G489="","",G489-H489)</f>
        <v/>
      </c>
      <c r="J489" s="26">
        <f>IF(G489="","",IFERROR(I489/G489,0))</f>
        <v/>
      </c>
    </row>
    <row r="490">
      <c r="A490" s="27" t="n"/>
      <c r="B490" s="20" t="n"/>
      <c r="C490" s="20" t="n"/>
      <c r="D490" s="21" t="n"/>
      <c r="E490" s="22">
        <f>IF($C490="","",IFERROR(INDEX(Produits!$E$5:$E$17,MATCH($C490,Produits!$A$5:$A$17,0)),"Produit ?"))</f>
        <v/>
      </c>
      <c r="F490" s="22">
        <f>IF($C490="","",IFERROR(INDEX(Produits!$D$5:$D$17,MATCH($C490,Produits!$A$5:$A$17,0)),"Produit ?"))</f>
        <v/>
      </c>
      <c r="G490" s="7">
        <f>IF(OR($C490="",$D490=""),"",IFERROR(D490*E490,""))</f>
        <v/>
      </c>
      <c r="H490" s="7">
        <f>IF(G490="","",D490*F490)</f>
        <v/>
      </c>
      <c r="I490" s="7">
        <f>IF(G490="","",G490-H490)</f>
        <v/>
      </c>
      <c r="J490" s="26">
        <f>IF(G490="","",IFERROR(I490/G490,0))</f>
        <v/>
      </c>
    </row>
    <row r="491">
      <c r="A491" s="27" t="n"/>
      <c r="B491" s="20" t="n"/>
      <c r="C491" s="20" t="n"/>
      <c r="D491" s="21" t="n"/>
      <c r="E491" s="22">
        <f>IF($C491="","",IFERROR(INDEX(Produits!$E$5:$E$17,MATCH($C491,Produits!$A$5:$A$17,0)),"Produit ?"))</f>
        <v/>
      </c>
      <c r="F491" s="22">
        <f>IF($C491="","",IFERROR(INDEX(Produits!$D$5:$D$17,MATCH($C491,Produits!$A$5:$A$17,0)),"Produit ?"))</f>
        <v/>
      </c>
      <c r="G491" s="7">
        <f>IF(OR($C491="",$D491=""),"",IFERROR(D491*E491,""))</f>
        <v/>
      </c>
      <c r="H491" s="7">
        <f>IF(G491="","",D491*F491)</f>
        <v/>
      </c>
      <c r="I491" s="7">
        <f>IF(G491="","",G491-H491)</f>
        <v/>
      </c>
      <c r="J491" s="26">
        <f>IF(G491="","",IFERROR(I491/G491,0))</f>
        <v/>
      </c>
    </row>
    <row r="492">
      <c r="A492" s="27" t="n"/>
      <c r="B492" s="20" t="n"/>
      <c r="C492" s="20" t="n"/>
      <c r="D492" s="21" t="n"/>
      <c r="E492" s="22">
        <f>IF($C492="","",IFERROR(INDEX(Produits!$E$5:$E$17,MATCH($C492,Produits!$A$5:$A$17,0)),"Produit ?"))</f>
        <v/>
      </c>
      <c r="F492" s="22">
        <f>IF($C492="","",IFERROR(INDEX(Produits!$D$5:$D$17,MATCH($C492,Produits!$A$5:$A$17,0)),"Produit ?"))</f>
        <v/>
      </c>
      <c r="G492" s="7">
        <f>IF(OR($C492="",$D492=""),"",IFERROR(D492*E492,""))</f>
        <v/>
      </c>
      <c r="H492" s="7">
        <f>IF(G492="","",D492*F492)</f>
        <v/>
      </c>
      <c r="I492" s="7">
        <f>IF(G492="","",G492-H492)</f>
        <v/>
      </c>
      <c r="J492" s="26">
        <f>IF(G492="","",IFERROR(I492/G492,0))</f>
        <v/>
      </c>
    </row>
    <row r="493">
      <c r="A493" s="27" t="n"/>
      <c r="B493" s="20" t="n"/>
      <c r="C493" s="20" t="n"/>
      <c r="D493" s="21" t="n"/>
      <c r="E493" s="22">
        <f>IF($C493="","",IFERROR(INDEX(Produits!$E$5:$E$17,MATCH($C493,Produits!$A$5:$A$17,0)),"Produit ?"))</f>
        <v/>
      </c>
      <c r="F493" s="22">
        <f>IF($C493="","",IFERROR(INDEX(Produits!$D$5:$D$17,MATCH($C493,Produits!$A$5:$A$17,0)),"Produit ?"))</f>
        <v/>
      </c>
      <c r="G493" s="7">
        <f>IF(OR($C493="",$D493=""),"",IFERROR(D493*E493,""))</f>
        <v/>
      </c>
      <c r="H493" s="7">
        <f>IF(G493="","",D493*F493)</f>
        <v/>
      </c>
      <c r="I493" s="7">
        <f>IF(G493="","",G493-H493)</f>
        <v/>
      </c>
      <c r="J493" s="26">
        <f>IF(G493="","",IFERROR(I493/G493,0))</f>
        <v/>
      </c>
    </row>
    <row r="494">
      <c r="A494" s="27" t="n"/>
      <c r="B494" s="20" t="n"/>
      <c r="C494" s="20" t="n"/>
      <c r="D494" s="21" t="n"/>
      <c r="E494" s="22">
        <f>IF($C494="","",IFERROR(INDEX(Produits!$E$5:$E$17,MATCH($C494,Produits!$A$5:$A$17,0)),"Produit ?"))</f>
        <v/>
      </c>
      <c r="F494" s="22">
        <f>IF($C494="","",IFERROR(INDEX(Produits!$D$5:$D$17,MATCH($C494,Produits!$A$5:$A$17,0)),"Produit ?"))</f>
        <v/>
      </c>
      <c r="G494" s="7">
        <f>IF(OR($C494="",$D494=""),"",IFERROR(D494*E494,""))</f>
        <v/>
      </c>
      <c r="H494" s="7">
        <f>IF(G494="","",D494*F494)</f>
        <v/>
      </c>
      <c r="I494" s="7">
        <f>IF(G494="","",G494-H494)</f>
        <v/>
      </c>
      <c r="J494" s="26">
        <f>IF(G494="","",IFERROR(I494/G494,0))</f>
        <v/>
      </c>
    </row>
    <row r="495">
      <c r="A495" s="27" t="n"/>
      <c r="B495" s="20" t="n"/>
      <c r="C495" s="20" t="n"/>
      <c r="D495" s="21" t="n"/>
      <c r="E495" s="22">
        <f>IF($C495="","",IFERROR(INDEX(Produits!$E$5:$E$17,MATCH($C495,Produits!$A$5:$A$17,0)),"Produit ?"))</f>
        <v/>
      </c>
      <c r="F495" s="22">
        <f>IF($C495="","",IFERROR(INDEX(Produits!$D$5:$D$17,MATCH($C495,Produits!$A$5:$A$17,0)),"Produit ?"))</f>
        <v/>
      </c>
      <c r="G495" s="7">
        <f>IF(OR($C495="",$D495=""),"",IFERROR(D495*E495,""))</f>
        <v/>
      </c>
      <c r="H495" s="7">
        <f>IF(G495="","",D495*F495)</f>
        <v/>
      </c>
      <c r="I495" s="7">
        <f>IF(G495="","",G495-H495)</f>
        <v/>
      </c>
      <c r="J495" s="26">
        <f>IF(G495="","",IFERROR(I495/G495,0))</f>
        <v/>
      </c>
    </row>
    <row r="496">
      <c r="A496" s="27" t="n"/>
      <c r="B496" s="20" t="n"/>
      <c r="C496" s="20" t="n"/>
      <c r="D496" s="21" t="n"/>
      <c r="E496" s="22">
        <f>IF($C496="","",IFERROR(INDEX(Produits!$E$5:$E$17,MATCH($C496,Produits!$A$5:$A$17,0)),"Produit ?"))</f>
        <v/>
      </c>
      <c r="F496" s="22">
        <f>IF($C496="","",IFERROR(INDEX(Produits!$D$5:$D$17,MATCH($C496,Produits!$A$5:$A$17,0)),"Produit ?"))</f>
        <v/>
      </c>
      <c r="G496" s="7">
        <f>IF(OR($C496="",$D496=""),"",IFERROR(D496*E496,""))</f>
        <v/>
      </c>
      <c r="H496" s="7">
        <f>IF(G496="","",D496*F496)</f>
        <v/>
      </c>
      <c r="I496" s="7">
        <f>IF(G496="","",G496-H496)</f>
        <v/>
      </c>
      <c r="J496" s="26">
        <f>IF(G496="","",IFERROR(I496/G496,0))</f>
        <v/>
      </c>
    </row>
    <row r="497">
      <c r="A497" s="27" t="n"/>
      <c r="B497" s="20" t="n"/>
      <c r="C497" s="20" t="n"/>
      <c r="D497" s="21" t="n"/>
      <c r="E497" s="22">
        <f>IF($C497="","",IFERROR(INDEX(Produits!$E$5:$E$17,MATCH($C497,Produits!$A$5:$A$17,0)),"Produit ?"))</f>
        <v/>
      </c>
      <c r="F497" s="22">
        <f>IF($C497="","",IFERROR(INDEX(Produits!$D$5:$D$17,MATCH($C497,Produits!$A$5:$A$17,0)),"Produit ?"))</f>
        <v/>
      </c>
      <c r="G497" s="7">
        <f>IF(OR($C497="",$D497=""),"",IFERROR(D497*E497,""))</f>
        <v/>
      </c>
      <c r="H497" s="7">
        <f>IF(G497="","",D497*F497)</f>
        <v/>
      </c>
      <c r="I497" s="7">
        <f>IF(G497="","",G497-H497)</f>
        <v/>
      </c>
      <c r="J497" s="26">
        <f>IF(G497="","",IFERROR(I497/G497,0))</f>
        <v/>
      </c>
    </row>
    <row r="498">
      <c r="A498" s="27" t="n"/>
      <c r="B498" s="20" t="n"/>
      <c r="C498" s="20" t="n"/>
      <c r="D498" s="21" t="n"/>
      <c r="E498" s="22">
        <f>IF($C498="","",IFERROR(INDEX(Produits!$E$5:$E$17,MATCH($C498,Produits!$A$5:$A$17,0)),"Produit ?"))</f>
        <v/>
      </c>
      <c r="F498" s="22">
        <f>IF($C498="","",IFERROR(INDEX(Produits!$D$5:$D$17,MATCH($C498,Produits!$A$5:$A$17,0)),"Produit ?"))</f>
        <v/>
      </c>
      <c r="G498" s="7">
        <f>IF(OR($C498="",$D498=""),"",IFERROR(D498*E498,""))</f>
        <v/>
      </c>
      <c r="H498" s="7">
        <f>IF(G498="","",D498*F498)</f>
        <v/>
      </c>
      <c r="I498" s="7">
        <f>IF(G498="","",G498-H498)</f>
        <v/>
      </c>
      <c r="J498" s="26">
        <f>IF(G498="","",IFERROR(I498/G498,0))</f>
        <v/>
      </c>
    </row>
    <row r="499">
      <c r="A499" s="27" t="n"/>
      <c r="B499" s="20" t="n"/>
      <c r="C499" s="20" t="n"/>
      <c r="D499" s="21" t="n"/>
      <c r="E499" s="22">
        <f>IF($C499="","",IFERROR(INDEX(Produits!$E$5:$E$17,MATCH($C499,Produits!$A$5:$A$17,0)),"Produit ?"))</f>
        <v/>
      </c>
      <c r="F499" s="22">
        <f>IF($C499="","",IFERROR(INDEX(Produits!$D$5:$D$17,MATCH($C499,Produits!$A$5:$A$17,0)),"Produit ?"))</f>
        <v/>
      </c>
      <c r="G499" s="7">
        <f>IF(OR($C499="",$D499=""),"",IFERROR(D499*E499,""))</f>
        <v/>
      </c>
      <c r="H499" s="7">
        <f>IF(G499="","",D499*F499)</f>
        <v/>
      </c>
      <c r="I499" s="7">
        <f>IF(G499="","",G499-H499)</f>
        <v/>
      </c>
      <c r="J499" s="26">
        <f>IF(G499="","",IFERROR(I499/G499,0))</f>
        <v/>
      </c>
    </row>
    <row r="500">
      <c r="A500" s="27" t="n"/>
      <c r="B500" s="20" t="n"/>
      <c r="C500" s="20" t="n"/>
      <c r="D500" s="21" t="n"/>
      <c r="E500" s="22">
        <f>IF($C500="","",IFERROR(INDEX(Produits!$E$5:$E$17,MATCH($C500,Produits!$A$5:$A$17,0)),"Produit ?"))</f>
        <v/>
      </c>
      <c r="F500" s="22">
        <f>IF($C500="","",IFERROR(INDEX(Produits!$D$5:$D$17,MATCH($C500,Produits!$A$5:$A$17,0)),"Produit ?"))</f>
        <v/>
      </c>
      <c r="G500" s="7">
        <f>IF(OR($C500="",$D500=""),"",IFERROR(D500*E500,""))</f>
        <v/>
      </c>
      <c r="H500" s="7">
        <f>IF(G500="","",D500*F500)</f>
        <v/>
      </c>
      <c r="I500" s="7">
        <f>IF(G500="","",G500-H500)</f>
        <v/>
      </c>
      <c r="J500" s="26">
        <f>IF(G500="","",IFERROR(I500/G500,0))</f>
        <v/>
      </c>
    </row>
    <row r="501">
      <c r="A501" s="27" t="n"/>
      <c r="B501" s="20" t="n"/>
      <c r="C501" s="20" t="n"/>
      <c r="D501" s="21" t="n"/>
      <c r="E501" s="22">
        <f>IF($C501="","",IFERROR(INDEX(Produits!$E$5:$E$17,MATCH($C501,Produits!$A$5:$A$17,0)),"Produit ?"))</f>
        <v/>
      </c>
      <c r="F501" s="22">
        <f>IF($C501="","",IFERROR(INDEX(Produits!$D$5:$D$17,MATCH($C501,Produits!$A$5:$A$17,0)),"Produit ?"))</f>
        <v/>
      </c>
      <c r="G501" s="7">
        <f>IF(OR($C501="",$D501=""),"",IFERROR(D501*E501,""))</f>
        <v/>
      </c>
      <c r="H501" s="7">
        <f>IF(G501="","",D501*F501)</f>
        <v/>
      </c>
      <c r="I501" s="7">
        <f>IF(G501="","",G501-H501)</f>
        <v/>
      </c>
      <c r="J501" s="26">
        <f>IF(G501="","",IFERROR(I501/G501,0))</f>
        <v/>
      </c>
    </row>
    <row r="502">
      <c r="A502" s="27" t="n"/>
      <c r="B502" s="20" t="n"/>
      <c r="C502" s="20" t="n"/>
      <c r="D502" s="21" t="n"/>
      <c r="E502" s="22">
        <f>IF($C502="","",IFERROR(INDEX(Produits!$E$5:$E$17,MATCH($C502,Produits!$A$5:$A$17,0)),"Produit ?"))</f>
        <v/>
      </c>
      <c r="F502" s="22">
        <f>IF($C502="","",IFERROR(INDEX(Produits!$D$5:$D$17,MATCH($C502,Produits!$A$5:$A$17,0)),"Produit ?"))</f>
        <v/>
      </c>
      <c r="G502" s="7">
        <f>IF(OR($C502="",$D502=""),"",IFERROR(D502*E502,""))</f>
        <v/>
      </c>
      <c r="H502" s="7">
        <f>IF(G502="","",D502*F502)</f>
        <v/>
      </c>
      <c r="I502" s="7">
        <f>IF(G502="","",G502-H502)</f>
        <v/>
      </c>
      <c r="J502" s="26">
        <f>IF(G502="","",IFERROR(I502/G502,0))</f>
        <v/>
      </c>
    </row>
    <row r="503">
      <c r="A503" s="27" t="n"/>
      <c r="B503" s="20" t="n"/>
      <c r="C503" s="20" t="n"/>
      <c r="D503" s="21" t="n"/>
      <c r="E503" s="22">
        <f>IF($C503="","",IFERROR(INDEX(Produits!$E$5:$E$17,MATCH($C503,Produits!$A$5:$A$17,0)),"Produit ?"))</f>
        <v/>
      </c>
      <c r="F503" s="22">
        <f>IF($C503="","",IFERROR(INDEX(Produits!$D$5:$D$17,MATCH($C503,Produits!$A$5:$A$17,0)),"Produit ?"))</f>
        <v/>
      </c>
      <c r="G503" s="7">
        <f>IF(OR($C503="",$D503=""),"",IFERROR(D503*E503,""))</f>
        <v/>
      </c>
      <c r="H503" s="7">
        <f>IF(G503="","",D503*F503)</f>
        <v/>
      </c>
      <c r="I503" s="7">
        <f>IF(G503="","",G503-H503)</f>
        <v/>
      </c>
      <c r="J503" s="26">
        <f>IF(G503="","",IFERROR(I503/G503,0))</f>
        <v/>
      </c>
    </row>
    <row r="504">
      <c r="A504" s="27" t="n"/>
      <c r="B504" s="20" t="n"/>
      <c r="C504" s="20" t="n"/>
      <c r="D504" s="21" t="n"/>
      <c r="E504" s="22">
        <f>IF($C504="","",IFERROR(INDEX(Produits!$E$5:$E$17,MATCH($C504,Produits!$A$5:$A$17,0)),"Produit ?"))</f>
        <v/>
      </c>
      <c r="F504" s="22">
        <f>IF($C504="","",IFERROR(INDEX(Produits!$D$5:$D$17,MATCH($C504,Produits!$A$5:$A$17,0)),"Produit ?"))</f>
        <v/>
      </c>
      <c r="G504" s="7">
        <f>IF(OR($C504="",$D504=""),"",IFERROR(D504*E504,""))</f>
        <v/>
      </c>
      <c r="H504" s="7">
        <f>IF(G504="","",D504*F504)</f>
        <v/>
      </c>
      <c r="I504" s="7">
        <f>IF(G504="","",G504-H504)</f>
        <v/>
      </c>
      <c r="J504" s="26">
        <f>IF(G504="","",IFERROR(I504/G504,0))</f>
        <v/>
      </c>
    </row>
    <row r="505">
      <c r="C505" s="8" t="inlineStr">
        <is>
          <t>TOTAL</t>
        </is>
      </c>
      <c r="D505" s="17">
        <f>SUM(D5:D504)</f>
        <v/>
      </c>
      <c r="G505" s="9">
        <f>SUM(G5:G504)</f>
        <v/>
      </c>
      <c r="H505" s="9">
        <f>SUM(H5:H504)</f>
        <v/>
      </c>
      <c r="I505" s="9">
        <f>SUM(I5:I504)</f>
        <v/>
      </c>
    </row>
  </sheetData>
  <mergeCells count="2">
    <mergeCell ref="A1:J1"/>
    <mergeCell ref="A2:J2"/>
  </mergeCells>
  <conditionalFormatting sqref="I5:I504">
    <cfRule type="expression" priority="1" dxfId="0">
      <formula>AND(ISNUMBER(I5),I5&lt;0)</formula>
    </cfRule>
  </conditionalFormatting>
  <dataValidations count="3">
    <dataValidation sqref="C5:C504" showDropDown="0" showInputMessage="0" showErrorMessage="1" allowBlank="1" errorTitle="Produit inconnu" error="Choisis un produit dans la liste (onglet Produits)." type="list">
      <formula1>=Produits!$A$5:$A$17</formula1>
    </dataValidation>
    <dataValidation sqref="D5:D504" showDropDown="0" showInputMessage="0" showErrorMessage="1" allowBlank="1" error="La quantité doit être un nombre entier." type="whole" operator="greaterThanOrEqual">
      <formula1>0</formula1>
    </dataValidation>
    <dataValidation sqref="A5:A504" showDropDown="0" showInputMessage="0" showErrorMessage="1" allowBlank="1" error="Entre une date (jj/mm/aaaa)." type="date" operator="greaterThan">
      <formula1>36526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4" customWidth="1" min="4" max="4"/>
    <col width="15" customWidth="1" min="5" max="5"/>
  </cols>
  <sheetData>
    <row r="1" ht="26" customHeight="1">
      <c r="A1" s="1" t="inlineStr">
        <is>
          <t>Salaires — Yellow Jake</t>
        </is>
      </c>
    </row>
    <row r="2">
      <c r="A2" s="2" t="inlineStr">
        <is>
          <t>Heures travaillées × taux horaire. Remplis les colonnes jaunes.</t>
        </is>
      </c>
    </row>
    <row r="4" ht="30" customHeight="1">
      <c r="A4" s="19" t="inlineStr">
        <is>
          <t>Date</t>
        </is>
      </c>
      <c r="B4" s="19" t="inlineStr">
        <is>
          <t>Employé</t>
        </is>
      </c>
      <c r="C4" s="19" t="inlineStr">
        <is>
          <t>Heures travaillées</t>
        </is>
      </c>
      <c r="D4" s="19" t="inlineStr">
        <is>
          <t>Taux horaire</t>
        </is>
      </c>
      <c r="E4" s="19" t="inlineStr">
        <is>
          <t>Salaire</t>
        </is>
      </c>
    </row>
    <row r="5">
      <c r="A5" s="27" t="n"/>
      <c r="B5" s="20" t="n"/>
      <c r="C5" s="23" t="n"/>
      <c r="D5" s="24" t="n"/>
      <c r="E5" s="7">
        <f>IF(OR(C5="",D5=""),"",IFERROR(C5*D5,""))</f>
        <v/>
      </c>
    </row>
    <row r="6">
      <c r="A6" s="27" t="n"/>
      <c r="B6" s="20" t="n"/>
      <c r="C6" s="23" t="n"/>
      <c r="D6" s="24" t="n"/>
      <c r="E6" s="7">
        <f>IF(OR(C6="",D6=""),"",IFERROR(C6*D6,""))</f>
        <v/>
      </c>
    </row>
    <row r="7">
      <c r="A7" s="27" t="n"/>
      <c r="B7" s="20" t="n"/>
      <c r="C7" s="23" t="n"/>
      <c r="D7" s="24" t="n"/>
      <c r="E7" s="7">
        <f>IF(OR(C7="",D7=""),"",IFERROR(C7*D7,""))</f>
        <v/>
      </c>
    </row>
    <row r="8">
      <c r="A8" s="27" t="n"/>
      <c r="B8" s="20" t="n"/>
      <c r="C8" s="23" t="n"/>
      <c r="D8" s="24" t="n"/>
      <c r="E8" s="7">
        <f>IF(OR(C8="",D8=""),"",IFERROR(C8*D8,""))</f>
        <v/>
      </c>
    </row>
    <row r="9">
      <c r="A9" s="27" t="n"/>
      <c r="B9" s="20" t="n"/>
      <c r="C9" s="23" t="n"/>
      <c r="D9" s="24" t="n"/>
      <c r="E9" s="7">
        <f>IF(OR(C9="",D9=""),"",IFERROR(C9*D9,""))</f>
        <v/>
      </c>
    </row>
    <row r="10">
      <c r="A10" s="27" t="n"/>
      <c r="B10" s="20" t="n"/>
      <c r="C10" s="23" t="n"/>
      <c r="D10" s="24" t="n"/>
      <c r="E10" s="7">
        <f>IF(OR(C10="",D10=""),"",IFERROR(C10*D10,""))</f>
        <v/>
      </c>
    </row>
    <row r="11">
      <c r="A11" s="27" t="n"/>
      <c r="B11" s="20" t="n"/>
      <c r="C11" s="23" t="n"/>
      <c r="D11" s="24" t="n"/>
      <c r="E11" s="7">
        <f>IF(OR(C11="",D11=""),"",IFERROR(C11*D11,""))</f>
        <v/>
      </c>
    </row>
    <row r="12">
      <c r="A12" s="27" t="n"/>
      <c r="B12" s="20" t="n"/>
      <c r="C12" s="23" t="n"/>
      <c r="D12" s="24" t="n"/>
      <c r="E12" s="7">
        <f>IF(OR(C12="",D12=""),"",IFERROR(C12*D12,""))</f>
        <v/>
      </c>
    </row>
    <row r="13">
      <c r="A13" s="27" t="n"/>
      <c r="B13" s="20" t="n"/>
      <c r="C13" s="23" t="n"/>
      <c r="D13" s="24" t="n"/>
      <c r="E13" s="7">
        <f>IF(OR(C13="",D13=""),"",IFERROR(C13*D13,""))</f>
        <v/>
      </c>
    </row>
    <row r="14">
      <c r="A14" s="27" t="n"/>
      <c r="B14" s="20" t="n"/>
      <c r="C14" s="23" t="n"/>
      <c r="D14" s="24" t="n"/>
      <c r="E14" s="7">
        <f>IF(OR(C14="",D14=""),"",IFERROR(C14*D14,""))</f>
        <v/>
      </c>
    </row>
    <row r="15">
      <c r="A15" s="27" t="n"/>
      <c r="B15" s="20" t="n"/>
      <c r="C15" s="23" t="n"/>
      <c r="D15" s="24" t="n"/>
      <c r="E15" s="7">
        <f>IF(OR(C15="",D15=""),"",IFERROR(C15*D15,""))</f>
        <v/>
      </c>
    </row>
    <row r="16">
      <c r="A16" s="27" t="n"/>
      <c r="B16" s="20" t="n"/>
      <c r="C16" s="23" t="n"/>
      <c r="D16" s="24" t="n"/>
      <c r="E16" s="7">
        <f>IF(OR(C16="",D16=""),"",IFERROR(C16*D16,""))</f>
        <v/>
      </c>
    </row>
    <row r="17">
      <c r="A17" s="27" t="n"/>
      <c r="B17" s="20" t="n"/>
      <c r="C17" s="23" t="n"/>
      <c r="D17" s="24" t="n"/>
      <c r="E17" s="7">
        <f>IF(OR(C17="",D17=""),"",IFERROR(C17*D17,""))</f>
        <v/>
      </c>
    </row>
    <row r="18">
      <c r="A18" s="27" t="n"/>
      <c r="B18" s="20" t="n"/>
      <c r="C18" s="23" t="n"/>
      <c r="D18" s="24" t="n"/>
      <c r="E18" s="7">
        <f>IF(OR(C18="",D18=""),"",IFERROR(C18*D18,""))</f>
        <v/>
      </c>
    </row>
    <row r="19">
      <c r="A19" s="27" t="n"/>
      <c r="B19" s="20" t="n"/>
      <c r="C19" s="23" t="n"/>
      <c r="D19" s="24" t="n"/>
      <c r="E19" s="7">
        <f>IF(OR(C19="",D19=""),"",IFERROR(C19*D19,""))</f>
        <v/>
      </c>
    </row>
    <row r="20">
      <c r="A20" s="27" t="n"/>
      <c r="B20" s="20" t="n"/>
      <c r="C20" s="23" t="n"/>
      <c r="D20" s="24" t="n"/>
      <c r="E20" s="7">
        <f>IF(OR(C20="",D20=""),"",IFERROR(C20*D20,""))</f>
        <v/>
      </c>
    </row>
    <row r="21">
      <c r="A21" s="27" t="n"/>
      <c r="B21" s="20" t="n"/>
      <c r="C21" s="23" t="n"/>
      <c r="D21" s="24" t="n"/>
      <c r="E21" s="7">
        <f>IF(OR(C21="",D21=""),"",IFERROR(C21*D21,""))</f>
        <v/>
      </c>
    </row>
    <row r="22">
      <c r="A22" s="27" t="n"/>
      <c r="B22" s="20" t="n"/>
      <c r="C22" s="23" t="n"/>
      <c r="D22" s="24" t="n"/>
      <c r="E22" s="7">
        <f>IF(OR(C22="",D22=""),"",IFERROR(C22*D22,""))</f>
        <v/>
      </c>
    </row>
    <row r="23">
      <c r="A23" s="27" t="n"/>
      <c r="B23" s="20" t="n"/>
      <c r="C23" s="23" t="n"/>
      <c r="D23" s="24" t="n"/>
      <c r="E23" s="7">
        <f>IF(OR(C23="",D23=""),"",IFERROR(C23*D23,""))</f>
        <v/>
      </c>
    </row>
    <row r="24">
      <c r="A24" s="27" t="n"/>
      <c r="B24" s="20" t="n"/>
      <c r="C24" s="23" t="n"/>
      <c r="D24" s="24" t="n"/>
      <c r="E24" s="7">
        <f>IF(OR(C24="",D24=""),"",IFERROR(C24*D24,""))</f>
        <v/>
      </c>
    </row>
    <row r="25">
      <c r="A25" s="27" t="n"/>
      <c r="B25" s="20" t="n"/>
      <c r="C25" s="23" t="n"/>
      <c r="D25" s="24" t="n"/>
      <c r="E25" s="7">
        <f>IF(OR(C25="",D25=""),"",IFERROR(C25*D25,""))</f>
        <v/>
      </c>
    </row>
    <row r="26">
      <c r="A26" s="27" t="n"/>
      <c r="B26" s="20" t="n"/>
      <c r="C26" s="23" t="n"/>
      <c r="D26" s="24" t="n"/>
      <c r="E26" s="7">
        <f>IF(OR(C26="",D26=""),"",IFERROR(C26*D26,""))</f>
        <v/>
      </c>
    </row>
    <row r="27">
      <c r="A27" s="27" t="n"/>
      <c r="B27" s="20" t="n"/>
      <c r="C27" s="23" t="n"/>
      <c r="D27" s="24" t="n"/>
      <c r="E27" s="7">
        <f>IF(OR(C27="",D27=""),"",IFERROR(C27*D27,""))</f>
        <v/>
      </c>
    </row>
    <row r="28">
      <c r="A28" s="27" t="n"/>
      <c r="B28" s="20" t="n"/>
      <c r="C28" s="23" t="n"/>
      <c r="D28" s="24" t="n"/>
      <c r="E28" s="7">
        <f>IF(OR(C28="",D28=""),"",IFERROR(C28*D28,""))</f>
        <v/>
      </c>
    </row>
    <row r="29">
      <c r="A29" s="27" t="n"/>
      <c r="B29" s="20" t="n"/>
      <c r="C29" s="23" t="n"/>
      <c r="D29" s="24" t="n"/>
      <c r="E29" s="7">
        <f>IF(OR(C29="",D29=""),"",IFERROR(C29*D29,""))</f>
        <v/>
      </c>
    </row>
    <row r="30">
      <c r="A30" s="27" t="n"/>
      <c r="B30" s="20" t="n"/>
      <c r="C30" s="23" t="n"/>
      <c r="D30" s="24" t="n"/>
      <c r="E30" s="7">
        <f>IF(OR(C30="",D30=""),"",IFERROR(C30*D30,""))</f>
        <v/>
      </c>
    </row>
    <row r="31">
      <c r="A31" s="27" t="n"/>
      <c r="B31" s="20" t="n"/>
      <c r="C31" s="23" t="n"/>
      <c r="D31" s="24" t="n"/>
      <c r="E31" s="7">
        <f>IF(OR(C31="",D31=""),"",IFERROR(C31*D31,""))</f>
        <v/>
      </c>
    </row>
    <row r="32">
      <c r="A32" s="27" t="n"/>
      <c r="B32" s="20" t="n"/>
      <c r="C32" s="23" t="n"/>
      <c r="D32" s="24" t="n"/>
      <c r="E32" s="7">
        <f>IF(OR(C32="",D32=""),"",IFERROR(C32*D32,""))</f>
        <v/>
      </c>
    </row>
    <row r="33">
      <c r="A33" s="27" t="n"/>
      <c r="B33" s="20" t="n"/>
      <c r="C33" s="23" t="n"/>
      <c r="D33" s="24" t="n"/>
      <c r="E33" s="7">
        <f>IF(OR(C33="",D33=""),"",IFERROR(C33*D33,""))</f>
        <v/>
      </c>
    </row>
    <row r="34">
      <c r="A34" s="27" t="n"/>
      <c r="B34" s="20" t="n"/>
      <c r="C34" s="23" t="n"/>
      <c r="D34" s="24" t="n"/>
      <c r="E34" s="7">
        <f>IF(OR(C34="",D34=""),"",IFERROR(C34*D34,""))</f>
        <v/>
      </c>
    </row>
    <row r="35">
      <c r="A35" s="27" t="n"/>
      <c r="B35" s="20" t="n"/>
      <c r="C35" s="23" t="n"/>
      <c r="D35" s="24" t="n"/>
      <c r="E35" s="7">
        <f>IF(OR(C35="",D35=""),"",IFERROR(C35*D35,""))</f>
        <v/>
      </c>
    </row>
    <row r="36">
      <c r="A36" s="27" t="n"/>
      <c r="B36" s="20" t="n"/>
      <c r="C36" s="23" t="n"/>
      <c r="D36" s="24" t="n"/>
      <c r="E36" s="7">
        <f>IF(OR(C36="",D36=""),"",IFERROR(C36*D36,""))</f>
        <v/>
      </c>
    </row>
    <row r="37">
      <c r="A37" s="27" t="n"/>
      <c r="B37" s="20" t="n"/>
      <c r="C37" s="23" t="n"/>
      <c r="D37" s="24" t="n"/>
      <c r="E37" s="7">
        <f>IF(OR(C37="",D37=""),"",IFERROR(C37*D37,""))</f>
        <v/>
      </c>
    </row>
    <row r="38">
      <c r="A38" s="27" t="n"/>
      <c r="B38" s="20" t="n"/>
      <c r="C38" s="23" t="n"/>
      <c r="D38" s="24" t="n"/>
      <c r="E38" s="7">
        <f>IF(OR(C38="",D38=""),"",IFERROR(C38*D38,""))</f>
        <v/>
      </c>
    </row>
    <row r="39">
      <c r="A39" s="27" t="n"/>
      <c r="B39" s="20" t="n"/>
      <c r="C39" s="23" t="n"/>
      <c r="D39" s="24" t="n"/>
      <c r="E39" s="7">
        <f>IF(OR(C39="",D39=""),"",IFERROR(C39*D39,""))</f>
        <v/>
      </c>
    </row>
    <row r="40">
      <c r="A40" s="27" t="n"/>
      <c r="B40" s="20" t="n"/>
      <c r="C40" s="23" t="n"/>
      <c r="D40" s="24" t="n"/>
      <c r="E40" s="7">
        <f>IF(OR(C40="",D40=""),"",IFERROR(C40*D40,""))</f>
        <v/>
      </c>
    </row>
    <row r="41">
      <c r="A41" s="27" t="n"/>
      <c r="B41" s="20" t="n"/>
      <c r="C41" s="23" t="n"/>
      <c r="D41" s="24" t="n"/>
      <c r="E41" s="7">
        <f>IF(OR(C41="",D41=""),"",IFERROR(C41*D41,""))</f>
        <v/>
      </c>
    </row>
    <row r="42">
      <c r="A42" s="27" t="n"/>
      <c r="B42" s="20" t="n"/>
      <c r="C42" s="23" t="n"/>
      <c r="D42" s="24" t="n"/>
      <c r="E42" s="7">
        <f>IF(OR(C42="",D42=""),"",IFERROR(C42*D42,""))</f>
        <v/>
      </c>
    </row>
    <row r="43">
      <c r="A43" s="27" t="n"/>
      <c r="B43" s="20" t="n"/>
      <c r="C43" s="23" t="n"/>
      <c r="D43" s="24" t="n"/>
      <c r="E43" s="7">
        <f>IF(OR(C43="",D43=""),"",IFERROR(C43*D43,""))</f>
        <v/>
      </c>
    </row>
    <row r="44">
      <c r="A44" s="27" t="n"/>
      <c r="B44" s="20" t="n"/>
      <c r="C44" s="23" t="n"/>
      <c r="D44" s="24" t="n"/>
      <c r="E44" s="7">
        <f>IF(OR(C44="",D44=""),"",IFERROR(C44*D44,""))</f>
        <v/>
      </c>
    </row>
    <row r="45">
      <c r="A45" s="27" t="n"/>
      <c r="B45" s="20" t="n"/>
      <c r="C45" s="23" t="n"/>
      <c r="D45" s="24" t="n"/>
      <c r="E45" s="7">
        <f>IF(OR(C45="",D45=""),"",IFERROR(C45*D45,""))</f>
        <v/>
      </c>
    </row>
    <row r="46">
      <c r="A46" s="27" t="n"/>
      <c r="B46" s="20" t="n"/>
      <c r="C46" s="23" t="n"/>
      <c r="D46" s="24" t="n"/>
      <c r="E46" s="7">
        <f>IF(OR(C46="",D46=""),"",IFERROR(C46*D46,""))</f>
        <v/>
      </c>
    </row>
    <row r="47">
      <c r="A47" s="27" t="n"/>
      <c r="B47" s="20" t="n"/>
      <c r="C47" s="23" t="n"/>
      <c r="D47" s="24" t="n"/>
      <c r="E47" s="7">
        <f>IF(OR(C47="",D47=""),"",IFERROR(C47*D47,""))</f>
        <v/>
      </c>
    </row>
    <row r="48">
      <c r="A48" s="27" t="n"/>
      <c r="B48" s="20" t="n"/>
      <c r="C48" s="23" t="n"/>
      <c r="D48" s="24" t="n"/>
      <c r="E48" s="7">
        <f>IF(OR(C48="",D48=""),"",IFERROR(C48*D48,""))</f>
        <v/>
      </c>
    </row>
    <row r="49">
      <c r="A49" s="27" t="n"/>
      <c r="B49" s="20" t="n"/>
      <c r="C49" s="23" t="n"/>
      <c r="D49" s="24" t="n"/>
      <c r="E49" s="7">
        <f>IF(OR(C49="",D49=""),"",IFERROR(C49*D49,""))</f>
        <v/>
      </c>
    </row>
    <row r="50">
      <c r="A50" s="27" t="n"/>
      <c r="B50" s="20" t="n"/>
      <c r="C50" s="23" t="n"/>
      <c r="D50" s="24" t="n"/>
      <c r="E50" s="7">
        <f>IF(OR(C50="",D50=""),"",IFERROR(C50*D50,""))</f>
        <v/>
      </c>
    </row>
    <row r="51">
      <c r="A51" s="27" t="n"/>
      <c r="B51" s="20" t="n"/>
      <c r="C51" s="23" t="n"/>
      <c r="D51" s="24" t="n"/>
      <c r="E51" s="7">
        <f>IF(OR(C51="",D51=""),"",IFERROR(C51*D51,""))</f>
        <v/>
      </c>
    </row>
    <row r="52">
      <c r="A52" s="27" t="n"/>
      <c r="B52" s="20" t="n"/>
      <c r="C52" s="23" t="n"/>
      <c r="D52" s="24" t="n"/>
      <c r="E52" s="7">
        <f>IF(OR(C52="",D52=""),"",IFERROR(C52*D52,""))</f>
        <v/>
      </c>
    </row>
    <row r="53">
      <c r="A53" s="27" t="n"/>
      <c r="B53" s="20" t="n"/>
      <c r="C53" s="23" t="n"/>
      <c r="D53" s="24" t="n"/>
      <c r="E53" s="7">
        <f>IF(OR(C53="",D53=""),"",IFERROR(C53*D53,""))</f>
        <v/>
      </c>
    </row>
    <row r="54">
      <c r="A54" s="27" t="n"/>
      <c r="B54" s="20" t="n"/>
      <c r="C54" s="23" t="n"/>
      <c r="D54" s="24" t="n"/>
      <c r="E54" s="7">
        <f>IF(OR(C54="",D54=""),"",IFERROR(C54*D54,""))</f>
        <v/>
      </c>
    </row>
    <row r="55">
      <c r="A55" s="27" t="n"/>
      <c r="B55" s="20" t="n"/>
      <c r="C55" s="23" t="n"/>
      <c r="D55" s="24" t="n"/>
      <c r="E55" s="7">
        <f>IF(OR(C55="",D55=""),"",IFERROR(C55*D55,""))</f>
        <v/>
      </c>
    </row>
    <row r="56">
      <c r="A56" s="27" t="n"/>
      <c r="B56" s="20" t="n"/>
      <c r="C56" s="23" t="n"/>
      <c r="D56" s="24" t="n"/>
      <c r="E56" s="7">
        <f>IF(OR(C56="",D56=""),"",IFERROR(C56*D56,""))</f>
        <v/>
      </c>
    </row>
    <row r="57">
      <c r="A57" s="27" t="n"/>
      <c r="B57" s="20" t="n"/>
      <c r="C57" s="23" t="n"/>
      <c r="D57" s="24" t="n"/>
      <c r="E57" s="7">
        <f>IF(OR(C57="",D57=""),"",IFERROR(C57*D57,""))</f>
        <v/>
      </c>
    </row>
    <row r="58">
      <c r="A58" s="27" t="n"/>
      <c r="B58" s="20" t="n"/>
      <c r="C58" s="23" t="n"/>
      <c r="D58" s="24" t="n"/>
      <c r="E58" s="7">
        <f>IF(OR(C58="",D58=""),"",IFERROR(C58*D58,""))</f>
        <v/>
      </c>
    </row>
    <row r="59">
      <c r="A59" s="27" t="n"/>
      <c r="B59" s="20" t="n"/>
      <c r="C59" s="23" t="n"/>
      <c r="D59" s="24" t="n"/>
      <c r="E59" s="7">
        <f>IF(OR(C59="",D59=""),"",IFERROR(C59*D59,""))</f>
        <v/>
      </c>
    </row>
    <row r="60">
      <c r="A60" s="27" t="n"/>
      <c r="B60" s="20" t="n"/>
      <c r="C60" s="23" t="n"/>
      <c r="D60" s="24" t="n"/>
      <c r="E60" s="7">
        <f>IF(OR(C60="",D60=""),"",IFERROR(C60*D60,""))</f>
        <v/>
      </c>
    </row>
    <row r="61">
      <c r="A61" s="27" t="n"/>
      <c r="B61" s="20" t="n"/>
      <c r="C61" s="23" t="n"/>
      <c r="D61" s="24" t="n"/>
      <c r="E61" s="7">
        <f>IF(OR(C61="",D61=""),"",IFERROR(C61*D61,""))</f>
        <v/>
      </c>
    </row>
    <row r="62">
      <c r="A62" s="27" t="n"/>
      <c r="B62" s="20" t="n"/>
      <c r="C62" s="23" t="n"/>
      <c r="D62" s="24" t="n"/>
      <c r="E62" s="7">
        <f>IF(OR(C62="",D62=""),"",IFERROR(C62*D62,""))</f>
        <v/>
      </c>
    </row>
    <row r="63">
      <c r="A63" s="27" t="n"/>
      <c r="B63" s="20" t="n"/>
      <c r="C63" s="23" t="n"/>
      <c r="D63" s="24" t="n"/>
      <c r="E63" s="7">
        <f>IF(OR(C63="",D63=""),"",IFERROR(C63*D63,""))</f>
        <v/>
      </c>
    </row>
    <row r="64">
      <c r="A64" s="27" t="n"/>
      <c r="B64" s="20" t="n"/>
      <c r="C64" s="23" t="n"/>
      <c r="D64" s="24" t="n"/>
      <c r="E64" s="7">
        <f>IF(OR(C64="",D64=""),"",IFERROR(C64*D64,""))</f>
        <v/>
      </c>
    </row>
    <row r="65">
      <c r="A65" s="27" t="n"/>
      <c r="B65" s="20" t="n"/>
      <c r="C65" s="23" t="n"/>
      <c r="D65" s="24" t="n"/>
      <c r="E65" s="7">
        <f>IF(OR(C65="",D65=""),"",IFERROR(C65*D65,""))</f>
        <v/>
      </c>
    </row>
    <row r="66">
      <c r="A66" s="27" t="n"/>
      <c r="B66" s="20" t="n"/>
      <c r="C66" s="23" t="n"/>
      <c r="D66" s="24" t="n"/>
      <c r="E66" s="7">
        <f>IF(OR(C66="",D66=""),"",IFERROR(C66*D66,""))</f>
        <v/>
      </c>
    </row>
    <row r="67">
      <c r="A67" s="27" t="n"/>
      <c r="B67" s="20" t="n"/>
      <c r="C67" s="23" t="n"/>
      <c r="D67" s="24" t="n"/>
      <c r="E67" s="7">
        <f>IF(OR(C67="",D67=""),"",IFERROR(C67*D67,""))</f>
        <v/>
      </c>
    </row>
    <row r="68">
      <c r="A68" s="27" t="n"/>
      <c r="B68" s="20" t="n"/>
      <c r="C68" s="23" t="n"/>
      <c r="D68" s="24" t="n"/>
      <c r="E68" s="7">
        <f>IF(OR(C68="",D68=""),"",IFERROR(C68*D68,""))</f>
        <v/>
      </c>
    </row>
    <row r="69">
      <c r="A69" s="27" t="n"/>
      <c r="B69" s="20" t="n"/>
      <c r="C69" s="23" t="n"/>
      <c r="D69" s="24" t="n"/>
      <c r="E69" s="7">
        <f>IF(OR(C69="",D69=""),"",IFERROR(C69*D69,""))</f>
        <v/>
      </c>
    </row>
    <row r="70">
      <c r="A70" s="27" t="n"/>
      <c r="B70" s="20" t="n"/>
      <c r="C70" s="23" t="n"/>
      <c r="D70" s="24" t="n"/>
      <c r="E70" s="7">
        <f>IF(OR(C70="",D70=""),"",IFERROR(C70*D70,""))</f>
        <v/>
      </c>
    </row>
    <row r="71">
      <c r="A71" s="27" t="n"/>
      <c r="B71" s="20" t="n"/>
      <c r="C71" s="23" t="n"/>
      <c r="D71" s="24" t="n"/>
      <c r="E71" s="7">
        <f>IF(OR(C71="",D71=""),"",IFERROR(C71*D71,""))</f>
        <v/>
      </c>
    </row>
    <row r="72">
      <c r="A72" s="27" t="n"/>
      <c r="B72" s="20" t="n"/>
      <c r="C72" s="23" t="n"/>
      <c r="D72" s="24" t="n"/>
      <c r="E72" s="7">
        <f>IF(OR(C72="",D72=""),"",IFERROR(C72*D72,""))</f>
        <v/>
      </c>
    </row>
    <row r="73">
      <c r="A73" s="27" t="n"/>
      <c r="B73" s="20" t="n"/>
      <c r="C73" s="23" t="n"/>
      <c r="D73" s="24" t="n"/>
      <c r="E73" s="7">
        <f>IF(OR(C73="",D73=""),"",IFERROR(C73*D73,""))</f>
        <v/>
      </c>
    </row>
    <row r="74">
      <c r="A74" s="27" t="n"/>
      <c r="B74" s="20" t="n"/>
      <c r="C74" s="23" t="n"/>
      <c r="D74" s="24" t="n"/>
      <c r="E74" s="7">
        <f>IF(OR(C74="",D74=""),"",IFERROR(C74*D74,""))</f>
        <v/>
      </c>
    </row>
    <row r="75">
      <c r="A75" s="27" t="n"/>
      <c r="B75" s="20" t="n"/>
      <c r="C75" s="23" t="n"/>
      <c r="D75" s="24" t="n"/>
      <c r="E75" s="7">
        <f>IF(OR(C75="",D75=""),"",IFERROR(C75*D75,""))</f>
        <v/>
      </c>
    </row>
    <row r="76">
      <c r="A76" s="27" t="n"/>
      <c r="B76" s="20" t="n"/>
      <c r="C76" s="23" t="n"/>
      <c r="D76" s="24" t="n"/>
      <c r="E76" s="7">
        <f>IF(OR(C76="",D76=""),"",IFERROR(C76*D76,""))</f>
        <v/>
      </c>
    </row>
    <row r="77">
      <c r="A77" s="27" t="n"/>
      <c r="B77" s="20" t="n"/>
      <c r="C77" s="23" t="n"/>
      <c r="D77" s="24" t="n"/>
      <c r="E77" s="7">
        <f>IF(OR(C77="",D77=""),"",IFERROR(C77*D77,""))</f>
        <v/>
      </c>
    </row>
    <row r="78">
      <c r="A78" s="27" t="n"/>
      <c r="B78" s="20" t="n"/>
      <c r="C78" s="23" t="n"/>
      <c r="D78" s="24" t="n"/>
      <c r="E78" s="7">
        <f>IF(OR(C78="",D78=""),"",IFERROR(C78*D78,""))</f>
        <v/>
      </c>
    </row>
    <row r="79">
      <c r="A79" s="27" t="n"/>
      <c r="B79" s="20" t="n"/>
      <c r="C79" s="23" t="n"/>
      <c r="D79" s="24" t="n"/>
      <c r="E79" s="7">
        <f>IF(OR(C79="",D79=""),"",IFERROR(C79*D79,""))</f>
        <v/>
      </c>
    </row>
    <row r="80">
      <c r="A80" s="27" t="n"/>
      <c r="B80" s="20" t="n"/>
      <c r="C80" s="23" t="n"/>
      <c r="D80" s="24" t="n"/>
      <c r="E80" s="7">
        <f>IF(OR(C80="",D80=""),"",IFERROR(C80*D80,""))</f>
        <v/>
      </c>
    </row>
    <row r="81">
      <c r="A81" s="27" t="n"/>
      <c r="B81" s="20" t="n"/>
      <c r="C81" s="23" t="n"/>
      <c r="D81" s="24" t="n"/>
      <c r="E81" s="7">
        <f>IF(OR(C81="",D81=""),"",IFERROR(C81*D81,""))</f>
        <v/>
      </c>
    </row>
    <row r="82">
      <c r="A82" s="27" t="n"/>
      <c r="B82" s="20" t="n"/>
      <c r="C82" s="23" t="n"/>
      <c r="D82" s="24" t="n"/>
      <c r="E82" s="7">
        <f>IF(OR(C82="",D82=""),"",IFERROR(C82*D82,""))</f>
        <v/>
      </c>
    </row>
    <row r="83">
      <c r="A83" s="27" t="n"/>
      <c r="B83" s="20" t="n"/>
      <c r="C83" s="23" t="n"/>
      <c r="D83" s="24" t="n"/>
      <c r="E83" s="7">
        <f>IF(OR(C83="",D83=""),"",IFERROR(C83*D83,""))</f>
        <v/>
      </c>
    </row>
    <row r="84">
      <c r="A84" s="27" t="n"/>
      <c r="B84" s="20" t="n"/>
      <c r="C84" s="23" t="n"/>
      <c r="D84" s="24" t="n"/>
      <c r="E84" s="7">
        <f>IF(OR(C84="",D84=""),"",IFERROR(C84*D84,""))</f>
        <v/>
      </c>
    </row>
    <row r="85">
      <c r="A85" s="27" t="n"/>
      <c r="B85" s="20" t="n"/>
      <c r="C85" s="23" t="n"/>
      <c r="D85" s="24" t="n"/>
      <c r="E85" s="7">
        <f>IF(OR(C85="",D85=""),"",IFERROR(C85*D85,""))</f>
        <v/>
      </c>
    </row>
    <row r="86">
      <c r="A86" s="27" t="n"/>
      <c r="B86" s="20" t="n"/>
      <c r="C86" s="23" t="n"/>
      <c r="D86" s="24" t="n"/>
      <c r="E86" s="7">
        <f>IF(OR(C86="",D86=""),"",IFERROR(C86*D86,""))</f>
        <v/>
      </c>
    </row>
    <row r="87">
      <c r="A87" s="27" t="n"/>
      <c r="B87" s="20" t="n"/>
      <c r="C87" s="23" t="n"/>
      <c r="D87" s="24" t="n"/>
      <c r="E87" s="7">
        <f>IF(OR(C87="",D87=""),"",IFERROR(C87*D87,""))</f>
        <v/>
      </c>
    </row>
    <row r="88">
      <c r="A88" s="27" t="n"/>
      <c r="B88" s="20" t="n"/>
      <c r="C88" s="23" t="n"/>
      <c r="D88" s="24" t="n"/>
      <c r="E88" s="7">
        <f>IF(OR(C88="",D88=""),"",IFERROR(C88*D88,""))</f>
        <v/>
      </c>
    </row>
    <row r="89">
      <c r="A89" s="27" t="n"/>
      <c r="B89" s="20" t="n"/>
      <c r="C89" s="23" t="n"/>
      <c r="D89" s="24" t="n"/>
      <c r="E89" s="7">
        <f>IF(OR(C89="",D89=""),"",IFERROR(C89*D89,""))</f>
        <v/>
      </c>
    </row>
    <row r="90">
      <c r="A90" s="27" t="n"/>
      <c r="B90" s="20" t="n"/>
      <c r="C90" s="23" t="n"/>
      <c r="D90" s="24" t="n"/>
      <c r="E90" s="7">
        <f>IF(OR(C90="",D90=""),"",IFERROR(C90*D90,""))</f>
        <v/>
      </c>
    </row>
    <row r="91">
      <c r="A91" s="27" t="n"/>
      <c r="B91" s="20" t="n"/>
      <c r="C91" s="23" t="n"/>
      <c r="D91" s="24" t="n"/>
      <c r="E91" s="7">
        <f>IF(OR(C91="",D91=""),"",IFERROR(C91*D91,""))</f>
        <v/>
      </c>
    </row>
    <row r="92">
      <c r="A92" s="27" t="n"/>
      <c r="B92" s="20" t="n"/>
      <c r="C92" s="23" t="n"/>
      <c r="D92" s="24" t="n"/>
      <c r="E92" s="7">
        <f>IF(OR(C92="",D92=""),"",IFERROR(C92*D92,""))</f>
        <v/>
      </c>
    </row>
    <row r="93">
      <c r="A93" s="27" t="n"/>
      <c r="B93" s="20" t="n"/>
      <c r="C93" s="23" t="n"/>
      <c r="D93" s="24" t="n"/>
      <c r="E93" s="7">
        <f>IF(OR(C93="",D93=""),"",IFERROR(C93*D93,""))</f>
        <v/>
      </c>
    </row>
    <row r="94">
      <c r="A94" s="27" t="n"/>
      <c r="B94" s="20" t="n"/>
      <c r="C94" s="23" t="n"/>
      <c r="D94" s="24" t="n"/>
      <c r="E94" s="7">
        <f>IF(OR(C94="",D94=""),"",IFERROR(C94*D94,""))</f>
        <v/>
      </c>
    </row>
    <row r="95">
      <c r="A95" s="27" t="n"/>
      <c r="B95" s="20" t="n"/>
      <c r="C95" s="23" t="n"/>
      <c r="D95" s="24" t="n"/>
      <c r="E95" s="7">
        <f>IF(OR(C95="",D95=""),"",IFERROR(C95*D95,""))</f>
        <v/>
      </c>
    </row>
    <row r="96">
      <c r="A96" s="27" t="n"/>
      <c r="B96" s="20" t="n"/>
      <c r="C96" s="23" t="n"/>
      <c r="D96" s="24" t="n"/>
      <c r="E96" s="7">
        <f>IF(OR(C96="",D96=""),"",IFERROR(C96*D96,""))</f>
        <v/>
      </c>
    </row>
    <row r="97">
      <c r="A97" s="27" t="n"/>
      <c r="B97" s="20" t="n"/>
      <c r="C97" s="23" t="n"/>
      <c r="D97" s="24" t="n"/>
      <c r="E97" s="7">
        <f>IF(OR(C97="",D97=""),"",IFERROR(C97*D97,""))</f>
        <v/>
      </c>
    </row>
    <row r="98">
      <c r="A98" s="27" t="n"/>
      <c r="B98" s="20" t="n"/>
      <c r="C98" s="23" t="n"/>
      <c r="D98" s="24" t="n"/>
      <c r="E98" s="7">
        <f>IF(OR(C98="",D98=""),"",IFERROR(C98*D98,""))</f>
        <v/>
      </c>
    </row>
    <row r="99">
      <c r="A99" s="27" t="n"/>
      <c r="B99" s="20" t="n"/>
      <c r="C99" s="23" t="n"/>
      <c r="D99" s="24" t="n"/>
      <c r="E99" s="7">
        <f>IF(OR(C99="",D99=""),"",IFERROR(C99*D99,""))</f>
        <v/>
      </c>
    </row>
    <row r="100">
      <c r="A100" s="27" t="n"/>
      <c r="B100" s="20" t="n"/>
      <c r="C100" s="23" t="n"/>
      <c r="D100" s="24" t="n"/>
      <c r="E100" s="7">
        <f>IF(OR(C100="",D100=""),"",IFERROR(C100*D100,""))</f>
        <v/>
      </c>
    </row>
    <row r="101">
      <c r="A101" s="27" t="n"/>
      <c r="B101" s="20" t="n"/>
      <c r="C101" s="23" t="n"/>
      <c r="D101" s="24" t="n"/>
      <c r="E101" s="7">
        <f>IF(OR(C101="",D101=""),"",IFERROR(C101*D101,""))</f>
        <v/>
      </c>
    </row>
    <row r="102">
      <c r="A102" s="27" t="n"/>
      <c r="B102" s="20" t="n"/>
      <c r="C102" s="23" t="n"/>
      <c r="D102" s="24" t="n"/>
      <c r="E102" s="7">
        <f>IF(OR(C102="",D102=""),"",IFERROR(C102*D102,""))</f>
        <v/>
      </c>
    </row>
    <row r="103">
      <c r="A103" s="27" t="n"/>
      <c r="B103" s="20" t="n"/>
      <c r="C103" s="23" t="n"/>
      <c r="D103" s="24" t="n"/>
      <c r="E103" s="7">
        <f>IF(OR(C103="",D103=""),"",IFERROR(C103*D103,""))</f>
        <v/>
      </c>
    </row>
    <row r="104">
      <c r="A104" s="27" t="n"/>
      <c r="B104" s="20" t="n"/>
      <c r="C104" s="23" t="n"/>
      <c r="D104" s="24" t="n"/>
      <c r="E104" s="7">
        <f>IF(OR(C104="",D104=""),"",IFERROR(C104*D104,""))</f>
        <v/>
      </c>
    </row>
    <row r="105">
      <c r="A105" s="27" t="n"/>
      <c r="B105" s="20" t="n"/>
      <c r="C105" s="23" t="n"/>
      <c r="D105" s="24" t="n"/>
      <c r="E105" s="7">
        <f>IF(OR(C105="",D105=""),"",IFERROR(C105*D105,""))</f>
        <v/>
      </c>
    </row>
    <row r="106">
      <c r="A106" s="27" t="n"/>
      <c r="B106" s="20" t="n"/>
      <c r="C106" s="23" t="n"/>
      <c r="D106" s="24" t="n"/>
      <c r="E106" s="7">
        <f>IF(OR(C106="",D106=""),"",IFERROR(C106*D106,""))</f>
        <v/>
      </c>
    </row>
    <row r="107">
      <c r="A107" s="27" t="n"/>
      <c r="B107" s="20" t="n"/>
      <c r="C107" s="23" t="n"/>
      <c r="D107" s="24" t="n"/>
      <c r="E107" s="7">
        <f>IF(OR(C107="",D107=""),"",IFERROR(C107*D107,""))</f>
        <v/>
      </c>
    </row>
    <row r="108">
      <c r="A108" s="27" t="n"/>
      <c r="B108" s="20" t="n"/>
      <c r="C108" s="23" t="n"/>
      <c r="D108" s="24" t="n"/>
      <c r="E108" s="7">
        <f>IF(OR(C108="",D108=""),"",IFERROR(C108*D108,""))</f>
        <v/>
      </c>
    </row>
    <row r="109">
      <c r="A109" s="27" t="n"/>
      <c r="B109" s="20" t="n"/>
      <c r="C109" s="23" t="n"/>
      <c r="D109" s="24" t="n"/>
      <c r="E109" s="7">
        <f>IF(OR(C109="",D109=""),"",IFERROR(C109*D109,""))</f>
        <v/>
      </c>
    </row>
    <row r="110">
      <c r="A110" s="27" t="n"/>
      <c r="B110" s="20" t="n"/>
      <c r="C110" s="23" t="n"/>
      <c r="D110" s="24" t="n"/>
      <c r="E110" s="7">
        <f>IF(OR(C110="",D110=""),"",IFERROR(C110*D110,""))</f>
        <v/>
      </c>
    </row>
    <row r="111">
      <c r="A111" s="27" t="n"/>
      <c r="B111" s="20" t="n"/>
      <c r="C111" s="23" t="n"/>
      <c r="D111" s="24" t="n"/>
      <c r="E111" s="7">
        <f>IF(OR(C111="",D111=""),"",IFERROR(C111*D111,""))</f>
        <v/>
      </c>
    </row>
    <row r="112">
      <c r="A112" s="27" t="n"/>
      <c r="B112" s="20" t="n"/>
      <c r="C112" s="23" t="n"/>
      <c r="D112" s="24" t="n"/>
      <c r="E112" s="7">
        <f>IF(OR(C112="",D112=""),"",IFERROR(C112*D112,""))</f>
        <v/>
      </c>
    </row>
    <row r="113">
      <c r="A113" s="27" t="n"/>
      <c r="B113" s="20" t="n"/>
      <c r="C113" s="23" t="n"/>
      <c r="D113" s="24" t="n"/>
      <c r="E113" s="7">
        <f>IF(OR(C113="",D113=""),"",IFERROR(C113*D113,""))</f>
        <v/>
      </c>
    </row>
    <row r="114">
      <c r="A114" s="27" t="n"/>
      <c r="B114" s="20" t="n"/>
      <c r="C114" s="23" t="n"/>
      <c r="D114" s="24" t="n"/>
      <c r="E114" s="7">
        <f>IF(OR(C114="",D114=""),"",IFERROR(C114*D114,""))</f>
        <v/>
      </c>
    </row>
    <row r="115">
      <c r="A115" s="27" t="n"/>
      <c r="B115" s="20" t="n"/>
      <c r="C115" s="23" t="n"/>
      <c r="D115" s="24" t="n"/>
      <c r="E115" s="7">
        <f>IF(OR(C115="",D115=""),"",IFERROR(C115*D115,""))</f>
        <v/>
      </c>
    </row>
    <row r="116">
      <c r="A116" s="27" t="n"/>
      <c r="B116" s="20" t="n"/>
      <c r="C116" s="23" t="n"/>
      <c r="D116" s="24" t="n"/>
      <c r="E116" s="7">
        <f>IF(OR(C116="",D116=""),"",IFERROR(C116*D116,""))</f>
        <v/>
      </c>
    </row>
    <row r="117">
      <c r="A117" s="27" t="n"/>
      <c r="B117" s="20" t="n"/>
      <c r="C117" s="23" t="n"/>
      <c r="D117" s="24" t="n"/>
      <c r="E117" s="7">
        <f>IF(OR(C117="",D117=""),"",IFERROR(C117*D117,""))</f>
        <v/>
      </c>
    </row>
    <row r="118">
      <c r="A118" s="27" t="n"/>
      <c r="B118" s="20" t="n"/>
      <c r="C118" s="23" t="n"/>
      <c r="D118" s="24" t="n"/>
      <c r="E118" s="7">
        <f>IF(OR(C118="",D118=""),"",IFERROR(C118*D118,""))</f>
        <v/>
      </c>
    </row>
    <row r="119">
      <c r="A119" s="27" t="n"/>
      <c r="B119" s="20" t="n"/>
      <c r="C119" s="23" t="n"/>
      <c r="D119" s="24" t="n"/>
      <c r="E119" s="7">
        <f>IF(OR(C119="",D119=""),"",IFERROR(C119*D119,""))</f>
        <v/>
      </c>
    </row>
    <row r="120">
      <c r="A120" s="27" t="n"/>
      <c r="B120" s="20" t="n"/>
      <c r="C120" s="23" t="n"/>
      <c r="D120" s="24" t="n"/>
      <c r="E120" s="7">
        <f>IF(OR(C120="",D120=""),"",IFERROR(C120*D120,""))</f>
        <v/>
      </c>
    </row>
    <row r="121">
      <c r="A121" s="27" t="n"/>
      <c r="B121" s="20" t="n"/>
      <c r="C121" s="23" t="n"/>
      <c r="D121" s="24" t="n"/>
      <c r="E121" s="7">
        <f>IF(OR(C121="",D121=""),"",IFERROR(C121*D121,""))</f>
        <v/>
      </c>
    </row>
    <row r="122">
      <c r="A122" s="27" t="n"/>
      <c r="B122" s="20" t="n"/>
      <c r="C122" s="23" t="n"/>
      <c r="D122" s="24" t="n"/>
      <c r="E122" s="7">
        <f>IF(OR(C122="",D122=""),"",IFERROR(C122*D122,""))</f>
        <v/>
      </c>
    </row>
    <row r="123">
      <c r="A123" s="27" t="n"/>
      <c r="B123" s="20" t="n"/>
      <c r="C123" s="23" t="n"/>
      <c r="D123" s="24" t="n"/>
      <c r="E123" s="7">
        <f>IF(OR(C123="",D123=""),"",IFERROR(C123*D123,""))</f>
        <v/>
      </c>
    </row>
    <row r="124">
      <c r="A124" s="27" t="n"/>
      <c r="B124" s="20" t="n"/>
      <c r="C124" s="23" t="n"/>
      <c r="D124" s="24" t="n"/>
      <c r="E124" s="7">
        <f>IF(OR(C124="",D124=""),"",IFERROR(C124*D124,""))</f>
        <v/>
      </c>
    </row>
    <row r="125">
      <c r="A125" s="27" t="n"/>
      <c r="B125" s="20" t="n"/>
      <c r="C125" s="23" t="n"/>
      <c r="D125" s="24" t="n"/>
      <c r="E125" s="7">
        <f>IF(OR(C125="",D125=""),"",IFERROR(C125*D125,""))</f>
        <v/>
      </c>
    </row>
    <row r="126">
      <c r="A126" s="27" t="n"/>
      <c r="B126" s="20" t="n"/>
      <c r="C126" s="23" t="n"/>
      <c r="D126" s="24" t="n"/>
      <c r="E126" s="7">
        <f>IF(OR(C126="",D126=""),"",IFERROR(C126*D126,""))</f>
        <v/>
      </c>
    </row>
    <row r="127">
      <c r="A127" s="27" t="n"/>
      <c r="B127" s="20" t="n"/>
      <c r="C127" s="23" t="n"/>
      <c r="D127" s="24" t="n"/>
      <c r="E127" s="7">
        <f>IF(OR(C127="",D127=""),"",IFERROR(C127*D127,""))</f>
        <v/>
      </c>
    </row>
    <row r="128">
      <c r="A128" s="27" t="n"/>
      <c r="B128" s="20" t="n"/>
      <c r="C128" s="23" t="n"/>
      <c r="D128" s="24" t="n"/>
      <c r="E128" s="7">
        <f>IF(OR(C128="",D128=""),"",IFERROR(C128*D128,""))</f>
        <v/>
      </c>
    </row>
    <row r="129">
      <c r="A129" s="27" t="n"/>
      <c r="B129" s="20" t="n"/>
      <c r="C129" s="23" t="n"/>
      <c r="D129" s="24" t="n"/>
      <c r="E129" s="7">
        <f>IF(OR(C129="",D129=""),"",IFERROR(C129*D129,""))</f>
        <v/>
      </c>
    </row>
    <row r="130">
      <c r="A130" s="27" t="n"/>
      <c r="B130" s="20" t="n"/>
      <c r="C130" s="23" t="n"/>
      <c r="D130" s="24" t="n"/>
      <c r="E130" s="7">
        <f>IF(OR(C130="",D130=""),"",IFERROR(C130*D130,""))</f>
        <v/>
      </c>
    </row>
    <row r="131">
      <c r="A131" s="27" t="n"/>
      <c r="B131" s="20" t="n"/>
      <c r="C131" s="23" t="n"/>
      <c r="D131" s="24" t="n"/>
      <c r="E131" s="7">
        <f>IF(OR(C131="",D131=""),"",IFERROR(C131*D131,""))</f>
        <v/>
      </c>
    </row>
    <row r="132">
      <c r="A132" s="27" t="n"/>
      <c r="B132" s="20" t="n"/>
      <c r="C132" s="23" t="n"/>
      <c r="D132" s="24" t="n"/>
      <c r="E132" s="7">
        <f>IF(OR(C132="",D132=""),"",IFERROR(C132*D132,""))</f>
        <v/>
      </c>
    </row>
    <row r="133">
      <c r="A133" s="27" t="n"/>
      <c r="B133" s="20" t="n"/>
      <c r="C133" s="23" t="n"/>
      <c r="D133" s="24" t="n"/>
      <c r="E133" s="7">
        <f>IF(OR(C133="",D133=""),"",IFERROR(C133*D133,""))</f>
        <v/>
      </c>
    </row>
    <row r="134">
      <c r="A134" s="27" t="n"/>
      <c r="B134" s="20" t="n"/>
      <c r="C134" s="23" t="n"/>
      <c r="D134" s="24" t="n"/>
      <c r="E134" s="7">
        <f>IF(OR(C134="",D134=""),"",IFERROR(C134*D134,""))</f>
        <v/>
      </c>
    </row>
    <row r="135">
      <c r="A135" s="27" t="n"/>
      <c r="B135" s="20" t="n"/>
      <c r="C135" s="23" t="n"/>
      <c r="D135" s="24" t="n"/>
      <c r="E135" s="7">
        <f>IF(OR(C135="",D135=""),"",IFERROR(C135*D135,""))</f>
        <v/>
      </c>
    </row>
    <row r="136">
      <c r="A136" s="27" t="n"/>
      <c r="B136" s="20" t="n"/>
      <c r="C136" s="23" t="n"/>
      <c r="D136" s="24" t="n"/>
      <c r="E136" s="7">
        <f>IF(OR(C136="",D136=""),"",IFERROR(C136*D136,""))</f>
        <v/>
      </c>
    </row>
    <row r="137">
      <c r="A137" s="27" t="n"/>
      <c r="B137" s="20" t="n"/>
      <c r="C137" s="23" t="n"/>
      <c r="D137" s="24" t="n"/>
      <c r="E137" s="7">
        <f>IF(OR(C137="",D137=""),"",IFERROR(C137*D137,""))</f>
        <v/>
      </c>
    </row>
    <row r="138">
      <c r="A138" s="27" t="n"/>
      <c r="B138" s="20" t="n"/>
      <c r="C138" s="23" t="n"/>
      <c r="D138" s="24" t="n"/>
      <c r="E138" s="7">
        <f>IF(OR(C138="",D138=""),"",IFERROR(C138*D138,""))</f>
        <v/>
      </c>
    </row>
    <row r="139">
      <c r="A139" s="27" t="n"/>
      <c r="B139" s="20" t="n"/>
      <c r="C139" s="23" t="n"/>
      <c r="D139" s="24" t="n"/>
      <c r="E139" s="7">
        <f>IF(OR(C139="",D139=""),"",IFERROR(C139*D139,""))</f>
        <v/>
      </c>
    </row>
    <row r="140">
      <c r="A140" s="27" t="n"/>
      <c r="B140" s="20" t="n"/>
      <c r="C140" s="23" t="n"/>
      <c r="D140" s="24" t="n"/>
      <c r="E140" s="7">
        <f>IF(OR(C140="",D140=""),"",IFERROR(C140*D140,""))</f>
        <v/>
      </c>
    </row>
    <row r="141">
      <c r="A141" s="27" t="n"/>
      <c r="B141" s="20" t="n"/>
      <c r="C141" s="23" t="n"/>
      <c r="D141" s="24" t="n"/>
      <c r="E141" s="7">
        <f>IF(OR(C141="",D141=""),"",IFERROR(C141*D141,""))</f>
        <v/>
      </c>
    </row>
    <row r="142">
      <c r="A142" s="27" t="n"/>
      <c r="B142" s="20" t="n"/>
      <c r="C142" s="23" t="n"/>
      <c r="D142" s="24" t="n"/>
      <c r="E142" s="7">
        <f>IF(OR(C142="",D142=""),"",IFERROR(C142*D142,""))</f>
        <v/>
      </c>
    </row>
    <row r="143">
      <c r="A143" s="27" t="n"/>
      <c r="B143" s="20" t="n"/>
      <c r="C143" s="23" t="n"/>
      <c r="D143" s="24" t="n"/>
      <c r="E143" s="7">
        <f>IF(OR(C143="",D143=""),"",IFERROR(C143*D143,""))</f>
        <v/>
      </c>
    </row>
    <row r="144">
      <c r="A144" s="27" t="n"/>
      <c r="B144" s="20" t="n"/>
      <c r="C144" s="23" t="n"/>
      <c r="D144" s="24" t="n"/>
      <c r="E144" s="7">
        <f>IF(OR(C144="",D144=""),"",IFERROR(C144*D144,""))</f>
        <v/>
      </c>
    </row>
    <row r="145">
      <c r="A145" s="27" t="n"/>
      <c r="B145" s="20" t="n"/>
      <c r="C145" s="23" t="n"/>
      <c r="D145" s="24" t="n"/>
      <c r="E145" s="7">
        <f>IF(OR(C145="",D145=""),"",IFERROR(C145*D145,""))</f>
        <v/>
      </c>
    </row>
    <row r="146">
      <c r="A146" s="27" t="n"/>
      <c r="B146" s="20" t="n"/>
      <c r="C146" s="23" t="n"/>
      <c r="D146" s="24" t="n"/>
      <c r="E146" s="7">
        <f>IF(OR(C146="",D146=""),"",IFERROR(C146*D146,""))</f>
        <v/>
      </c>
    </row>
    <row r="147">
      <c r="A147" s="27" t="n"/>
      <c r="B147" s="20" t="n"/>
      <c r="C147" s="23" t="n"/>
      <c r="D147" s="24" t="n"/>
      <c r="E147" s="7">
        <f>IF(OR(C147="",D147=""),"",IFERROR(C147*D147,""))</f>
        <v/>
      </c>
    </row>
    <row r="148">
      <c r="A148" s="27" t="n"/>
      <c r="B148" s="20" t="n"/>
      <c r="C148" s="23" t="n"/>
      <c r="D148" s="24" t="n"/>
      <c r="E148" s="7">
        <f>IF(OR(C148="",D148=""),"",IFERROR(C148*D148,""))</f>
        <v/>
      </c>
    </row>
    <row r="149">
      <c r="A149" s="27" t="n"/>
      <c r="B149" s="20" t="n"/>
      <c r="C149" s="23" t="n"/>
      <c r="D149" s="24" t="n"/>
      <c r="E149" s="7">
        <f>IF(OR(C149="",D149=""),"",IFERROR(C149*D149,""))</f>
        <v/>
      </c>
    </row>
    <row r="150">
      <c r="A150" s="27" t="n"/>
      <c r="B150" s="20" t="n"/>
      <c r="C150" s="23" t="n"/>
      <c r="D150" s="24" t="n"/>
      <c r="E150" s="7">
        <f>IF(OR(C150="",D150=""),"",IFERROR(C150*D150,""))</f>
        <v/>
      </c>
    </row>
    <row r="151">
      <c r="A151" s="27" t="n"/>
      <c r="B151" s="20" t="n"/>
      <c r="C151" s="23" t="n"/>
      <c r="D151" s="24" t="n"/>
      <c r="E151" s="7">
        <f>IF(OR(C151="",D151=""),"",IFERROR(C151*D151,""))</f>
        <v/>
      </c>
    </row>
    <row r="152">
      <c r="A152" s="27" t="n"/>
      <c r="B152" s="20" t="n"/>
      <c r="C152" s="23" t="n"/>
      <c r="D152" s="24" t="n"/>
      <c r="E152" s="7">
        <f>IF(OR(C152="",D152=""),"",IFERROR(C152*D152,""))</f>
        <v/>
      </c>
    </row>
    <row r="153">
      <c r="A153" s="27" t="n"/>
      <c r="B153" s="20" t="n"/>
      <c r="C153" s="23" t="n"/>
      <c r="D153" s="24" t="n"/>
      <c r="E153" s="7">
        <f>IF(OR(C153="",D153=""),"",IFERROR(C153*D153,""))</f>
        <v/>
      </c>
    </row>
    <row r="154">
      <c r="A154" s="27" t="n"/>
      <c r="B154" s="20" t="n"/>
      <c r="C154" s="23" t="n"/>
      <c r="D154" s="24" t="n"/>
      <c r="E154" s="7">
        <f>IF(OR(C154="",D154=""),"",IFERROR(C154*D154,""))</f>
        <v/>
      </c>
    </row>
    <row r="155">
      <c r="A155" s="27" t="n"/>
      <c r="B155" s="20" t="n"/>
      <c r="C155" s="23" t="n"/>
      <c r="D155" s="24" t="n"/>
      <c r="E155" s="7">
        <f>IF(OR(C155="",D155=""),"",IFERROR(C155*D155,""))</f>
        <v/>
      </c>
    </row>
    <row r="156">
      <c r="A156" s="27" t="n"/>
      <c r="B156" s="20" t="n"/>
      <c r="C156" s="23" t="n"/>
      <c r="D156" s="24" t="n"/>
      <c r="E156" s="7">
        <f>IF(OR(C156="",D156=""),"",IFERROR(C156*D156,""))</f>
        <v/>
      </c>
    </row>
    <row r="157">
      <c r="A157" s="27" t="n"/>
      <c r="B157" s="20" t="n"/>
      <c r="C157" s="23" t="n"/>
      <c r="D157" s="24" t="n"/>
      <c r="E157" s="7">
        <f>IF(OR(C157="",D157=""),"",IFERROR(C157*D157,""))</f>
        <v/>
      </c>
    </row>
    <row r="158">
      <c r="A158" s="27" t="n"/>
      <c r="B158" s="20" t="n"/>
      <c r="C158" s="23" t="n"/>
      <c r="D158" s="24" t="n"/>
      <c r="E158" s="7">
        <f>IF(OR(C158="",D158=""),"",IFERROR(C158*D158,""))</f>
        <v/>
      </c>
    </row>
    <row r="159">
      <c r="A159" s="27" t="n"/>
      <c r="B159" s="20" t="n"/>
      <c r="C159" s="23" t="n"/>
      <c r="D159" s="24" t="n"/>
      <c r="E159" s="7">
        <f>IF(OR(C159="",D159=""),"",IFERROR(C159*D159,""))</f>
        <v/>
      </c>
    </row>
    <row r="160">
      <c r="A160" s="27" t="n"/>
      <c r="B160" s="20" t="n"/>
      <c r="C160" s="23" t="n"/>
      <c r="D160" s="24" t="n"/>
      <c r="E160" s="7">
        <f>IF(OR(C160="",D160=""),"",IFERROR(C160*D160,""))</f>
        <v/>
      </c>
    </row>
    <row r="161">
      <c r="A161" s="27" t="n"/>
      <c r="B161" s="20" t="n"/>
      <c r="C161" s="23" t="n"/>
      <c r="D161" s="24" t="n"/>
      <c r="E161" s="7">
        <f>IF(OR(C161="",D161=""),"",IFERROR(C161*D161,""))</f>
        <v/>
      </c>
    </row>
    <row r="162">
      <c r="A162" s="27" t="n"/>
      <c r="B162" s="20" t="n"/>
      <c r="C162" s="23" t="n"/>
      <c r="D162" s="24" t="n"/>
      <c r="E162" s="7">
        <f>IF(OR(C162="",D162=""),"",IFERROR(C162*D162,""))</f>
        <v/>
      </c>
    </row>
    <row r="163">
      <c r="A163" s="27" t="n"/>
      <c r="B163" s="20" t="n"/>
      <c r="C163" s="23" t="n"/>
      <c r="D163" s="24" t="n"/>
      <c r="E163" s="7">
        <f>IF(OR(C163="",D163=""),"",IFERROR(C163*D163,""))</f>
        <v/>
      </c>
    </row>
    <row r="164">
      <c r="A164" s="27" t="n"/>
      <c r="B164" s="20" t="n"/>
      <c r="C164" s="23" t="n"/>
      <c r="D164" s="24" t="n"/>
      <c r="E164" s="7">
        <f>IF(OR(C164="",D164=""),"",IFERROR(C164*D164,""))</f>
        <v/>
      </c>
    </row>
    <row r="165">
      <c r="A165" s="27" t="n"/>
      <c r="B165" s="20" t="n"/>
      <c r="C165" s="23" t="n"/>
      <c r="D165" s="24" t="n"/>
      <c r="E165" s="7">
        <f>IF(OR(C165="",D165=""),"",IFERROR(C165*D165,""))</f>
        <v/>
      </c>
    </row>
    <row r="166">
      <c r="A166" s="27" t="n"/>
      <c r="B166" s="20" t="n"/>
      <c r="C166" s="23" t="n"/>
      <c r="D166" s="24" t="n"/>
      <c r="E166" s="7">
        <f>IF(OR(C166="",D166=""),"",IFERROR(C166*D166,""))</f>
        <v/>
      </c>
    </row>
    <row r="167">
      <c r="A167" s="27" t="n"/>
      <c r="B167" s="20" t="n"/>
      <c r="C167" s="23" t="n"/>
      <c r="D167" s="24" t="n"/>
      <c r="E167" s="7">
        <f>IF(OR(C167="",D167=""),"",IFERROR(C167*D167,""))</f>
        <v/>
      </c>
    </row>
    <row r="168">
      <c r="A168" s="27" t="n"/>
      <c r="B168" s="20" t="n"/>
      <c r="C168" s="23" t="n"/>
      <c r="D168" s="24" t="n"/>
      <c r="E168" s="7">
        <f>IF(OR(C168="",D168=""),"",IFERROR(C168*D168,""))</f>
        <v/>
      </c>
    </row>
    <row r="169">
      <c r="A169" s="27" t="n"/>
      <c r="B169" s="20" t="n"/>
      <c r="C169" s="23" t="n"/>
      <c r="D169" s="24" t="n"/>
      <c r="E169" s="7">
        <f>IF(OR(C169="",D169=""),"",IFERROR(C169*D169,""))</f>
        <v/>
      </c>
    </row>
    <row r="170">
      <c r="A170" s="27" t="n"/>
      <c r="B170" s="20" t="n"/>
      <c r="C170" s="23" t="n"/>
      <c r="D170" s="24" t="n"/>
      <c r="E170" s="7">
        <f>IF(OR(C170="",D170=""),"",IFERROR(C170*D170,""))</f>
        <v/>
      </c>
    </row>
    <row r="171">
      <c r="A171" s="27" t="n"/>
      <c r="B171" s="20" t="n"/>
      <c r="C171" s="23" t="n"/>
      <c r="D171" s="24" t="n"/>
      <c r="E171" s="7">
        <f>IF(OR(C171="",D171=""),"",IFERROR(C171*D171,""))</f>
        <v/>
      </c>
    </row>
    <row r="172">
      <c r="A172" s="27" t="n"/>
      <c r="B172" s="20" t="n"/>
      <c r="C172" s="23" t="n"/>
      <c r="D172" s="24" t="n"/>
      <c r="E172" s="7">
        <f>IF(OR(C172="",D172=""),"",IFERROR(C172*D172,""))</f>
        <v/>
      </c>
    </row>
    <row r="173">
      <c r="A173" s="27" t="n"/>
      <c r="B173" s="20" t="n"/>
      <c r="C173" s="23" t="n"/>
      <c r="D173" s="24" t="n"/>
      <c r="E173" s="7">
        <f>IF(OR(C173="",D173=""),"",IFERROR(C173*D173,""))</f>
        <v/>
      </c>
    </row>
    <row r="174">
      <c r="A174" s="27" t="n"/>
      <c r="B174" s="20" t="n"/>
      <c r="C174" s="23" t="n"/>
      <c r="D174" s="24" t="n"/>
      <c r="E174" s="7">
        <f>IF(OR(C174="",D174=""),"",IFERROR(C174*D174,""))</f>
        <v/>
      </c>
    </row>
    <row r="175">
      <c r="A175" s="27" t="n"/>
      <c r="B175" s="20" t="n"/>
      <c r="C175" s="23" t="n"/>
      <c r="D175" s="24" t="n"/>
      <c r="E175" s="7">
        <f>IF(OR(C175="",D175=""),"",IFERROR(C175*D175,""))</f>
        <v/>
      </c>
    </row>
    <row r="176">
      <c r="A176" s="27" t="n"/>
      <c r="B176" s="20" t="n"/>
      <c r="C176" s="23" t="n"/>
      <c r="D176" s="24" t="n"/>
      <c r="E176" s="7">
        <f>IF(OR(C176="",D176=""),"",IFERROR(C176*D176,""))</f>
        <v/>
      </c>
    </row>
    <row r="177">
      <c r="A177" s="27" t="n"/>
      <c r="B177" s="20" t="n"/>
      <c r="C177" s="23" t="n"/>
      <c r="D177" s="24" t="n"/>
      <c r="E177" s="7">
        <f>IF(OR(C177="",D177=""),"",IFERROR(C177*D177,""))</f>
        <v/>
      </c>
    </row>
    <row r="178">
      <c r="A178" s="27" t="n"/>
      <c r="B178" s="20" t="n"/>
      <c r="C178" s="23" t="n"/>
      <c r="D178" s="24" t="n"/>
      <c r="E178" s="7">
        <f>IF(OR(C178="",D178=""),"",IFERROR(C178*D178,""))</f>
        <v/>
      </c>
    </row>
    <row r="179">
      <c r="A179" s="27" t="n"/>
      <c r="B179" s="20" t="n"/>
      <c r="C179" s="23" t="n"/>
      <c r="D179" s="24" t="n"/>
      <c r="E179" s="7">
        <f>IF(OR(C179="",D179=""),"",IFERROR(C179*D179,""))</f>
        <v/>
      </c>
    </row>
    <row r="180">
      <c r="A180" s="27" t="n"/>
      <c r="B180" s="20" t="n"/>
      <c r="C180" s="23" t="n"/>
      <c r="D180" s="24" t="n"/>
      <c r="E180" s="7">
        <f>IF(OR(C180="",D180=""),"",IFERROR(C180*D180,""))</f>
        <v/>
      </c>
    </row>
    <row r="181">
      <c r="A181" s="27" t="n"/>
      <c r="B181" s="20" t="n"/>
      <c r="C181" s="23" t="n"/>
      <c r="D181" s="24" t="n"/>
      <c r="E181" s="7">
        <f>IF(OR(C181="",D181=""),"",IFERROR(C181*D181,""))</f>
        <v/>
      </c>
    </row>
    <row r="182">
      <c r="A182" s="27" t="n"/>
      <c r="B182" s="20" t="n"/>
      <c r="C182" s="23" t="n"/>
      <c r="D182" s="24" t="n"/>
      <c r="E182" s="7">
        <f>IF(OR(C182="",D182=""),"",IFERROR(C182*D182,""))</f>
        <v/>
      </c>
    </row>
    <row r="183">
      <c r="A183" s="27" t="n"/>
      <c r="B183" s="20" t="n"/>
      <c r="C183" s="23" t="n"/>
      <c r="D183" s="24" t="n"/>
      <c r="E183" s="7">
        <f>IF(OR(C183="",D183=""),"",IFERROR(C183*D183,""))</f>
        <v/>
      </c>
    </row>
    <row r="184">
      <c r="A184" s="27" t="n"/>
      <c r="B184" s="20" t="n"/>
      <c r="C184" s="23" t="n"/>
      <c r="D184" s="24" t="n"/>
      <c r="E184" s="7">
        <f>IF(OR(C184="",D184=""),"",IFERROR(C184*D184,""))</f>
        <v/>
      </c>
    </row>
    <row r="185">
      <c r="A185" s="27" t="n"/>
      <c r="B185" s="20" t="n"/>
      <c r="C185" s="23" t="n"/>
      <c r="D185" s="24" t="n"/>
      <c r="E185" s="7">
        <f>IF(OR(C185="",D185=""),"",IFERROR(C185*D185,""))</f>
        <v/>
      </c>
    </row>
    <row r="186">
      <c r="A186" s="27" t="n"/>
      <c r="B186" s="20" t="n"/>
      <c r="C186" s="23" t="n"/>
      <c r="D186" s="24" t="n"/>
      <c r="E186" s="7">
        <f>IF(OR(C186="",D186=""),"",IFERROR(C186*D186,""))</f>
        <v/>
      </c>
    </row>
    <row r="187">
      <c r="A187" s="27" t="n"/>
      <c r="B187" s="20" t="n"/>
      <c r="C187" s="23" t="n"/>
      <c r="D187" s="24" t="n"/>
      <c r="E187" s="7">
        <f>IF(OR(C187="",D187=""),"",IFERROR(C187*D187,""))</f>
        <v/>
      </c>
    </row>
    <row r="188">
      <c r="A188" s="27" t="n"/>
      <c r="B188" s="20" t="n"/>
      <c r="C188" s="23" t="n"/>
      <c r="D188" s="24" t="n"/>
      <c r="E188" s="7">
        <f>IF(OR(C188="",D188=""),"",IFERROR(C188*D188,""))</f>
        <v/>
      </c>
    </row>
    <row r="189">
      <c r="A189" s="27" t="n"/>
      <c r="B189" s="20" t="n"/>
      <c r="C189" s="23" t="n"/>
      <c r="D189" s="24" t="n"/>
      <c r="E189" s="7">
        <f>IF(OR(C189="",D189=""),"",IFERROR(C189*D189,""))</f>
        <v/>
      </c>
    </row>
    <row r="190">
      <c r="A190" s="27" t="n"/>
      <c r="B190" s="20" t="n"/>
      <c r="C190" s="23" t="n"/>
      <c r="D190" s="24" t="n"/>
      <c r="E190" s="7">
        <f>IF(OR(C190="",D190=""),"",IFERROR(C190*D190,""))</f>
        <v/>
      </c>
    </row>
    <row r="191">
      <c r="A191" s="27" t="n"/>
      <c r="B191" s="20" t="n"/>
      <c r="C191" s="23" t="n"/>
      <c r="D191" s="24" t="n"/>
      <c r="E191" s="7">
        <f>IF(OR(C191="",D191=""),"",IFERROR(C191*D191,""))</f>
        <v/>
      </c>
    </row>
    <row r="192">
      <c r="A192" s="27" t="n"/>
      <c r="B192" s="20" t="n"/>
      <c r="C192" s="23" t="n"/>
      <c r="D192" s="24" t="n"/>
      <c r="E192" s="7">
        <f>IF(OR(C192="",D192=""),"",IFERROR(C192*D192,""))</f>
        <v/>
      </c>
    </row>
    <row r="193">
      <c r="A193" s="27" t="n"/>
      <c r="B193" s="20" t="n"/>
      <c r="C193" s="23" t="n"/>
      <c r="D193" s="24" t="n"/>
      <c r="E193" s="7">
        <f>IF(OR(C193="",D193=""),"",IFERROR(C193*D193,""))</f>
        <v/>
      </c>
    </row>
    <row r="194">
      <c r="A194" s="27" t="n"/>
      <c r="B194" s="20" t="n"/>
      <c r="C194" s="23" t="n"/>
      <c r="D194" s="24" t="n"/>
      <c r="E194" s="7">
        <f>IF(OR(C194="",D194=""),"",IFERROR(C194*D194,""))</f>
        <v/>
      </c>
    </row>
    <row r="195">
      <c r="A195" s="27" t="n"/>
      <c r="B195" s="20" t="n"/>
      <c r="C195" s="23" t="n"/>
      <c r="D195" s="24" t="n"/>
      <c r="E195" s="7">
        <f>IF(OR(C195="",D195=""),"",IFERROR(C195*D195,""))</f>
        <v/>
      </c>
    </row>
    <row r="196">
      <c r="A196" s="27" t="n"/>
      <c r="B196" s="20" t="n"/>
      <c r="C196" s="23" t="n"/>
      <c r="D196" s="24" t="n"/>
      <c r="E196" s="7">
        <f>IF(OR(C196="",D196=""),"",IFERROR(C196*D196,""))</f>
        <v/>
      </c>
    </row>
    <row r="197">
      <c r="A197" s="27" t="n"/>
      <c r="B197" s="20" t="n"/>
      <c r="C197" s="23" t="n"/>
      <c r="D197" s="24" t="n"/>
      <c r="E197" s="7">
        <f>IF(OR(C197="",D197=""),"",IFERROR(C197*D197,""))</f>
        <v/>
      </c>
    </row>
    <row r="198">
      <c r="A198" s="27" t="n"/>
      <c r="B198" s="20" t="n"/>
      <c r="C198" s="23" t="n"/>
      <c r="D198" s="24" t="n"/>
      <c r="E198" s="7">
        <f>IF(OR(C198="",D198=""),"",IFERROR(C198*D198,""))</f>
        <v/>
      </c>
    </row>
    <row r="199">
      <c r="A199" s="27" t="n"/>
      <c r="B199" s="20" t="n"/>
      <c r="C199" s="23" t="n"/>
      <c r="D199" s="24" t="n"/>
      <c r="E199" s="7">
        <f>IF(OR(C199="",D199=""),"",IFERROR(C199*D199,""))</f>
        <v/>
      </c>
    </row>
    <row r="200">
      <c r="A200" s="27" t="n"/>
      <c r="B200" s="20" t="n"/>
      <c r="C200" s="23" t="n"/>
      <c r="D200" s="24" t="n"/>
      <c r="E200" s="7">
        <f>IF(OR(C200="",D200=""),"",IFERROR(C200*D200,""))</f>
        <v/>
      </c>
    </row>
    <row r="201">
      <c r="A201" s="27" t="n"/>
      <c r="B201" s="20" t="n"/>
      <c r="C201" s="23" t="n"/>
      <c r="D201" s="24" t="n"/>
      <c r="E201" s="7">
        <f>IF(OR(C201="",D201=""),"",IFERROR(C201*D201,""))</f>
        <v/>
      </c>
    </row>
    <row r="202">
      <c r="A202" s="27" t="n"/>
      <c r="B202" s="20" t="n"/>
      <c r="C202" s="23" t="n"/>
      <c r="D202" s="24" t="n"/>
      <c r="E202" s="7">
        <f>IF(OR(C202="",D202=""),"",IFERROR(C202*D202,""))</f>
        <v/>
      </c>
    </row>
    <row r="203">
      <c r="A203" s="27" t="n"/>
      <c r="B203" s="20" t="n"/>
      <c r="C203" s="23" t="n"/>
      <c r="D203" s="24" t="n"/>
      <c r="E203" s="7">
        <f>IF(OR(C203="",D203=""),"",IFERROR(C203*D203,""))</f>
        <v/>
      </c>
    </row>
    <row r="204">
      <c r="A204" s="27" t="n"/>
      <c r="B204" s="20" t="n"/>
      <c r="C204" s="23" t="n"/>
      <c r="D204" s="24" t="n"/>
      <c r="E204" s="7">
        <f>IF(OR(C204="",D204=""),"",IFERROR(C204*D204,""))</f>
        <v/>
      </c>
    </row>
    <row r="205">
      <c r="A205" s="27" t="n"/>
      <c r="B205" s="20" t="n"/>
      <c r="C205" s="23" t="n"/>
      <c r="D205" s="24" t="n"/>
      <c r="E205" s="7">
        <f>IF(OR(C205="",D205=""),"",IFERROR(C205*D205,""))</f>
        <v/>
      </c>
    </row>
    <row r="206">
      <c r="A206" s="27" t="n"/>
      <c r="B206" s="20" t="n"/>
      <c r="C206" s="23" t="n"/>
      <c r="D206" s="24" t="n"/>
      <c r="E206" s="7">
        <f>IF(OR(C206="",D206=""),"",IFERROR(C206*D206,""))</f>
        <v/>
      </c>
    </row>
    <row r="207">
      <c r="A207" s="27" t="n"/>
      <c r="B207" s="20" t="n"/>
      <c r="C207" s="23" t="n"/>
      <c r="D207" s="24" t="n"/>
      <c r="E207" s="7">
        <f>IF(OR(C207="",D207=""),"",IFERROR(C207*D207,""))</f>
        <v/>
      </c>
    </row>
    <row r="208">
      <c r="A208" s="27" t="n"/>
      <c r="B208" s="20" t="n"/>
      <c r="C208" s="23" t="n"/>
      <c r="D208" s="24" t="n"/>
      <c r="E208" s="7">
        <f>IF(OR(C208="",D208=""),"",IFERROR(C208*D208,""))</f>
        <v/>
      </c>
    </row>
    <row r="209">
      <c r="A209" s="27" t="n"/>
      <c r="B209" s="20" t="n"/>
      <c r="C209" s="23" t="n"/>
      <c r="D209" s="24" t="n"/>
      <c r="E209" s="7">
        <f>IF(OR(C209="",D209=""),"",IFERROR(C209*D209,""))</f>
        <v/>
      </c>
    </row>
    <row r="210">
      <c r="A210" s="27" t="n"/>
      <c r="B210" s="20" t="n"/>
      <c r="C210" s="23" t="n"/>
      <c r="D210" s="24" t="n"/>
      <c r="E210" s="7">
        <f>IF(OR(C210="",D210=""),"",IFERROR(C210*D210,""))</f>
        <v/>
      </c>
    </row>
    <row r="211">
      <c r="A211" s="27" t="n"/>
      <c r="B211" s="20" t="n"/>
      <c r="C211" s="23" t="n"/>
      <c r="D211" s="24" t="n"/>
      <c r="E211" s="7">
        <f>IF(OR(C211="",D211=""),"",IFERROR(C211*D211,""))</f>
        <v/>
      </c>
    </row>
    <row r="212">
      <c r="A212" s="27" t="n"/>
      <c r="B212" s="20" t="n"/>
      <c r="C212" s="23" t="n"/>
      <c r="D212" s="24" t="n"/>
      <c r="E212" s="7">
        <f>IF(OR(C212="",D212=""),"",IFERROR(C212*D212,""))</f>
        <v/>
      </c>
    </row>
    <row r="213">
      <c r="A213" s="27" t="n"/>
      <c r="B213" s="20" t="n"/>
      <c r="C213" s="23" t="n"/>
      <c r="D213" s="24" t="n"/>
      <c r="E213" s="7">
        <f>IF(OR(C213="",D213=""),"",IFERROR(C213*D213,""))</f>
        <v/>
      </c>
    </row>
    <row r="214">
      <c r="A214" s="27" t="n"/>
      <c r="B214" s="20" t="n"/>
      <c r="C214" s="23" t="n"/>
      <c r="D214" s="24" t="n"/>
      <c r="E214" s="7">
        <f>IF(OR(C214="",D214=""),"",IFERROR(C214*D214,""))</f>
        <v/>
      </c>
    </row>
    <row r="215">
      <c r="A215" s="27" t="n"/>
      <c r="B215" s="20" t="n"/>
      <c r="C215" s="23" t="n"/>
      <c r="D215" s="24" t="n"/>
      <c r="E215" s="7">
        <f>IF(OR(C215="",D215=""),"",IFERROR(C215*D215,""))</f>
        <v/>
      </c>
    </row>
    <row r="216">
      <c r="A216" s="27" t="n"/>
      <c r="B216" s="20" t="n"/>
      <c r="C216" s="23" t="n"/>
      <c r="D216" s="24" t="n"/>
      <c r="E216" s="7">
        <f>IF(OR(C216="",D216=""),"",IFERROR(C216*D216,""))</f>
        <v/>
      </c>
    </row>
    <row r="217">
      <c r="A217" s="27" t="n"/>
      <c r="B217" s="20" t="n"/>
      <c r="C217" s="23" t="n"/>
      <c r="D217" s="24" t="n"/>
      <c r="E217" s="7">
        <f>IF(OR(C217="",D217=""),"",IFERROR(C217*D217,""))</f>
        <v/>
      </c>
    </row>
    <row r="218">
      <c r="A218" s="27" t="n"/>
      <c r="B218" s="20" t="n"/>
      <c r="C218" s="23" t="n"/>
      <c r="D218" s="24" t="n"/>
      <c r="E218" s="7">
        <f>IF(OR(C218="",D218=""),"",IFERROR(C218*D218,""))</f>
        <v/>
      </c>
    </row>
    <row r="219">
      <c r="A219" s="27" t="n"/>
      <c r="B219" s="20" t="n"/>
      <c r="C219" s="23" t="n"/>
      <c r="D219" s="24" t="n"/>
      <c r="E219" s="7">
        <f>IF(OR(C219="",D219=""),"",IFERROR(C219*D219,""))</f>
        <v/>
      </c>
    </row>
    <row r="220">
      <c r="A220" s="27" t="n"/>
      <c r="B220" s="20" t="n"/>
      <c r="C220" s="23" t="n"/>
      <c r="D220" s="24" t="n"/>
      <c r="E220" s="7">
        <f>IF(OR(C220="",D220=""),"",IFERROR(C220*D220,""))</f>
        <v/>
      </c>
    </row>
    <row r="221">
      <c r="A221" s="27" t="n"/>
      <c r="B221" s="20" t="n"/>
      <c r="C221" s="23" t="n"/>
      <c r="D221" s="24" t="n"/>
      <c r="E221" s="7">
        <f>IF(OR(C221="",D221=""),"",IFERROR(C221*D221,""))</f>
        <v/>
      </c>
    </row>
    <row r="222">
      <c r="A222" s="27" t="n"/>
      <c r="B222" s="20" t="n"/>
      <c r="C222" s="23" t="n"/>
      <c r="D222" s="24" t="n"/>
      <c r="E222" s="7">
        <f>IF(OR(C222="",D222=""),"",IFERROR(C222*D222,""))</f>
        <v/>
      </c>
    </row>
    <row r="223">
      <c r="A223" s="27" t="n"/>
      <c r="B223" s="20" t="n"/>
      <c r="C223" s="23" t="n"/>
      <c r="D223" s="24" t="n"/>
      <c r="E223" s="7">
        <f>IF(OR(C223="",D223=""),"",IFERROR(C223*D223,""))</f>
        <v/>
      </c>
    </row>
    <row r="224">
      <c r="A224" s="27" t="n"/>
      <c r="B224" s="20" t="n"/>
      <c r="C224" s="23" t="n"/>
      <c r="D224" s="24" t="n"/>
      <c r="E224" s="7">
        <f>IF(OR(C224="",D224=""),"",IFERROR(C224*D224,""))</f>
        <v/>
      </c>
    </row>
    <row r="225">
      <c r="A225" s="27" t="n"/>
      <c r="B225" s="20" t="n"/>
      <c r="C225" s="23" t="n"/>
      <c r="D225" s="24" t="n"/>
      <c r="E225" s="7">
        <f>IF(OR(C225="",D225=""),"",IFERROR(C225*D225,""))</f>
        <v/>
      </c>
    </row>
    <row r="226">
      <c r="A226" s="27" t="n"/>
      <c r="B226" s="20" t="n"/>
      <c r="C226" s="23" t="n"/>
      <c r="D226" s="24" t="n"/>
      <c r="E226" s="7">
        <f>IF(OR(C226="",D226=""),"",IFERROR(C226*D226,""))</f>
        <v/>
      </c>
    </row>
    <row r="227">
      <c r="A227" s="27" t="n"/>
      <c r="B227" s="20" t="n"/>
      <c r="C227" s="23" t="n"/>
      <c r="D227" s="24" t="n"/>
      <c r="E227" s="7">
        <f>IF(OR(C227="",D227=""),"",IFERROR(C227*D227,""))</f>
        <v/>
      </c>
    </row>
    <row r="228">
      <c r="A228" s="27" t="n"/>
      <c r="B228" s="20" t="n"/>
      <c r="C228" s="23" t="n"/>
      <c r="D228" s="24" t="n"/>
      <c r="E228" s="7">
        <f>IF(OR(C228="",D228=""),"",IFERROR(C228*D228,""))</f>
        <v/>
      </c>
    </row>
    <row r="229">
      <c r="A229" s="27" t="n"/>
      <c r="B229" s="20" t="n"/>
      <c r="C229" s="23" t="n"/>
      <c r="D229" s="24" t="n"/>
      <c r="E229" s="7">
        <f>IF(OR(C229="",D229=""),"",IFERROR(C229*D229,""))</f>
        <v/>
      </c>
    </row>
    <row r="230">
      <c r="A230" s="27" t="n"/>
      <c r="B230" s="20" t="n"/>
      <c r="C230" s="23" t="n"/>
      <c r="D230" s="24" t="n"/>
      <c r="E230" s="7">
        <f>IF(OR(C230="",D230=""),"",IFERROR(C230*D230,""))</f>
        <v/>
      </c>
    </row>
    <row r="231">
      <c r="A231" s="27" t="n"/>
      <c r="B231" s="20" t="n"/>
      <c r="C231" s="23" t="n"/>
      <c r="D231" s="24" t="n"/>
      <c r="E231" s="7">
        <f>IF(OR(C231="",D231=""),"",IFERROR(C231*D231,""))</f>
        <v/>
      </c>
    </row>
    <row r="232">
      <c r="A232" s="27" t="n"/>
      <c r="B232" s="20" t="n"/>
      <c r="C232" s="23" t="n"/>
      <c r="D232" s="24" t="n"/>
      <c r="E232" s="7">
        <f>IF(OR(C232="",D232=""),"",IFERROR(C232*D232,""))</f>
        <v/>
      </c>
    </row>
    <row r="233">
      <c r="A233" s="27" t="n"/>
      <c r="B233" s="20" t="n"/>
      <c r="C233" s="23" t="n"/>
      <c r="D233" s="24" t="n"/>
      <c r="E233" s="7">
        <f>IF(OR(C233="",D233=""),"",IFERROR(C233*D233,""))</f>
        <v/>
      </c>
    </row>
    <row r="234">
      <c r="A234" s="27" t="n"/>
      <c r="B234" s="20" t="n"/>
      <c r="C234" s="23" t="n"/>
      <c r="D234" s="24" t="n"/>
      <c r="E234" s="7">
        <f>IF(OR(C234="",D234=""),"",IFERROR(C234*D234,""))</f>
        <v/>
      </c>
    </row>
    <row r="235">
      <c r="A235" s="27" t="n"/>
      <c r="B235" s="20" t="n"/>
      <c r="C235" s="23" t="n"/>
      <c r="D235" s="24" t="n"/>
      <c r="E235" s="7">
        <f>IF(OR(C235="",D235=""),"",IFERROR(C235*D235,""))</f>
        <v/>
      </c>
    </row>
    <row r="236">
      <c r="A236" s="27" t="n"/>
      <c r="B236" s="20" t="n"/>
      <c r="C236" s="23" t="n"/>
      <c r="D236" s="24" t="n"/>
      <c r="E236" s="7">
        <f>IF(OR(C236="",D236=""),"",IFERROR(C236*D236,""))</f>
        <v/>
      </c>
    </row>
    <row r="237">
      <c r="A237" s="27" t="n"/>
      <c r="B237" s="20" t="n"/>
      <c r="C237" s="23" t="n"/>
      <c r="D237" s="24" t="n"/>
      <c r="E237" s="7">
        <f>IF(OR(C237="",D237=""),"",IFERROR(C237*D237,""))</f>
        <v/>
      </c>
    </row>
    <row r="238">
      <c r="A238" s="27" t="n"/>
      <c r="B238" s="20" t="n"/>
      <c r="C238" s="23" t="n"/>
      <c r="D238" s="24" t="n"/>
      <c r="E238" s="7">
        <f>IF(OR(C238="",D238=""),"",IFERROR(C238*D238,""))</f>
        <v/>
      </c>
    </row>
    <row r="239">
      <c r="A239" s="27" t="n"/>
      <c r="B239" s="20" t="n"/>
      <c r="C239" s="23" t="n"/>
      <c r="D239" s="24" t="n"/>
      <c r="E239" s="7">
        <f>IF(OR(C239="",D239=""),"",IFERROR(C239*D239,""))</f>
        <v/>
      </c>
    </row>
    <row r="240">
      <c r="A240" s="27" t="n"/>
      <c r="B240" s="20" t="n"/>
      <c r="C240" s="23" t="n"/>
      <c r="D240" s="24" t="n"/>
      <c r="E240" s="7">
        <f>IF(OR(C240="",D240=""),"",IFERROR(C240*D240,""))</f>
        <v/>
      </c>
    </row>
    <row r="241">
      <c r="A241" s="27" t="n"/>
      <c r="B241" s="20" t="n"/>
      <c r="C241" s="23" t="n"/>
      <c r="D241" s="24" t="n"/>
      <c r="E241" s="7">
        <f>IF(OR(C241="",D241=""),"",IFERROR(C241*D241,""))</f>
        <v/>
      </c>
    </row>
    <row r="242">
      <c r="A242" s="27" t="n"/>
      <c r="B242" s="20" t="n"/>
      <c r="C242" s="23" t="n"/>
      <c r="D242" s="24" t="n"/>
      <c r="E242" s="7">
        <f>IF(OR(C242="",D242=""),"",IFERROR(C242*D242,""))</f>
        <v/>
      </c>
    </row>
    <row r="243">
      <c r="A243" s="27" t="n"/>
      <c r="B243" s="20" t="n"/>
      <c r="C243" s="23" t="n"/>
      <c r="D243" s="24" t="n"/>
      <c r="E243" s="7">
        <f>IF(OR(C243="",D243=""),"",IFERROR(C243*D243,""))</f>
        <v/>
      </c>
    </row>
    <row r="244">
      <c r="A244" s="27" t="n"/>
      <c r="B244" s="20" t="n"/>
      <c r="C244" s="23" t="n"/>
      <c r="D244" s="24" t="n"/>
      <c r="E244" s="7">
        <f>IF(OR(C244="",D244=""),"",IFERROR(C244*D244,""))</f>
        <v/>
      </c>
    </row>
    <row r="245">
      <c r="A245" s="27" t="n"/>
      <c r="B245" s="20" t="n"/>
      <c r="C245" s="23" t="n"/>
      <c r="D245" s="24" t="n"/>
      <c r="E245" s="7">
        <f>IF(OR(C245="",D245=""),"",IFERROR(C245*D245,""))</f>
        <v/>
      </c>
    </row>
    <row r="246">
      <c r="A246" s="27" t="n"/>
      <c r="B246" s="20" t="n"/>
      <c r="C246" s="23" t="n"/>
      <c r="D246" s="24" t="n"/>
      <c r="E246" s="7">
        <f>IF(OR(C246="",D246=""),"",IFERROR(C246*D246,""))</f>
        <v/>
      </c>
    </row>
    <row r="247">
      <c r="A247" s="27" t="n"/>
      <c r="B247" s="20" t="n"/>
      <c r="C247" s="23" t="n"/>
      <c r="D247" s="24" t="n"/>
      <c r="E247" s="7">
        <f>IF(OR(C247="",D247=""),"",IFERROR(C247*D247,""))</f>
        <v/>
      </c>
    </row>
    <row r="248">
      <c r="A248" s="27" t="n"/>
      <c r="B248" s="20" t="n"/>
      <c r="C248" s="23" t="n"/>
      <c r="D248" s="24" t="n"/>
      <c r="E248" s="7">
        <f>IF(OR(C248="",D248=""),"",IFERROR(C248*D248,""))</f>
        <v/>
      </c>
    </row>
    <row r="249">
      <c r="A249" s="27" t="n"/>
      <c r="B249" s="20" t="n"/>
      <c r="C249" s="23" t="n"/>
      <c r="D249" s="24" t="n"/>
      <c r="E249" s="7">
        <f>IF(OR(C249="",D249=""),"",IFERROR(C249*D249,""))</f>
        <v/>
      </c>
    </row>
    <row r="250">
      <c r="A250" s="27" t="n"/>
      <c r="B250" s="20" t="n"/>
      <c r="C250" s="23" t="n"/>
      <c r="D250" s="24" t="n"/>
      <c r="E250" s="7">
        <f>IF(OR(C250="",D250=""),"",IFERROR(C250*D250,""))</f>
        <v/>
      </c>
    </row>
    <row r="251">
      <c r="A251" s="27" t="n"/>
      <c r="B251" s="20" t="n"/>
      <c r="C251" s="23" t="n"/>
      <c r="D251" s="24" t="n"/>
      <c r="E251" s="7">
        <f>IF(OR(C251="",D251=""),"",IFERROR(C251*D251,""))</f>
        <v/>
      </c>
    </row>
    <row r="252">
      <c r="A252" s="27" t="n"/>
      <c r="B252" s="20" t="n"/>
      <c r="C252" s="23" t="n"/>
      <c r="D252" s="24" t="n"/>
      <c r="E252" s="7">
        <f>IF(OR(C252="",D252=""),"",IFERROR(C252*D252,""))</f>
        <v/>
      </c>
    </row>
    <row r="253">
      <c r="A253" s="27" t="n"/>
      <c r="B253" s="20" t="n"/>
      <c r="C253" s="23" t="n"/>
      <c r="D253" s="24" t="n"/>
      <c r="E253" s="7">
        <f>IF(OR(C253="",D253=""),"",IFERROR(C253*D253,""))</f>
        <v/>
      </c>
    </row>
    <row r="254">
      <c r="A254" s="27" t="n"/>
      <c r="B254" s="20" t="n"/>
      <c r="C254" s="23" t="n"/>
      <c r="D254" s="24" t="n"/>
      <c r="E254" s="7">
        <f>IF(OR(C254="",D254=""),"",IFERROR(C254*D254,""))</f>
        <v/>
      </c>
    </row>
    <row r="255">
      <c r="A255" s="27" t="n"/>
      <c r="B255" s="20" t="n"/>
      <c r="C255" s="23" t="n"/>
      <c r="D255" s="24" t="n"/>
      <c r="E255" s="7">
        <f>IF(OR(C255="",D255=""),"",IFERROR(C255*D255,""))</f>
        <v/>
      </c>
    </row>
    <row r="256">
      <c r="A256" s="27" t="n"/>
      <c r="B256" s="20" t="n"/>
      <c r="C256" s="23" t="n"/>
      <c r="D256" s="24" t="n"/>
      <c r="E256" s="7">
        <f>IF(OR(C256="",D256=""),"",IFERROR(C256*D256,""))</f>
        <v/>
      </c>
    </row>
    <row r="257">
      <c r="A257" s="27" t="n"/>
      <c r="B257" s="20" t="n"/>
      <c r="C257" s="23" t="n"/>
      <c r="D257" s="24" t="n"/>
      <c r="E257" s="7">
        <f>IF(OR(C257="",D257=""),"",IFERROR(C257*D257,""))</f>
        <v/>
      </c>
    </row>
    <row r="258">
      <c r="A258" s="27" t="n"/>
      <c r="B258" s="20" t="n"/>
      <c r="C258" s="23" t="n"/>
      <c r="D258" s="24" t="n"/>
      <c r="E258" s="7">
        <f>IF(OR(C258="",D258=""),"",IFERROR(C258*D258,""))</f>
        <v/>
      </c>
    </row>
    <row r="259">
      <c r="A259" s="27" t="n"/>
      <c r="B259" s="20" t="n"/>
      <c r="C259" s="23" t="n"/>
      <c r="D259" s="24" t="n"/>
      <c r="E259" s="7">
        <f>IF(OR(C259="",D259=""),"",IFERROR(C259*D259,""))</f>
        <v/>
      </c>
    </row>
    <row r="260">
      <c r="A260" s="27" t="n"/>
      <c r="B260" s="20" t="n"/>
      <c r="C260" s="23" t="n"/>
      <c r="D260" s="24" t="n"/>
      <c r="E260" s="7">
        <f>IF(OR(C260="",D260=""),"",IFERROR(C260*D260,""))</f>
        <v/>
      </c>
    </row>
    <row r="261">
      <c r="A261" s="27" t="n"/>
      <c r="B261" s="20" t="n"/>
      <c r="C261" s="23" t="n"/>
      <c r="D261" s="24" t="n"/>
      <c r="E261" s="7">
        <f>IF(OR(C261="",D261=""),"",IFERROR(C261*D261,""))</f>
        <v/>
      </c>
    </row>
    <row r="262">
      <c r="A262" s="27" t="n"/>
      <c r="B262" s="20" t="n"/>
      <c r="C262" s="23" t="n"/>
      <c r="D262" s="24" t="n"/>
      <c r="E262" s="7">
        <f>IF(OR(C262="",D262=""),"",IFERROR(C262*D262,""))</f>
        <v/>
      </c>
    </row>
    <row r="263">
      <c r="A263" s="27" t="n"/>
      <c r="B263" s="20" t="n"/>
      <c r="C263" s="23" t="n"/>
      <c r="D263" s="24" t="n"/>
      <c r="E263" s="7">
        <f>IF(OR(C263="",D263=""),"",IFERROR(C263*D263,""))</f>
        <v/>
      </c>
    </row>
    <row r="264">
      <c r="A264" s="27" t="n"/>
      <c r="B264" s="20" t="n"/>
      <c r="C264" s="23" t="n"/>
      <c r="D264" s="24" t="n"/>
      <c r="E264" s="7">
        <f>IF(OR(C264="",D264=""),"",IFERROR(C264*D264,""))</f>
        <v/>
      </c>
    </row>
    <row r="265">
      <c r="A265" s="27" t="n"/>
      <c r="B265" s="20" t="n"/>
      <c r="C265" s="23" t="n"/>
      <c r="D265" s="24" t="n"/>
      <c r="E265" s="7">
        <f>IF(OR(C265="",D265=""),"",IFERROR(C265*D265,""))</f>
        <v/>
      </c>
    </row>
    <row r="266">
      <c r="A266" s="27" t="n"/>
      <c r="B266" s="20" t="n"/>
      <c r="C266" s="23" t="n"/>
      <c r="D266" s="24" t="n"/>
      <c r="E266" s="7">
        <f>IF(OR(C266="",D266=""),"",IFERROR(C266*D266,""))</f>
        <v/>
      </c>
    </row>
    <row r="267">
      <c r="A267" s="27" t="n"/>
      <c r="B267" s="20" t="n"/>
      <c r="C267" s="23" t="n"/>
      <c r="D267" s="24" t="n"/>
      <c r="E267" s="7">
        <f>IF(OR(C267="",D267=""),"",IFERROR(C267*D267,""))</f>
        <v/>
      </c>
    </row>
    <row r="268">
      <c r="A268" s="27" t="n"/>
      <c r="B268" s="20" t="n"/>
      <c r="C268" s="23" t="n"/>
      <c r="D268" s="24" t="n"/>
      <c r="E268" s="7">
        <f>IF(OR(C268="",D268=""),"",IFERROR(C268*D268,""))</f>
        <v/>
      </c>
    </row>
    <row r="269">
      <c r="A269" s="27" t="n"/>
      <c r="B269" s="20" t="n"/>
      <c r="C269" s="23" t="n"/>
      <c r="D269" s="24" t="n"/>
      <c r="E269" s="7">
        <f>IF(OR(C269="",D269=""),"",IFERROR(C269*D269,""))</f>
        <v/>
      </c>
    </row>
    <row r="270">
      <c r="A270" s="27" t="n"/>
      <c r="B270" s="20" t="n"/>
      <c r="C270" s="23" t="n"/>
      <c r="D270" s="24" t="n"/>
      <c r="E270" s="7">
        <f>IF(OR(C270="",D270=""),"",IFERROR(C270*D270,""))</f>
        <v/>
      </c>
    </row>
    <row r="271">
      <c r="A271" s="27" t="n"/>
      <c r="B271" s="20" t="n"/>
      <c r="C271" s="23" t="n"/>
      <c r="D271" s="24" t="n"/>
      <c r="E271" s="7">
        <f>IF(OR(C271="",D271=""),"",IFERROR(C271*D271,""))</f>
        <v/>
      </c>
    </row>
    <row r="272">
      <c r="A272" s="27" t="n"/>
      <c r="B272" s="20" t="n"/>
      <c r="C272" s="23" t="n"/>
      <c r="D272" s="24" t="n"/>
      <c r="E272" s="7">
        <f>IF(OR(C272="",D272=""),"",IFERROR(C272*D272,""))</f>
        <v/>
      </c>
    </row>
    <row r="273">
      <c r="A273" s="27" t="n"/>
      <c r="B273" s="20" t="n"/>
      <c r="C273" s="23" t="n"/>
      <c r="D273" s="24" t="n"/>
      <c r="E273" s="7">
        <f>IF(OR(C273="",D273=""),"",IFERROR(C273*D273,""))</f>
        <v/>
      </c>
    </row>
    <row r="274">
      <c r="A274" s="27" t="n"/>
      <c r="B274" s="20" t="n"/>
      <c r="C274" s="23" t="n"/>
      <c r="D274" s="24" t="n"/>
      <c r="E274" s="7">
        <f>IF(OR(C274="",D274=""),"",IFERROR(C274*D274,""))</f>
        <v/>
      </c>
    </row>
    <row r="275">
      <c r="A275" s="27" t="n"/>
      <c r="B275" s="20" t="n"/>
      <c r="C275" s="23" t="n"/>
      <c r="D275" s="24" t="n"/>
      <c r="E275" s="7">
        <f>IF(OR(C275="",D275=""),"",IFERROR(C275*D275,""))</f>
        <v/>
      </c>
    </row>
    <row r="276">
      <c r="A276" s="27" t="n"/>
      <c r="B276" s="20" t="n"/>
      <c r="C276" s="23" t="n"/>
      <c r="D276" s="24" t="n"/>
      <c r="E276" s="7">
        <f>IF(OR(C276="",D276=""),"",IFERROR(C276*D276,""))</f>
        <v/>
      </c>
    </row>
    <row r="277">
      <c r="A277" s="27" t="n"/>
      <c r="B277" s="20" t="n"/>
      <c r="C277" s="23" t="n"/>
      <c r="D277" s="24" t="n"/>
      <c r="E277" s="7">
        <f>IF(OR(C277="",D277=""),"",IFERROR(C277*D277,""))</f>
        <v/>
      </c>
    </row>
    <row r="278">
      <c r="A278" s="27" t="n"/>
      <c r="B278" s="20" t="n"/>
      <c r="C278" s="23" t="n"/>
      <c r="D278" s="24" t="n"/>
      <c r="E278" s="7">
        <f>IF(OR(C278="",D278=""),"",IFERROR(C278*D278,""))</f>
        <v/>
      </c>
    </row>
    <row r="279">
      <c r="A279" s="27" t="n"/>
      <c r="B279" s="20" t="n"/>
      <c r="C279" s="23" t="n"/>
      <c r="D279" s="24" t="n"/>
      <c r="E279" s="7">
        <f>IF(OR(C279="",D279=""),"",IFERROR(C279*D279,""))</f>
        <v/>
      </c>
    </row>
    <row r="280">
      <c r="A280" s="27" t="n"/>
      <c r="B280" s="20" t="n"/>
      <c r="C280" s="23" t="n"/>
      <c r="D280" s="24" t="n"/>
      <c r="E280" s="7">
        <f>IF(OR(C280="",D280=""),"",IFERROR(C280*D280,""))</f>
        <v/>
      </c>
    </row>
    <row r="281">
      <c r="A281" s="27" t="n"/>
      <c r="B281" s="20" t="n"/>
      <c r="C281" s="23" t="n"/>
      <c r="D281" s="24" t="n"/>
      <c r="E281" s="7">
        <f>IF(OR(C281="",D281=""),"",IFERROR(C281*D281,""))</f>
        <v/>
      </c>
    </row>
    <row r="282">
      <c r="A282" s="27" t="n"/>
      <c r="B282" s="20" t="n"/>
      <c r="C282" s="23" t="n"/>
      <c r="D282" s="24" t="n"/>
      <c r="E282" s="7">
        <f>IF(OR(C282="",D282=""),"",IFERROR(C282*D282,""))</f>
        <v/>
      </c>
    </row>
    <row r="283">
      <c r="A283" s="27" t="n"/>
      <c r="B283" s="20" t="n"/>
      <c r="C283" s="23" t="n"/>
      <c r="D283" s="24" t="n"/>
      <c r="E283" s="7">
        <f>IF(OR(C283="",D283=""),"",IFERROR(C283*D283,""))</f>
        <v/>
      </c>
    </row>
    <row r="284">
      <c r="A284" s="27" t="n"/>
      <c r="B284" s="20" t="n"/>
      <c r="C284" s="23" t="n"/>
      <c r="D284" s="24" t="n"/>
      <c r="E284" s="7">
        <f>IF(OR(C284="",D284=""),"",IFERROR(C284*D284,""))</f>
        <v/>
      </c>
    </row>
    <row r="285">
      <c r="A285" s="27" t="n"/>
      <c r="B285" s="20" t="n"/>
      <c r="C285" s="23" t="n"/>
      <c r="D285" s="24" t="n"/>
      <c r="E285" s="7">
        <f>IF(OR(C285="",D285=""),"",IFERROR(C285*D285,""))</f>
        <v/>
      </c>
    </row>
    <row r="286">
      <c r="A286" s="27" t="n"/>
      <c r="B286" s="20" t="n"/>
      <c r="C286" s="23" t="n"/>
      <c r="D286" s="24" t="n"/>
      <c r="E286" s="7">
        <f>IF(OR(C286="",D286=""),"",IFERROR(C286*D286,""))</f>
        <v/>
      </c>
    </row>
    <row r="287">
      <c r="A287" s="27" t="n"/>
      <c r="B287" s="20" t="n"/>
      <c r="C287" s="23" t="n"/>
      <c r="D287" s="24" t="n"/>
      <c r="E287" s="7">
        <f>IF(OR(C287="",D287=""),"",IFERROR(C287*D287,""))</f>
        <v/>
      </c>
    </row>
    <row r="288">
      <c r="A288" s="27" t="n"/>
      <c r="B288" s="20" t="n"/>
      <c r="C288" s="23" t="n"/>
      <c r="D288" s="24" t="n"/>
      <c r="E288" s="7">
        <f>IF(OR(C288="",D288=""),"",IFERROR(C288*D288,""))</f>
        <v/>
      </c>
    </row>
    <row r="289">
      <c r="A289" s="27" t="n"/>
      <c r="B289" s="20" t="n"/>
      <c r="C289" s="23" t="n"/>
      <c r="D289" s="24" t="n"/>
      <c r="E289" s="7">
        <f>IF(OR(C289="",D289=""),"",IFERROR(C289*D289,""))</f>
        <v/>
      </c>
    </row>
    <row r="290">
      <c r="A290" s="27" t="n"/>
      <c r="B290" s="20" t="n"/>
      <c r="C290" s="23" t="n"/>
      <c r="D290" s="24" t="n"/>
      <c r="E290" s="7">
        <f>IF(OR(C290="",D290=""),"",IFERROR(C290*D290,""))</f>
        <v/>
      </c>
    </row>
    <row r="291">
      <c r="A291" s="27" t="n"/>
      <c r="B291" s="20" t="n"/>
      <c r="C291" s="23" t="n"/>
      <c r="D291" s="24" t="n"/>
      <c r="E291" s="7">
        <f>IF(OR(C291="",D291=""),"",IFERROR(C291*D291,""))</f>
        <v/>
      </c>
    </row>
    <row r="292">
      <c r="A292" s="27" t="n"/>
      <c r="B292" s="20" t="n"/>
      <c r="C292" s="23" t="n"/>
      <c r="D292" s="24" t="n"/>
      <c r="E292" s="7">
        <f>IF(OR(C292="",D292=""),"",IFERROR(C292*D292,""))</f>
        <v/>
      </c>
    </row>
    <row r="293">
      <c r="A293" s="27" t="n"/>
      <c r="B293" s="20" t="n"/>
      <c r="C293" s="23" t="n"/>
      <c r="D293" s="24" t="n"/>
      <c r="E293" s="7">
        <f>IF(OR(C293="",D293=""),"",IFERROR(C293*D293,""))</f>
        <v/>
      </c>
    </row>
    <row r="294">
      <c r="A294" s="27" t="n"/>
      <c r="B294" s="20" t="n"/>
      <c r="C294" s="23" t="n"/>
      <c r="D294" s="24" t="n"/>
      <c r="E294" s="7">
        <f>IF(OR(C294="",D294=""),"",IFERROR(C294*D294,""))</f>
        <v/>
      </c>
    </row>
    <row r="295">
      <c r="A295" s="27" t="n"/>
      <c r="B295" s="20" t="n"/>
      <c r="C295" s="23" t="n"/>
      <c r="D295" s="24" t="n"/>
      <c r="E295" s="7">
        <f>IF(OR(C295="",D295=""),"",IFERROR(C295*D295,""))</f>
        <v/>
      </c>
    </row>
    <row r="296">
      <c r="A296" s="27" t="n"/>
      <c r="B296" s="20" t="n"/>
      <c r="C296" s="23" t="n"/>
      <c r="D296" s="24" t="n"/>
      <c r="E296" s="7">
        <f>IF(OR(C296="",D296=""),"",IFERROR(C296*D296,""))</f>
        <v/>
      </c>
    </row>
    <row r="297">
      <c r="A297" s="27" t="n"/>
      <c r="B297" s="20" t="n"/>
      <c r="C297" s="23" t="n"/>
      <c r="D297" s="24" t="n"/>
      <c r="E297" s="7">
        <f>IF(OR(C297="",D297=""),"",IFERROR(C297*D297,""))</f>
        <v/>
      </c>
    </row>
    <row r="298">
      <c r="A298" s="27" t="n"/>
      <c r="B298" s="20" t="n"/>
      <c r="C298" s="23" t="n"/>
      <c r="D298" s="24" t="n"/>
      <c r="E298" s="7">
        <f>IF(OR(C298="",D298=""),"",IFERROR(C298*D298,""))</f>
        <v/>
      </c>
    </row>
    <row r="299">
      <c r="A299" s="27" t="n"/>
      <c r="B299" s="20" t="n"/>
      <c r="C299" s="23" t="n"/>
      <c r="D299" s="24" t="n"/>
      <c r="E299" s="7">
        <f>IF(OR(C299="",D299=""),"",IFERROR(C299*D299,""))</f>
        <v/>
      </c>
    </row>
    <row r="300">
      <c r="A300" s="27" t="n"/>
      <c r="B300" s="20" t="n"/>
      <c r="C300" s="23" t="n"/>
      <c r="D300" s="24" t="n"/>
      <c r="E300" s="7">
        <f>IF(OR(C300="",D300=""),"",IFERROR(C300*D300,""))</f>
        <v/>
      </c>
    </row>
    <row r="301">
      <c r="A301" s="27" t="n"/>
      <c r="B301" s="20" t="n"/>
      <c r="C301" s="23" t="n"/>
      <c r="D301" s="24" t="n"/>
      <c r="E301" s="7">
        <f>IF(OR(C301="",D301=""),"",IFERROR(C301*D301,""))</f>
        <v/>
      </c>
    </row>
    <row r="302">
      <c r="A302" s="27" t="n"/>
      <c r="B302" s="20" t="n"/>
      <c r="C302" s="23" t="n"/>
      <c r="D302" s="24" t="n"/>
      <c r="E302" s="7">
        <f>IF(OR(C302="",D302=""),"",IFERROR(C302*D302,""))</f>
        <v/>
      </c>
    </row>
    <row r="303">
      <c r="A303" s="27" t="n"/>
      <c r="B303" s="20" t="n"/>
      <c r="C303" s="23" t="n"/>
      <c r="D303" s="24" t="n"/>
      <c r="E303" s="7">
        <f>IF(OR(C303="",D303=""),"",IFERROR(C303*D303,""))</f>
        <v/>
      </c>
    </row>
    <row r="304">
      <c r="A304" s="27" t="n"/>
      <c r="B304" s="20" t="n"/>
      <c r="C304" s="23" t="n"/>
      <c r="D304" s="24" t="n"/>
      <c r="E304" s="7">
        <f>IF(OR(C304="",D304=""),"",IFERROR(C304*D304,""))</f>
        <v/>
      </c>
    </row>
    <row r="305">
      <c r="A305" s="27" t="n"/>
      <c r="B305" s="20" t="n"/>
      <c r="C305" s="23" t="n"/>
      <c r="D305" s="24" t="n"/>
      <c r="E305" s="7">
        <f>IF(OR(C305="",D305=""),"",IFERROR(C305*D305,""))</f>
        <v/>
      </c>
    </row>
    <row r="306">
      <c r="A306" s="27" t="n"/>
      <c r="B306" s="20" t="n"/>
      <c r="C306" s="23" t="n"/>
      <c r="D306" s="24" t="n"/>
      <c r="E306" s="7">
        <f>IF(OR(C306="",D306=""),"",IFERROR(C306*D306,""))</f>
        <v/>
      </c>
    </row>
    <row r="307">
      <c r="A307" s="27" t="n"/>
      <c r="B307" s="20" t="n"/>
      <c r="C307" s="23" t="n"/>
      <c r="D307" s="24" t="n"/>
      <c r="E307" s="7">
        <f>IF(OR(C307="",D307=""),"",IFERROR(C307*D307,""))</f>
        <v/>
      </c>
    </row>
    <row r="308">
      <c r="A308" s="27" t="n"/>
      <c r="B308" s="20" t="n"/>
      <c r="C308" s="23" t="n"/>
      <c r="D308" s="24" t="n"/>
      <c r="E308" s="7">
        <f>IF(OR(C308="",D308=""),"",IFERROR(C308*D308,""))</f>
        <v/>
      </c>
    </row>
    <row r="309">
      <c r="A309" s="27" t="n"/>
      <c r="B309" s="20" t="n"/>
      <c r="C309" s="23" t="n"/>
      <c r="D309" s="24" t="n"/>
      <c r="E309" s="7">
        <f>IF(OR(C309="",D309=""),"",IFERROR(C309*D309,""))</f>
        <v/>
      </c>
    </row>
    <row r="310">
      <c r="A310" s="27" t="n"/>
      <c r="B310" s="20" t="n"/>
      <c r="C310" s="23" t="n"/>
      <c r="D310" s="24" t="n"/>
      <c r="E310" s="7">
        <f>IF(OR(C310="",D310=""),"",IFERROR(C310*D310,""))</f>
        <v/>
      </c>
    </row>
    <row r="311">
      <c r="A311" s="27" t="n"/>
      <c r="B311" s="20" t="n"/>
      <c r="C311" s="23" t="n"/>
      <c r="D311" s="24" t="n"/>
      <c r="E311" s="7">
        <f>IF(OR(C311="",D311=""),"",IFERROR(C311*D311,""))</f>
        <v/>
      </c>
    </row>
    <row r="312">
      <c r="A312" s="27" t="n"/>
      <c r="B312" s="20" t="n"/>
      <c r="C312" s="23" t="n"/>
      <c r="D312" s="24" t="n"/>
      <c r="E312" s="7">
        <f>IF(OR(C312="",D312=""),"",IFERROR(C312*D312,""))</f>
        <v/>
      </c>
    </row>
    <row r="313">
      <c r="A313" s="27" t="n"/>
      <c r="B313" s="20" t="n"/>
      <c r="C313" s="23" t="n"/>
      <c r="D313" s="24" t="n"/>
      <c r="E313" s="7">
        <f>IF(OR(C313="",D313=""),"",IFERROR(C313*D313,""))</f>
        <v/>
      </c>
    </row>
    <row r="314">
      <c r="A314" s="27" t="n"/>
      <c r="B314" s="20" t="n"/>
      <c r="C314" s="23" t="n"/>
      <c r="D314" s="24" t="n"/>
      <c r="E314" s="7">
        <f>IF(OR(C314="",D314=""),"",IFERROR(C314*D314,""))</f>
        <v/>
      </c>
    </row>
    <row r="315">
      <c r="A315" s="27" t="n"/>
      <c r="B315" s="20" t="n"/>
      <c r="C315" s="23" t="n"/>
      <c r="D315" s="24" t="n"/>
      <c r="E315" s="7">
        <f>IF(OR(C315="",D315=""),"",IFERROR(C315*D315,""))</f>
        <v/>
      </c>
    </row>
    <row r="316">
      <c r="A316" s="27" t="n"/>
      <c r="B316" s="20" t="n"/>
      <c r="C316" s="23" t="n"/>
      <c r="D316" s="24" t="n"/>
      <c r="E316" s="7">
        <f>IF(OR(C316="",D316=""),"",IFERROR(C316*D316,""))</f>
        <v/>
      </c>
    </row>
    <row r="317">
      <c r="A317" s="27" t="n"/>
      <c r="B317" s="20" t="n"/>
      <c r="C317" s="23" t="n"/>
      <c r="D317" s="24" t="n"/>
      <c r="E317" s="7">
        <f>IF(OR(C317="",D317=""),"",IFERROR(C317*D317,""))</f>
        <v/>
      </c>
    </row>
    <row r="318">
      <c r="A318" s="27" t="n"/>
      <c r="B318" s="20" t="n"/>
      <c r="C318" s="23" t="n"/>
      <c r="D318" s="24" t="n"/>
      <c r="E318" s="7">
        <f>IF(OR(C318="",D318=""),"",IFERROR(C318*D318,""))</f>
        <v/>
      </c>
    </row>
    <row r="319">
      <c r="A319" s="27" t="n"/>
      <c r="B319" s="20" t="n"/>
      <c r="C319" s="23" t="n"/>
      <c r="D319" s="24" t="n"/>
      <c r="E319" s="7">
        <f>IF(OR(C319="",D319=""),"",IFERROR(C319*D319,""))</f>
        <v/>
      </c>
    </row>
    <row r="320">
      <c r="A320" s="27" t="n"/>
      <c r="B320" s="20" t="n"/>
      <c r="C320" s="23" t="n"/>
      <c r="D320" s="24" t="n"/>
      <c r="E320" s="7">
        <f>IF(OR(C320="",D320=""),"",IFERROR(C320*D320,""))</f>
        <v/>
      </c>
    </row>
    <row r="321">
      <c r="A321" s="27" t="n"/>
      <c r="B321" s="20" t="n"/>
      <c r="C321" s="23" t="n"/>
      <c r="D321" s="24" t="n"/>
      <c r="E321" s="7">
        <f>IF(OR(C321="",D321=""),"",IFERROR(C321*D321,""))</f>
        <v/>
      </c>
    </row>
    <row r="322">
      <c r="A322" s="27" t="n"/>
      <c r="B322" s="20" t="n"/>
      <c r="C322" s="23" t="n"/>
      <c r="D322" s="24" t="n"/>
      <c r="E322" s="7">
        <f>IF(OR(C322="",D322=""),"",IFERROR(C322*D322,""))</f>
        <v/>
      </c>
    </row>
    <row r="323">
      <c r="A323" s="27" t="n"/>
      <c r="B323" s="20" t="n"/>
      <c r="C323" s="23" t="n"/>
      <c r="D323" s="24" t="n"/>
      <c r="E323" s="7">
        <f>IF(OR(C323="",D323=""),"",IFERROR(C323*D323,""))</f>
        <v/>
      </c>
    </row>
    <row r="324">
      <c r="A324" s="27" t="n"/>
      <c r="B324" s="20" t="n"/>
      <c r="C324" s="23" t="n"/>
      <c r="D324" s="24" t="n"/>
      <c r="E324" s="7">
        <f>IF(OR(C324="",D324=""),"",IFERROR(C324*D324,""))</f>
        <v/>
      </c>
    </row>
    <row r="325">
      <c r="A325" s="27" t="n"/>
      <c r="B325" s="20" t="n"/>
      <c r="C325" s="23" t="n"/>
      <c r="D325" s="24" t="n"/>
      <c r="E325" s="7">
        <f>IF(OR(C325="",D325=""),"",IFERROR(C325*D325,""))</f>
        <v/>
      </c>
    </row>
    <row r="326">
      <c r="A326" s="27" t="n"/>
      <c r="B326" s="20" t="n"/>
      <c r="C326" s="23" t="n"/>
      <c r="D326" s="24" t="n"/>
      <c r="E326" s="7">
        <f>IF(OR(C326="",D326=""),"",IFERROR(C326*D326,""))</f>
        <v/>
      </c>
    </row>
    <row r="327">
      <c r="A327" s="27" t="n"/>
      <c r="B327" s="20" t="n"/>
      <c r="C327" s="23" t="n"/>
      <c r="D327" s="24" t="n"/>
      <c r="E327" s="7">
        <f>IF(OR(C327="",D327=""),"",IFERROR(C327*D327,""))</f>
        <v/>
      </c>
    </row>
    <row r="328">
      <c r="A328" s="27" t="n"/>
      <c r="B328" s="20" t="n"/>
      <c r="C328" s="23" t="n"/>
      <c r="D328" s="24" t="n"/>
      <c r="E328" s="7">
        <f>IF(OR(C328="",D328=""),"",IFERROR(C328*D328,""))</f>
        <v/>
      </c>
    </row>
    <row r="329">
      <c r="A329" s="27" t="n"/>
      <c r="B329" s="20" t="n"/>
      <c r="C329" s="23" t="n"/>
      <c r="D329" s="24" t="n"/>
      <c r="E329" s="7">
        <f>IF(OR(C329="",D329=""),"",IFERROR(C329*D329,""))</f>
        <v/>
      </c>
    </row>
    <row r="330">
      <c r="A330" s="27" t="n"/>
      <c r="B330" s="20" t="n"/>
      <c r="C330" s="23" t="n"/>
      <c r="D330" s="24" t="n"/>
      <c r="E330" s="7">
        <f>IF(OR(C330="",D330=""),"",IFERROR(C330*D330,""))</f>
        <v/>
      </c>
    </row>
    <row r="331">
      <c r="A331" s="27" t="n"/>
      <c r="B331" s="20" t="n"/>
      <c r="C331" s="23" t="n"/>
      <c r="D331" s="24" t="n"/>
      <c r="E331" s="7">
        <f>IF(OR(C331="",D331=""),"",IFERROR(C331*D331,""))</f>
        <v/>
      </c>
    </row>
    <row r="332">
      <c r="A332" s="27" t="n"/>
      <c r="B332" s="20" t="n"/>
      <c r="C332" s="23" t="n"/>
      <c r="D332" s="24" t="n"/>
      <c r="E332" s="7">
        <f>IF(OR(C332="",D332=""),"",IFERROR(C332*D332,""))</f>
        <v/>
      </c>
    </row>
    <row r="333">
      <c r="A333" s="27" t="n"/>
      <c r="B333" s="20" t="n"/>
      <c r="C333" s="23" t="n"/>
      <c r="D333" s="24" t="n"/>
      <c r="E333" s="7">
        <f>IF(OR(C333="",D333=""),"",IFERROR(C333*D333,""))</f>
        <v/>
      </c>
    </row>
    <row r="334">
      <c r="A334" s="27" t="n"/>
      <c r="B334" s="20" t="n"/>
      <c r="C334" s="23" t="n"/>
      <c r="D334" s="24" t="n"/>
      <c r="E334" s="7">
        <f>IF(OR(C334="",D334=""),"",IFERROR(C334*D334,""))</f>
        <v/>
      </c>
    </row>
    <row r="335">
      <c r="A335" s="27" t="n"/>
      <c r="B335" s="20" t="n"/>
      <c r="C335" s="23" t="n"/>
      <c r="D335" s="24" t="n"/>
      <c r="E335" s="7">
        <f>IF(OR(C335="",D335=""),"",IFERROR(C335*D335,""))</f>
        <v/>
      </c>
    </row>
    <row r="336">
      <c r="A336" s="27" t="n"/>
      <c r="B336" s="20" t="n"/>
      <c r="C336" s="23" t="n"/>
      <c r="D336" s="24" t="n"/>
      <c r="E336" s="7">
        <f>IF(OR(C336="",D336=""),"",IFERROR(C336*D336,""))</f>
        <v/>
      </c>
    </row>
    <row r="337">
      <c r="A337" s="27" t="n"/>
      <c r="B337" s="20" t="n"/>
      <c r="C337" s="23" t="n"/>
      <c r="D337" s="24" t="n"/>
      <c r="E337" s="7">
        <f>IF(OR(C337="",D337=""),"",IFERROR(C337*D337,""))</f>
        <v/>
      </c>
    </row>
    <row r="338">
      <c r="A338" s="27" t="n"/>
      <c r="B338" s="20" t="n"/>
      <c r="C338" s="23" t="n"/>
      <c r="D338" s="24" t="n"/>
      <c r="E338" s="7">
        <f>IF(OR(C338="",D338=""),"",IFERROR(C338*D338,""))</f>
        <v/>
      </c>
    </row>
    <row r="339">
      <c r="A339" s="27" t="n"/>
      <c r="B339" s="20" t="n"/>
      <c r="C339" s="23" t="n"/>
      <c r="D339" s="24" t="n"/>
      <c r="E339" s="7">
        <f>IF(OR(C339="",D339=""),"",IFERROR(C339*D339,""))</f>
        <v/>
      </c>
    </row>
    <row r="340">
      <c r="A340" s="27" t="n"/>
      <c r="B340" s="20" t="n"/>
      <c r="C340" s="23" t="n"/>
      <c r="D340" s="24" t="n"/>
      <c r="E340" s="7">
        <f>IF(OR(C340="",D340=""),"",IFERROR(C340*D340,""))</f>
        <v/>
      </c>
    </row>
    <row r="341">
      <c r="A341" s="27" t="n"/>
      <c r="B341" s="20" t="n"/>
      <c r="C341" s="23" t="n"/>
      <c r="D341" s="24" t="n"/>
      <c r="E341" s="7">
        <f>IF(OR(C341="",D341=""),"",IFERROR(C341*D341,""))</f>
        <v/>
      </c>
    </row>
    <row r="342">
      <c r="A342" s="27" t="n"/>
      <c r="B342" s="20" t="n"/>
      <c r="C342" s="23" t="n"/>
      <c r="D342" s="24" t="n"/>
      <c r="E342" s="7">
        <f>IF(OR(C342="",D342=""),"",IFERROR(C342*D342,""))</f>
        <v/>
      </c>
    </row>
    <row r="343">
      <c r="A343" s="27" t="n"/>
      <c r="B343" s="20" t="n"/>
      <c r="C343" s="23" t="n"/>
      <c r="D343" s="24" t="n"/>
      <c r="E343" s="7">
        <f>IF(OR(C343="",D343=""),"",IFERROR(C343*D343,""))</f>
        <v/>
      </c>
    </row>
    <row r="344">
      <c r="A344" s="27" t="n"/>
      <c r="B344" s="20" t="n"/>
      <c r="C344" s="23" t="n"/>
      <c r="D344" s="24" t="n"/>
      <c r="E344" s="7">
        <f>IF(OR(C344="",D344=""),"",IFERROR(C344*D344,""))</f>
        <v/>
      </c>
    </row>
    <row r="345">
      <c r="A345" s="27" t="n"/>
      <c r="B345" s="20" t="n"/>
      <c r="C345" s="23" t="n"/>
      <c r="D345" s="24" t="n"/>
      <c r="E345" s="7">
        <f>IF(OR(C345="",D345=""),"",IFERROR(C345*D345,""))</f>
        <v/>
      </c>
    </row>
    <row r="346">
      <c r="A346" s="27" t="n"/>
      <c r="B346" s="20" t="n"/>
      <c r="C346" s="23" t="n"/>
      <c r="D346" s="24" t="n"/>
      <c r="E346" s="7">
        <f>IF(OR(C346="",D346=""),"",IFERROR(C346*D346,""))</f>
        <v/>
      </c>
    </row>
    <row r="347">
      <c r="A347" s="27" t="n"/>
      <c r="B347" s="20" t="n"/>
      <c r="C347" s="23" t="n"/>
      <c r="D347" s="24" t="n"/>
      <c r="E347" s="7">
        <f>IF(OR(C347="",D347=""),"",IFERROR(C347*D347,""))</f>
        <v/>
      </c>
    </row>
    <row r="348">
      <c r="A348" s="27" t="n"/>
      <c r="B348" s="20" t="n"/>
      <c r="C348" s="23" t="n"/>
      <c r="D348" s="24" t="n"/>
      <c r="E348" s="7">
        <f>IF(OR(C348="",D348=""),"",IFERROR(C348*D348,""))</f>
        <v/>
      </c>
    </row>
    <row r="349">
      <c r="A349" s="27" t="n"/>
      <c r="B349" s="20" t="n"/>
      <c r="C349" s="23" t="n"/>
      <c r="D349" s="24" t="n"/>
      <c r="E349" s="7">
        <f>IF(OR(C349="",D349=""),"",IFERROR(C349*D349,""))</f>
        <v/>
      </c>
    </row>
    <row r="350">
      <c r="A350" s="27" t="n"/>
      <c r="B350" s="20" t="n"/>
      <c r="C350" s="23" t="n"/>
      <c r="D350" s="24" t="n"/>
      <c r="E350" s="7">
        <f>IF(OR(C350="",D350=""),"",IFERROR(C350*D350,""))</f>
        <v/>
      </c>
    </row>
    <row r="351">
      <c r="A351" s="27" t="n"/>
      <c r="B351" s="20" t="n"/>
      <c r="C351" s="23" t="n"/>
      <c r="D351" s="24" t="n"/>
      <c r="E351" s="7">
        <f>IF(OR(C351="",D351=""),"",IFERROR(C351*D351,""))</f>
        <v/>
      </c>
    </row>
    <row r="352">
      <c r="A352" s="27" t="n"/>
      <c r="B352" s="20" t="n"/>
      <c r="C352" s="23" t="n"/>
      <c r="D352" s="24" t="n"/>
      <c r="E352" s="7">
        <f>IF(OR(C352="",D352=""),"",IFERROR(C352*D352,""))</f>
        <v/>
      </c>
    </row>
    <row r="353">
      <c r="A353" s="27" t="n"/>
      <c r="B353" s="20" t="n"/>
      <c r="C353" s="23" t="n"/>
      <c r="D353" s="24" t="n"/>
      <c r="E353" s="7">
        <f>IF(OR(C353="",D353=""),"",IFERROR(C353*D353,""))</f>
        <v/>
      </c>
    </row>
    <row r="354">
      <c r="A354" s="27" t="n"/>
      <c r="B354" s="20" t="n"/>
      <c r="C354" s="23" t="n"/>
      <c r="D354" s="24" t="n"/>
      <c r="E354" s="7">
        <f>IF(OR(C354="",D354=""),"",IFERROR(C354*D354,""))</f>
        <v/>
      </c>
    </row>
    <row r="355">
      <c r="A355" s="27" t="n"/>
      <c r="B355" s="20" t="n"/>
      <c r="C355" s="23" t="n"/>
      <c r="D355" s="24" t="n"/>
      <c r="E355" s="7">
        <f>IF(OR(C355="",D355=""),"",IFERROR(C355*D355,""))</f>
        <v/>
      </c>
    </row>
    <row r="356">
      <c r="A356" s="27" t="n"/>
      <c r="B356" s="20" t="n"/>
      <c r="C356" s="23" t="n"/>
      <c r="D356" s="24" t="n"/>
      <c r="E356" s="7">
        <f>IF(OR(C356="",D356=""),"",IFERROR(C356*D356,""))</f>
        <v/>
      </c>
    </row>
    <row r="357">
      <c r="A357" s="27" t="n"/>
      <c r="B357" s="20" t="n"/>
      <c r="C357" s="23" t="n"/>
      <c r="D357" s="24" t="n"/>
      <c r="E357" s="7">
        <f>IF(OR(C357="",D357=""),"",IFERROR(C357*D357,""))</f>
        <v/>
      </c>
    </row>
    <row r="358">
      <c r="A358" s="27" t="n"/>
      <c r="B358" s="20" t="n"/>
      <c r="C358" s="23" t="n"/>
      <c r="D358" s="24" t="n"/>
      <c r="E358" s="7">
        <f>IF(OR(C358="",D358=""),"",IFERROR(C358*D358,""))</f>
        <v/>
      </c>
    </row>
    <row r="359">
      <c r="A359" s="27" t="n"/>
      <c r="B359" s="20" t="n"/>
      <c r="C359" s="23" t="n"/>
      <c r="D359" s="24" t="n"/>
      <c r="E359" s="7">
        <f>IF(OR(C359="",D359=""),"",IFERROR(C359*D359,""))</f>
        <v/>
      </c>
    </row>
    <row r="360">
      <c r="A360" s="27" t="n"/>
      <c r="B360" s="20" t="n"/>
      <c r="C360" s="23" t="n"/>
      <c r="D360" s="24" t="n"/>
      <c r="E360" s="7">
        <f>IF(OR(C360="",D360=""),"",IFERROR(C360*D360,""))</f>
        <v/>
      </c>
    </row>
    <row r="361">
      <c r="A361" s="27" t="n"/>
      <c r="B361" s="20" t="n"/>
      <c r="C361" s="23" t="n"/>
      <c r="D361" s="24" t="n"/>
      <c r="E361" s="7">
        <f>IF(OR(C361="",D361=""),"",IFERROR(C361*D361,""))</f>
        <v/>
      </c>
    </row>
    <row r="362">
      <c r="A362" s="27" t="n"/>
      <c r="B362" s="20" t="n"/>
      <c r="C362" s="23" t="n"/>
      <c r="D362" s="24" t="n"/>
      <c r="E362" s="7">
        <f>IF(OR(C362="",D362=""),"",IFERROR(C362*D362,""))</f>
        <v/>
      </c>
    </row>
    <row r="363">
      <c r="A363" s="27" t="n"/>
      <c r="B363" s="20" t="n"/>
      <c r="C363" s="23" t="n"/>
      <c r="D363" s="24" t="n"/>
      <c r="E363" s="7">
        <f>IF(OR(C363="",D363=""),"",IFERROR(C363*D363,""))</f>
        <v/>
      </c>
    </row>
    <row r="364">
      <c r="A364" s="27" t="n"/>
      <c r="B364" s="20" t="n"/>
      <c r="C364" s="23" t="n"/>
      <c r="D364" s="24" t="n"/>
      <c r="E364" s="7">
        <f>IF(OR(C364="",D364=""),"",IFERROR(C364*D364,""))</f>
        <v/>
      </c>
    </row>
    <row r="365">
      <c r="A365" s="27" t="n"/>
      <c r="B365" s="20" t="n"/>
      <c r="C365" s="23" t="n"/>
      <c r="D365" s="24" t="n"/>
      <c r="E365" s="7">
        <f>IF(OR(C365="",D365=""),"",IFERROR(C365*D365,""))</f>
        <v/>
      </c>
    </row>
    <row r="366">
      <c r="A366" s="27" t="n"/>
      <c r="B366" s="20" t="n"/>
      <c r="C366" s="23" t="n"/>
      <c r="D366" s="24" t="n"/>
      <c r="E366" s="7">
        <f>IF(OR(C366="",D366=""),"",IFERROR(C366*D366,""))</f>
        <v/>
      </c>
    </row>
    <row r="367">
      <c r="A367" s="27" t="n"/>
      <c r="B367" s="20" t="n"/>
      <c r="C367" s="23" t="n"/>
      <c r="D367" s="24" t="n"/>
      <c r="E367" s="7">
        <f>IF(OR(C367="",D367=""),"",IFERROR(C367*D367,""))</f>
        <v/>
      </c>
    </row>
    <row r="368">
      <c r="A368" s="27" t="n"/>
      <c r="B368" s="20" t="n"/>
      <c r="C368" s="23" t="n"/>
      <c r="D368" s="24" t="n"/>
      <c r="E368" s="7">
        <f>IF(OR(C368="",D368=""),"",IFERROR(C368*D368,""))</f>
        <v/>
      </c>
    </row>
    <row r="369">
      <c r="A369" s="27" t="n"/>
      <c r="B369" s="20" t="n"/>
      <c r="C369" s="23" t="n"/>
      <c r="D369" s="24" t="n"/>
      <c r="E369" s="7">
        <f>IF(OR(C369="",D369=""),"",IFERROR(C369*D369,""))</f>
        <v/>
      </c>
    </row>
    <row r="370">
      <c r="A370" s="27" t="n"/>
      <c r="B370" s="20" t="n"/>
      <c r="C370" s="23" t="n"/>
      <c r="D370" s="24" t="n"/>
      <c r="E370" s="7">
        <f>IF(OR(C370="",D370=""),"",IFERROR(C370*D370,""))</f>
        <v/>
      </c>
    </row>
    <row r="371">
      <c r="A371" s="27" t="n"/>
      <c r="B371" s="20" t="n"/>
      <c r="C371" s="23" t="n"/>
      <c r="D371" s="24" t="n"/>
      <c r="E371" s="7">
        <f>IF(OR(C371="",D371=""),"",IFERROR(C371*D371,""))</f>
        <v/>
      </c>
    </row>
    <row r="372">
      <c r="A372" s="27" t="n"/>
      <c r="B372" s="20" t="n"/>
      <c r="C372" s="23" t="n"/>
      <c r="D372" s="24" t="n"/>
      <c r="E372" s="7">
        <f>IF(OR(C372="",D372=""),"",IFERROR(C372*D372,""))</f>
        <v/>
      </c>
    </row>
    <row r="373">
      <c r="A373" s="27" t="n"/>
      <c r="B373" s="20" t="n"/>
      <c r="C373" s="23" t="n"/>
      <c r="D373" s="24" t="n"/>
      <c r="E373" s="7">
        <f>IF(OR(C373="",D373=""),"",IFERROR(C373*D373,""))</f>
        <v/>
      </c>
    </row>
    <row r="374">
      <c r="A374" s="27" t="n"/>
      <c r="B374" s="20" t="n"/>
      <c r="C374" s="23" t="n"/>
      <c r="D374" s="24" t="n"/>
      <c r="E374" s="7">
        <f>IF(OR(C374="",D374=""),"",IFERROR(C374*D374,""))</f>
        <v/>
      </c>
    </row>
    <row r="375">
      <c r="A375" s="27" t="n"/>
      <c r="B375" s="20" t="n"/>
      <c r="C375" s="23" t="n"/>
      <c r="D375" s="24" t="n"/>
      <c r="E375" s="7">
        <f>IF(OR(C375="",D375=""),"",IFERROR(C375*D375,""))</f>
        <v/>
      </c>
    </row>
    <row r="376">
      <c r="A376" s="27" t="n"/>
      <c r="B376" s="20" t="n"/>
      <c r="C376" s="23" t="n"/>
      <c r="D376" s="24" t="n"/>
      <c r="E376" s="7">
        <f>IF(OR(C376="",D376=""),"",IFERROR(C376*D376,""))</f>
        <v/>
      </c>
    </row>
    <row r="377">
      <c r="A377" s="27" t="n"/>
      <c r="B377" s="20" t="n"/>
      <c r="C377" s="23" t="n"/>
      <c r="D377" s="24" t="n"/>
      <c r="E377" s="7">
        <f>IF(OR(C377="",D377=""),"",IFERROR(C377*D377,""))</f>
        <v/>
      </c>
    </row>
    <row r="378">
      <c r="A378" s="27" t="n"/>
      <c r="B378" s="20" t="n"/>
      <c r="C378" s="23" t="n"/>
      <c r="D378" s="24" t="n"/>
      <c r="E378" s="7">
        <f>IF(OR(C378="",D378=""),"",IFERROR(C378*D378,""))</f>
        <v/>
      </c>
    </row>
    <row r="379">
      <c r="A379" s="27" t="n"/>
      <c r="B379" s="20" t="n"/>
      <c r="C379" s="23" t="n"/>
      <c r="D379" s="24" t="n"/>
      <c r="E379" s="7">
        <f>IF(OR(C379="",D379=""),"",IFERROR(C379*D379,""))</f>
        <v/>
      </c>
    </row>
    <row r="380">
      <c r="A380" s="27" t="n"/>
      <c r="B380" s="20" t="n"/>
      <c r="C380" s="23" t="n"/>
      <c r="D380" s="24" t="n"/>
      <c r="E380" s="7">
        <f>IF(OR(C380="",D380=""),"",IFERROR(C380*D380,""))</f>
        <v/>
      </c>
    </row>
    <row r="381">
      <c r="A381" s="27" t="n"/>
      <c r="B381" s="20" t="n"/>
      <c r="C381" s="23" t="n"/>
      <c r="D381" s="24" t="n"/>
      <c r="E381" s="7">
        <f>IF(OR(C381="",D381=""),"",IFERROR(C381*D381,""))</f>
        <v/>
      </c>
    </row>
    <row r="382">
      <c r="A382" s="27" t="n"/>
      <c r="B382" s="20" t="n"/>
      <c r="C382" s="23" t="n"/>
      <c r="D382" s="24" t="n"/>
      <c r="E382" s="7">
        <f>IF(OR(C382="",D382=""),"",IFERROR(C382*D382,""))</f>
        <v/>
      </c>
    </row>
    <row r="383">
      <c r="A383" s="27" t="n"/>
      <c r="B383" s="20" t="n"/>
      <c r="C383" s="23" t="n"/>
      <c r="D383" s="24" t="n"/>
      <c r="E383" s="7">
        <f>IF(OR(C383="",D383=""),"",IFERROR(C383*D383,""))</f>
        <v/>
      </c>
    </row>
    <row r="384">
      <c r="A384" s="27" t="n"/>
      <c r="B384" s="20" t="n"/>
      <c r="C384" s="23" t="n"/>
      <c r="D384" s="24" t="n"/>
      <c r="E384" s="7">
        <f>IF(OR(C384="",D384=""),"",IFERROR(C384*D384,""))</f>
        <v/>
      </c>
    </row>
    <row r="385">
      <c r="A385" s="27" t="n"/>
      <c r="B385" s="20" t="n"/>
      <c r="C385" s="23" t="n"/>
      <c r="D385" s="24" t="n"/>
      <c r="E385" s="7">
        <f>IF(OR(C385="",D385=""),"",IFERROR(C385*D385,""))</f>
        <v/>
      </c>
    </row>
    <row r="386">
      <c r="A386" s="27" t="n"/>
      <c r="B386" s="20" t="n"/>
      <c r="C386" s="23" t="n"/>
      <c r="D386" s="24" t="n"/>
      <c r="E386" s="7">
        <f>IF(OR(C386="",D386=""),"",IFERROR(C386*D386,""))</f>
        <v/>
      </c>
    </row>
    <row r="387">
      <c r="A387" s="27" t="n"/>
      <c r="B387" s="20" t="n"/>
      <c r="C387" s="23" t="n"/>
      <c r="D387" s="24" t="n"/>
      <c r="E387" s="7">
        <f>IF(OR(C387="",D387=""),"",IFERROR(C387*D387,""))</f>
        <v/>
      </c>
    </row>
    <row r="388">
      <c r="A388" s="27" t="n"/>
      <c r="B388" s="20" t="n"/>
      <c r="C388" s="23" t="n"/>
      <c r="D388" s="24" t="n"/>
      <c r="E388" s="7">
        <f>IF(OR(C388="",D388=""),"",IFERROR(C388*D388,""))</f>
        <v/>
      </c>
    </row>
    <row r="389">
      <c r="A389" s="27" t="n"/>
      <c r="B389" s="20" t="n"/>
      <c r="C389" s="23" t="n"/>
      <c r="D389" s="24" t="n"/>
      <c r="E389" s="7">
        <f>IF(OR(C389="",D389=""),"",IFERROR(C389*D389,""))</f>
        <v/>
      </c>
    </row>
    <row r="390">
      <c r="A390" s="27" t="n"/>
      <c r="B390" s="20" t="n"/>
      <c r="C390" s="23" t="n"/>
      <c r="D390" s="24" t="n"/>
      <c r="E390" s="7">
        <f>IF(OR(C390="",D390=""),"",IFERROR(C390*D390,""))</f>
        <v/>
      </c>
    </row>
    <row r="391">
      <c r="A391" s="27" t="n"/>
      <c r="B391" s="20" t="n"/>
      <c r="C391" s="23" t="n"/>
      <c r="D391" s="24" t="n"/>
      <c r="E391" s="7">
        <f>IF(OR(C391="",D391=""),"",IFERROR(C391*D391,""))</f>
        <v/>
      </c>
    </row>
    <row r="392">
      <c r="A392" s="27" t="n"/>
      <c r="B392" s="20" t="n"/>
      <c r="C392" s="23" t="n"/>
      <c r="D392" s="24" t="n"/>
      <c r="E392" s="7">
        <f>IF(OR(C392="",D392=""),"",IFERROR(C392*D392,""))</f>
        <v/>
      </c>
    </row>
    <row r="393">
      <c r="A393" s="27" t="n"/>
      <c r="B393" s="20" t="n"/>
      <c r="C393" s="23" t="n"/>
      <c r="D393" s="24" t="n"/>
      <c r="E393" s="7">
        <f>IF(OR(C393="",D393=""),"",IFERROR(C393*D393,""))</f>
        <v/>
      </c>
    </row>
    <row r="394">
      <c r="A394" s="27" t="n"/>
      <c r="B394" s="20" t="n"/>
      <c r="C394" s="23" t="n"/>
      <c r="D394" s="24" t="n"/>
      <c r="E394" s="7">
        <f>IF(OR(C394="",D394=""),"",IFERROR(C394*D394,""))</f>
        <v/>
      </c>
    </row>
    <row r="395">
      <c r="A395" s="27" t="n"/>
      <c r="B395" s="20" t="n"/>
      <c r="C395" s="23" t="n"/>
      <c r="D395" s="24" t="n"/>
      <c r="E395" s="7">
        <f>IF(OR(C395="",D395=""),"",IFERROR(C395*D395,""))</f>
        <v/>
      </c>
    </row>
    <row r="396">
      <c r="A396" s="27" t="n"/>
      <c r="B396" s="20" t="n"/>
      <c r="C396" s="23" t="n"/>
      <c r="D396" s="24" t="n"/>
      <c r="E396" s="7">
        <f>IF(OR(C396="",D396=""),"",IFERROR(C396*D396,""))</f>
        <v/>
      </c>
    </row>
    <row r="397">
      <c r="A397" s="27" t="n"/>
      <c r="B397" s="20" t="n"/>
      <c r="C397" s="23" t="n"/>
      <c r="D397" s="24" t="n"/>
      <c r="E397" s="7">
        <f>IF(OR(C397="",D397=""),"",IFERROR(C397*D397,""))</f>
        <v/>
      </c>
    </row>
    <row r="398">
      <c r="A398" s="27" t="n"/>
      <c r="B398" s="20" t="n"/>
      <c r="C398" s="23" t="n"/>
      <c r="D398" s="24" t="n"/>
      <c r="E398" s="7">
        <f>IF(OR(C398="",D398=""),"",IFERROR(C398*D398,""))</f>
        <v/>
      </c>
    </row>
    <row r="399">
      <c r="A399" s="27" t="n"/>
      <c r="B399" s="20" t="n"/>
      <c r="C399" s="23" t="n"/>
      <c r="D399" s="24" t="n"/>
      <c r="E399" s="7">
        <f>IF(OR(C399="",D399=""),"",IFERROR(C399*D399,""))</f>
        <v/>
      </c>
    </row>
    <row r="400">
      <c r="A400" s="27" t="n"/>
      <c r="B400" s="20" t="n"/>
      <c r="C400" s="23" t="n"/>
      <c r="D400" s="24" t="n"/>
      <c r="E400" s="7">
        <f>IF(OR(C400="",D400=""),"",IFERROR(C400*D400,""))</f>
        <v/>
      </c>
    </row>
    <row r="401">
      <c r="A401" s="27" t="n"/>
      <c r="B401" s="20" t="n"/>
      <c r="C401" s="23" t="n"/>
      <c r="D401" s="24" t="n"/>
      <c r="E401" s="7">
        <f>IF(OR(C401="",D401=""),"",IFERROR(C401*D401,""))</f>
        <v/>
      </c>
    </row>
    <row r="402">
      <c r="A402" s="27" t="n"/>
      <c r="B402" s="20" t="n"/>
      <c r="C402" s="23" t="n"/>
      <c r="D402" s="24" t="n"/>
      <c r="E402" s="7">
        <f>IF(OR(C402="",D402=""),"",IFERROR(C402*D402,""))</f>
        <v/>
      </c>
    </row>
    <row r="403">
      <c r="A403" s="27" t="n"/>
      <c r="B403" s="20" t="n"/>
      <c r="C403" s="23" t="n"/>
      <c r="D403" s="24" t="n"/>
      <c r="E403" s="7">
        <f>IF(OR(C403="",D403=""),"",IFERROR(C403*D403,""))</f>
        <v/>
      </c>
    </row>
    <row r="404">
      <c r="A404" s="27" t="n"/>
      <c r="B404" s="20" t="n"/>
      <c r="C404" s="23" t="n"/>
      <c r="D404" s="24" t="n"/>
      <c r="E404" s="7">
        <f>IF(OR(C404="",D404=""),"",IFERROR(C404*D404,""))</f>
        <v/>
      </c>
    </row>
    <row r="405">
      <c r="A405" s="27" t="n"/>
      <c r="B405" s="20" t="n"/>
      <c r="C405" s="23" t="n"/>
      <c r="D405" s="24" t="n"/>
      <c r="E405" s="7">
        <f>IF(OR(C405="",D405=""),"",IFERROR(C405*D405,""))</f>
        <v/>
      </c>
    </row>
    <row r="406">
      <c r="A406" s="27" t="n"/>
      <c r="B406" s="20" t="n"/>
      <c r="C406" s="23" t="n"/>
      <c r="D406" s="24" t="n"/>
      <c r="E406" s="7">
        <f>IF(OR(C406="",D406=""),"",IFERROR(C406*D406,""))</f>
        <v/>
      </c>
    </row>
    <row r="407">
      <c r="A407" s="27" t="n"/>
      <c r="B407" s="20" t="n"/>
      <c r="C407" s="23" t="n"/>
      <c r="D407" s="24" t="n"/>
      <c r="E407" s="7">
        <f>IF(OR(C407="",D407=""),"",IFERROR(C407*D407,""))</f>
        <v/>
      </c>
    </row>
    <row r="408">
      <c r="A408" s="27" t="n"/>
      <c r="B408" s="20" t="n"/>
      <c r="C408" s="23" t="n"/>
      <c r="D408" s="24" t="n"/>
      <c r="E408" s="7">
        <f>IF(OR(C408="",D408=""),"",IFERROR(C408*D408,""))</f>
        <v/>
      </c>
    </row>
    <row r="409">
      <c r="A409" s="27" t="n"/>
      <c r="B409" s="20" t="n"/>
      <c r="C409" s="23" t="n"/>
      <c r="D409" s="24" t="n"/>
      <c r="E409" s="7">
        <f>IF(OR(C409="",D409=""),"",IFERROR(C409*D409,""))</f>
        <v/>
      </c>
    </row>
    <row r="410">
      <c r="A410" s="27" t="n"/>
      <c r="B410" s="20" t="n"/>
      <c r="C410" s="23" t="n"/>
      <c r="D410" s="24" t="n"/>
      <c r="E410" s="7">
        <f>IF(OR(C410="",D410=""),"",IFERROR(C410*D410,""))</f>
        <v/>
      </c>
    </row>
    <row r="411">
      <c r="A411" s="27" t="n"/>
      <c r="B411" s="20" t="n"/>
      <c r="C411" s="23" t="n"/>
      <c r="D411" s="24" t="n"/>
      <c r="E411" s="7">
        <f>IF(OR(C411="",D411=""),"",IFERROR(C411*D411,""))</f>
        <v/>
      </c>
    </row>
    <row r="412">
      <c r="A412" s="27" t="n"/>
      <c r="B412" s="20" t="n"/>
      <c r="C412" s="23" t="n"/>
      <c r="D412" s="24" t="n"/>
      <c r="E412" s="7">
        <f>IF(OR(C412="",D412=""),"",IFERROR(C412*D412,""))</f>
        <v/>
      </c>
    </row>
    <row r="413">
      <c r="A413" s="27" t="n"/>
      <c r="B413" s="20" t="n"/>
      <c r="C413" s="23" t="n"/>
      <c r="D413" s="24" t="n"/>
      <c r="E413" s="7">
        <f>IF(OR(C413="",D413=""),"",IFERROR(C413*D413,""))</f>
        <v/>
      </c>
    </row>
    <row r="414">
      <c r="A414" s="27" t="n"/>
      <c r="B414" s="20" t="n"/>
      <c r="C414" s="23" t="n"/>
      <c r="D414" s="24" t="n"/>
      <c r="E414" s="7">
        <f>IF(OR(C414="",D414=""),"",IFERROR(C414*D414,""))</f>
        <v/>
      </c>
    </row>
    <row r="415">
      <c r="A415" s="27" t="n"/>
      <c r="B415" s="20" t="n"/>
      <c r="C415" s="23" t="n"/>
      <c r="D415" s="24" t="n"/>
      <c r="E415" s="7">
        <f>IF(OR(C415="",D415=""),"",IFERROR(C415*D415,""))</f>
        <v/>
      </c>
    </row>
    <row r="416">
      <c r="A416" s="27" t="n"/>
      <c r="B416" s="20" t="n"/>
      <c r="C416" s="23" t="n"/>
      <c r="D416" s="24" t="n"/>
      <c r="E416" s="7">
        <f>IF(OR(C416="",D416=""),"",IFERROR(C416*D416,""))</f>
        <v/>
      </c>
    </row>
    <row r="417">
      <c r="A417" s="27" t="n"/>
      <c r="B417" s="20" t="n"/>
      <c r="C417" s="23" t="n"/>
      <c r="D417" s="24" t="n"/>
      <c r="E417" s="7">
        <f>IF(OR(C417="",D417=""),"",IFERROR(C417*D417,""))</f>
        <v/>
      </c>
    </row>
    <row r="418">
      <c r="A418" s="27" t="n"/>
      <c r="B418" s="20" t="n"/>
      <c r="C418" s="23" t="n"/>
      <c r="D418" s="24" t="n"/>
      <c r="E418" s="7">
        <f>IF(OR(C418="",D418=""),"",IFERROR(C418*D418,""))</f>
        <v/>
      </c>
    </row>
    <row r="419">
      <c r="A419" s="27" t="n"/>
      <c r="B419" s="20" t="n"/>
      <c r="C419" s="23" t="n"/>
      <c r="D419" s="24" t="n"/>
      <c r="E419" s="7">
        <f>IF(OR(C419="",D419=""),"",IFERROR(C419*D419,""))</f>
        <v/>
      </c>
    </row>
    <row r="420">
      <c r="A420" s="27" t="n"/>
      <c r="B420" s="20" t="n"/>
      <c r="C420" s="23" t="n"/>
      <c r="D420" s="24" t="n"/>
      <c r="E420" s="7">
        <f>IF(OR(C420="",D420=""),"",IFERROR(C420*D420,""))</f>
        <v/>
      </c>
    </row>
    <row r="421">
      <c r="A421" s="27" t="n"/>
      <c r="B421" s="20" t="n"/>
      <c r="C421" s="23" t="n"/>
      <c r="D421" s="24" t="n"/>
      <c r="E421" s="7">
        <f>IF(OR(C421="",D421=""),"",IFERROR(C421*D421,""))</f>
        <v/>
      </c>
    </row>
    <row r="422">
      <c r="A422" s="27" t="n"/>
      <c r="B422" s="20" t="n"/>
      <c r="C422" s="23" t="n"/>
      <c r="D422" s="24" t="n"/>
      <c r="E422" s="7">
        <f>IF(OR(C422="",D422=""),"",IFERROR(C422*D422,""))</f>
        <v/>
      </c>
    </row>
    <row r="423">
      <c r="A423" s="27" t="n"/>
      <c r="B423" s="20" t="n"/>
      <c r="C423" s="23" t="n"/>
      <c r="D423" s="24" t="n"/>
      <c r="E423" s="7">
        <f>IF(OR(C423="",D423=""),"",IFERROR(C423*D423,""))</f>
        <v/>
      </c>
    </row>
    <row r="424">
      <c r="A424" s="27" t="n"/>
      <c r="B424" s="20" t="n"/>
      <c r="C424" s="23" t="n"/>
      <c r="D424" s="24" t="n"/>
      <c r="E424" s="7">
        <f>IF(OR(C424="",D424=""),"",IFERROR(C424*D424,""))</f>
        <v/>
      </c>
    </row>
    <row r="425">
      <c r="A425" s="27" t="n"/>
      <c r="B425" s="20" t="n"/>
      <c r="C425" s="23" t="n"/>
      <c r="D425" s="24" t="n"/>
      <c r="E425" s="7">
        <f>IF(OR(C425="",D425=""),"",IFERROR(C425*D425,""))</f>
        <v/>
      </c>
    </row>
    <row r="426">
      <c r="A426" s="27" t="n"/>
      <c r="B426" s="20" t="n"/>
      <c r="C426" s="23" t="n"/>
      <c r="D426" s="24" t="n"/>
      <c r="E426" s="7">
        <f>IF(OR(C426="",D426=""),"",IFERROR(C426*D426,""))</f>
        <v/>
      </c>
    </row>
    <row r="427">
      <c r="A427" s="27" t="n"/>
      <c r="B427" s="20" t="n"/>
      <c r="C427" s="23" t="n"/>
      <c r="D427" s="24" t="n"/>
      <c r="E427" s="7">
        <f>IF(OR(C427="",D427=""),"",IFERROR(C427*D427,""))</f>
        <v/>
      </c>
    </row>
    <row r="428">
      <c r="A428" s="27" t="n"/>
      <c r="B428" s="20" t="n"/>
      <c r="C428" s="23" t="n"/>
      <c r="D428" s="24" t="n"/>
      <c r="E428" s="7">
        <f>IF(OR(C428="",D428=""),"",IFERROR(C428*D428,""))</f>
        <v/>
      </c>
    </row>
    <row r="429">
      <c r="A429" s="27" t="n"/>
      <c r="B429" s="20" t="n"/>
      <c r="C429" s="23" t="n"/>
      <c r="D429" s="24" t="n"/>
      <c r="E429" s="7">
        <f>IF(OR(C429="",D429=""),"",IFERROR(C429*D429,""))</f>
        <v/>
      </c>
    </row>
    <row r="430">
      <c r="A430" s="27" t="n"/>
      <c r="B430" s="20" t="n"/>
      <c r="C430" s="23" t="n"/>
      <c r="D430" s="24" t="n"/>
      <c r="E430" s="7">
        <f>IF(OR(C430="",D430=""),"",IFERROR(C430*D430,""))</f>
        <v/>
      </c>
    </row>
    <row r="431">
      <c r="A431" s="27" t="n"/>
      <c r="B431" s="20" t="n"/>
      <c r="C431" s="23" t="n"/>
      <c r="D431" s="24" t="n"/>
      <c r="E431" s="7">
        <f>IF(OR(C431="",D431=""),"",IFERROR(C431*D431,""))</f>
        <v/>
      </c>
    </row>
    <row r="432">
      <c r="A432" s="27" t="n"/>
      <c r="B432" s="20" t="n"/>
      <c r="C432" s="23" t="n"/>
      <c r="D432" s="24" t="n"/>
      <c r="E432" s="7">
        <f>IF(OR(C432="",D432=""),"",IFERROR(C432*D432,""))</f>
        <v/>
      </c>
    </row>
    <row r="433">
      <c r="A433" s="27" t="n"/>
      <c r="B433" s="20" t="n"/>
      <c r="C433" s="23" t="n"/>
      <c r="D433" s="24" t="n"/>
      <c r="E433" s="7">
        <f>IF(OR(C433="",D433=""),"",IFERROR(C433*D433,""))</f>
        <v/>
      </c>
    </row>
    <row r="434">
      <c r="A434" s="27" t="n"/>
      <c r="B434" s="20" t="n"/>
      <c r="C434" s="23" t="n"/>
      <c r="D434" s="24" t="n"/>
      <c r="E434" s="7">
        <f>IF(OR(C434="",D434=""),"",IFERROR(C434*D434,""))</f>
        <v/>
      </c>
    </row>
    <row r="435">
      <c r="A435" s="27" t="n"/>
      <c r="B435" s="20" t="n"/>
      <c r="C435" s="23" t="n"/>
      <c r="D435" s="24" t="n"/>
      <c r="E435" s="7">
        <f>IF(OR(C435="",D435=""),"",IFERROR(C435*D435,""))</f>
        <v/>
      </c>
    </row>
    <row r="436">
      <c r="A436" s="27" t="n"/>
      <c r="B436" s="20" t="n"/>
      <c r="C436" s="23" t="n"/>
      <c r="D436" s="24" t="n"/>
      <c r="E436" s="7">
        <f>IF(OR(C436="",D436=""),"",IFERROR(C436*D436,""))</f>
        <v/>
      </c>
    </row>
    <row r="437">
      <c r="A437" s="27" t="n"/>
      <c r="B437" s="20" t="n"/>
      <c r="C437" s="23" t="n"/>
      <c r="D437" s="24" t="n"/>
      <c r="E437" s="7">
        <f>IF(OR(C437="",D437=""),"",IFERROR(C437*D437,""))</f>
        <v/>
      </c>
    </row>
    <row r="438">
      <c r="A438" s="27" t="n"/>
      <c r="B438" s="20" t="n"/>
      <c r="C438" s="23" t="n"/>
      <c r="D438" s="24" t="n"/>
      <c r="E438" s="7">
        <f>IF(OR(C438="",D438=""),"",IFERROR(C438*D438,""))</f>
        <v/>
      </c>
    </row>
    <row r="439">
      <c r="A439" s="27" t="n"/>
      <c r="B439" s="20" t="n"/>
      <c r="C439" s="23" t="n"/>
      <c r="D439" s="24" t="n"/>
      <c r="E439" s="7">
        <f>IF(OR(C439="",D439=""),"",IFERROR(C439*D439,""))</f>
        <v/>
      </c>
    </row>
    <row r="440">
      <c r="A440" s="27" t="n"/>
      <c r="B440" s="20" t="n"/>
      <c r="C440" s="23" t="n"/>
      <c r="D440" s="24" t="n"/>
      <c r="E440" s="7">
        <f>IF(OR(C440="",D440=""),"",IFERROR(C440*D440,""))</f>
        <v/>
      </c>
    </row>
    <row r="441">
      <c r="A441" s="27" t="n"/>
      <c r="B441" s="20" t="n"/>
      <c r="C441" s="23" t="n"/>
      <c r="D441" s="24" t="n"/>
      <c r="E441" s="7">
        <f>IF(OR(C441="",D441=""),"",IFERROR(C441*D441,""))</f>
        <v/>
      </c>
    </row>
    <row r="442">
      <c r="A442" s="27" t="n"/>
      <c r="B442" s="20" t="n"/>
      <c r="C442" s="23" t="n"/>
      <c r="D442" s="24" t="n"/>
      <c r="E442" s="7">
        <f>IF(OR(C442="",D442=""),"",IFERROR(C442*D442,""))</f>
        <v/>
      </c>
    </row>
    <row r="443">
      <c r="A443" s="27" t="n"/>
      <c r="B443" s="20" t="n"/>
      <c r="C443" s="23" t="n"/>
      <c r="D443" s="24" t="n"/>
      <c r="E443" s="7">
        <f>IF(OR(C443="",D443=""),"",IFERROR(C443*D443,""))</f>
        <v/>
      </c>
    </row>
    <row r="444">
      <c r="A444" s="27" t="n"/>
      <c r="B444" s="20" t="n"/>
      <c r="C444" s="23" t="n"/>
      <c r="D444" s="24" t="n"/>
      <c r="E444" s="7">
        <f>IF(OR(C444="",D444=""),"",IFERROR(C444*D444,""))</f>
        <v/>
      </c>
    </row>
    <row r="445">
      <c r="A445" s="27" t="n"/>
      <c r="B445" s="20" t="n"/>
      <c r="C445" s="23" t="n"/>
      <c r="D445" s="24" t="n"/>
      <c r="E445" s="7">
        <f>IF(OR(C445="",D445=""),"",IFERROR(C445*D445,""))</f>
        <v/>
      </c>
    </row>
    <row r="446">
      <c r="A446" s="27" t="n"/>
      <c r="B446" s="20" t="n"/>
      <c r="C446" s="23" t="n"/>
      <c r="D446" s="24" t="n"/>
      <c r="E446" s="7">
        <f>IF(OR(C446="",D446=""),"",IFERROR(C446*D446,""))</f>
        <v/>
      </c>
    </row>
    <row r="447">
      <c r="A447" s="27" t="n"/>
      <c r="B447" s="20" t="n"/>
      <c r="C447" s="23" t="n"/>
      <c r="D447" s="24" t="n"/>
      <c r="E447" s="7">
        <f>IF(OR(C447="",D447=""),"",IFERROR(C447*D447,""))</f>
        <v/>
      </c>
    </row>
    <row r="448">
      <c r="A448" s="27" t="n"/>
      <c r="B448" s="20" t="n"/>
      <c r="C448" s="23" t="n"/>
      <c r="D448" s="24" t="n"/>
      <c r="E448" s="7">
        <f>IF(OR(C448="",D448=""),"",IFERROR(C448*D448,""))</f>
        <v/>
      </c>
    </row>
    <row r="449">
      <c r="A449" s="27" t="n"/>
      <c r="B449" s="20" t="n"/>
      <c r="C449" s="23" t="n"/>
      <c r="D449" s="24" t="n"/>
      <c r="E449" s="7">
        <f>IF(OR(C449="",D449=""),"",IFERROR(C449*D449,""))</f>
        <v/>
      </c>
    </row>
    <row r="450">
      <c r="A450" s="27" t="n"/>
      <c r="B450" s="20" t="n"/>
      <c r="C450" s="23" t="n"/>
      <c r="D450" s="24" t="n"/>
      <c r="E450" s="7">
        <f>IF(OR(C450="",D450=""),"",IFERROR(C450*D450,""))</f>
        <v/>
      </c>
    </row>
    <row r="451">
      <c r="A451" s="27" t="n"/>
      <c r="B451" s="20" t="n"/>
      <c r="C451" s="23" t="n"/>
      <c r="D451" s="24" t="n"/>
      <c r="E451" s="7">
        <f>IF(OR(C451="",D451=""),"",IFERROR(C451*D451,""))</f>
        <v/>
      </c>
    </row>
    <row r="452">
      <c r="A452" s="27" t="n"/>
      <c r="B452" s="20" t="n"/>
      <c r="C452" s="23" t="n"/>
      <c r="D452" s="24" t="n"/>
      <c r="E452" s="7">
        <f>IF(OR(C452="",D452=""),"",IFERROR(C452*D452,""))</f>
        <v/>
      </c>
    </row>
    <row r="453">
      <c r="A453" s="27" t="n"/>
      <c r="B453" s="20" t="n"/>
      <c r="C453" s="23" t="n"/>
      <c r="D453" s="24" t="n"/>
      <c r="E453" s="7">
        <f>IF(OR(C453="",D453=""),"",IFERROR(C453*D453,""))</f>
        <v/>
      </c>
    </row>
    <row r="454">
      <c r="A454" s="27" t="n"/>
      <c r="B454" s="20" t="n"/>
      <c r="C454" s="23" t="n"/>
      <c r="D454" s="24" t="n"/>
      <c r="E454" s="7">
        <f>IF(OR(C454="",D454=""),"",IFERROR(C454*D454,""))</f>
        <v/>
      </c>
    </row>
    <row r="455">
      <c r="A455" s="27" t="n"/>
      <c r="B455" s="20" t="n"/>
      <c r="C455" s="23" t="n"/>
      <c r="D455" s="24" t="n"/>
      <c r="E455" s="7">
        <f>IF(OR(C455="",D455=""),"",IFERROR(C455*D455,""))</f>
        <v/>
      </c>
    </row>
    <row r="456">
      <c r="A456" s="27" t="n"/>
      <c r="B456" s="20" t="n"/>
      <c r="C456" s="23" t="n"/>
      <c r="D456" s="24" t="n"/>
      <c r="E456" s="7">
        <f>IF(OR(C456="",D456=""),"",IFERROR(C456*D456,""))</f>
        <v/>
      </c>
    </row>
    <row r="457">
      <c r="A457" s="27" t="n"/>
      <c r="B457" s="20" t="n"/>
      <c r="C457" s="23" t="n"/>
      <c r="D457" s="24" t="n"/>
      <c r="E457" s="7">
        <f>IF(OR(C457="",D457=""),"",IFERROR(C457*D457,""))</f>
        <v/>
      </c>
    </row>
    <row r="458">
      <c r="A458" s="27" t="n"/>
      <c r="B458" s="20" t="n"/>
      <c r="C458" s="23" t="n"/>
      <c r="D458" s="24" t="n"/>
      <c r="E458" s="7">
        <f>IF(OR(C458="",D458=""),"",IFERROR(C458*D458,""))</f>
        <v/>
      </c>
    </row>
    <row r="459">
      <c r="A459" s="27" t="n"/>
      <c r="B459" s="20" t="n"/>
      <c r="C459" s="23" t="n"/>
      <c r="D459" s="24" t="n"/>
      <c r="E459" s="7">
        <f>IF(OR(C459="",D459=""),"",IFERROR(C459*D459,""))</f>
        <v/>
      </c>
    </row>
    <row r="460">
      <c r="A460" s="27" t="n"/>
      <c r="B460" s="20" t="n"/>
      <c r="C460" s="23" t="n"/>
      <c r="D460" s="24" t="n"/>
      <c r="E460" s="7">
        <f>IF(OR(C460="",D460=""),"",IFERROR(C460*D460,""))</f>
        <v/>
      </c>
    </row>
    <row r="461">
      <c r="A461" s="27" t="n"/>
      <c r="B461" s="20" t="n"/>
      <c r="C461" s="23" t="n"/>
      <c r="D461" s="24" t="n"/>
      <c r="E461" s="7">
        <f>IF(OR(C461="",D461=""),"",IFERROR(C461*D461,""))</f>
        <v/>
      </c>
    </row>
    <row r="462">
      <c r="A462" s="27" t="n"/>
      <c r="B462" s="20" t="n"/>
      <c r="C462" s="23" t="n"/>
      <c r="D462" s="24" t="n"/>
      <c r="E462" s="7">
        <f>IF(OR(C462="",D462=""),"",IFERROR(C462*D462,""))</f>
        <v/>
      </c>
    </row>
    <row r="463">
      <c r="A463" s="27" t="n"/>
      <c r="B463" s="20" t="n"/>
      <c r="C463" s="23" t="n"/>
      <c r="D463" s="24" t="n"/>
      <c r="E463" s="7">
        <f>IF(OR(C463="",D463=""),"",IFERROR(C463*D463,""))</f>
        <v/>
      </c>
    </row>
    <row r="464">
      <c r="A464" s="27" t="n"/>
      <c r="B464" s="20" t="n"/>
      <c r="C464" s="23" t="n"/>
      <c r="D464" s="24" t="n"/>
      <c r="E464" s="7">
        <f>IF(OR(C464="",D464=""),"",IFERROR(C464*D464,""))</f>
        <v/>
      </c>
    </row>
    <row r="465">
      <c r="A465" s="27" t="n"/>
      <c r="B465" s="20" t="n"/>
      <c r="C465" s="23" t="n"/>
      <c r="D465" s="24" t="n"/>
      <c r="E465" s="7">
        <f>IF(OR(C465="",D465=""),"",IFERROR(C465*D465,""))</f>
        <v/>
      </c>
    </row>
    <row r="466">
      <c r="A466" s="27" t="n"/>
      <c r="B466" s="20" t="n"/>
      <c r="C466" s="23" t="n"/>
      <c r="D466" s="24" t="n"/>
      <c r="E466" s="7">
        <f>IF(OR(C466="",D466=""),"",IFERROR(C466*D466,""))</f>
        <v/>
      </c>
    </row>
    <row r="467">
      <c r="A467" s="27" t="n"/>
      <c r="B467" s="20" t="n"/>
      <c r="C467" s="23" t="n"/>
      <c r="D467" s="24" t="n"/>
      <c r="E467" s="7">
        <f>IF(OR(C467="",D467=""),"",IFERROR(C467*D467,""))</f>
        <v/>
      </c>
    </row>
    <row r="468">
      <c r="A468" s="27" t="n"/>
      <c r="B468" s="20" t="n"/>
      <c r="C468" s="23" t="n"/>
      <c r="D468" s="24" t="n"/>
      <c r="E468" s="7">
        <f>IF(OR(C468="",D468=""),"",IFERROR(C468*D468,""))</f>
        <v/>
      </c>
    </row>
    <row r="469">
      <c r="A469" s="27" t="n"/>
      <c r="B469" s="20" t="n"/>
      <c r="C469" s="23" t="n"/>
      <c r="D469" s="24" t="n"/>
      <c r="E469" s="7">
        <f>IF(OR(C469="",D469=""),"",IFERROR(C469*D469,""))</f>
        <v/>
      </c>
    </row>
    <row r="470">
      <c r="A470" s="27" t="n"/>
      <c r="B470" s="20" t="n"/>
      <c r="C470" s="23" t="n"/>
      <c r="D470" s="24" t="n"/>
      <c r="E470" s="7">
        <f>IF(OR(C470="",D470=""),"",IFERROR(C470*D470,""))</f>
        <v/>
      </c>
    </row>
    <row r="471">
      <c r="A471" s="27" t="n"/>
      <c r="B471" s="20" t="n"/>
      <c r="C471" s="23" t="n"/>
      <c r="D471" s="24" t="n"/>
      <c r="E471" s="7">
        <f>IF(OR(C471="",D471=""),"",IFERROR(C471*D471,""))</f>
        <v/>
      </c>
    </row>
    <row r="472">
      <c r="A472" s="27" t="n"/>
      <c r="B472" s="20" t="n"/>
      <c r="C472" s="23" t="n"/>
      <c r="D472" s="24" t="n"/>
      <c r="E472" s="7">
        <f>IF(OR(C472="",D472=""),"",IFERROR(C472*D472,""))</f>
        <v/>
      </c>
    </row>
    <row r="473">
      <c r="A473" s="27" t="n"/>
      <c r="B473" s="20" t="n"/>
      <c r="C473" s="23" t="n"/>
      <c r="D473" s="24" t="n"/>
      <c r="E473" s="7">
        <f>IF(OR(C473="",D473=""),"",IFERROR(C473*D473,""))</f>
        <v/>
      </c>
    </row>
    <row r="474">
      <c r="A474" s="27" t="n"/>
      <c r="B474" s="20" t="n"/>
      <c r="C474" s="23" t="n"/>
      <c r="D474" s="24" t="n"/>
      <c r="E474" s="7">
        <f>IF(OR(C474="",D474=""),"",IFERROR(C474*D474,""))</f>
        <v/>
      </c>
    </row>
    <row r="475">
      <c r="A475" s="27" t="n"/>
      <c r="B475" s="20" t="n"/>
      <c r="C475" s="23" t="n"/>
      <c r="D475" s="24" t="n"/>
      <c r="E475" s="7">
        <f>IF(OR(C475="",D475=""),"",IFERROR(C475*D475,""))</f>
        <v/>
      </c>
    </row>
    <row r="476">
      <c r="A476" s="27" t="n"/>
      <c r="B476" s="20" t="n"/>
      <c r="C476" s="23" t="n"/>
      <c r="D476" s="24" t="n"/>
      <c r="E476" s="7">
        <f>IF(OR(C476="",D476=""),"",IFERROR(C476*D476,""))</f>
        <v/>
      </c>
    </row>
    <row r="477">
      <c r="A477" s="27" t="n"/>
      <c r="B477" s="20" t="n"/>
      <c r="C477" s="23" t="n"/>
      <c r="D477" s="24" t="n"/>
      <c r="E477" s="7">
        <f>IF(OR(C477="",D477=""),"",IFERROR(C477*D477,""))</f>
        <v/>
      </c>
    </row>
    <row r="478">
      <c r="A478" s="27" t="n"/>
      <c r="B478" s="20" t="n"/>
      <c r="C478" s="23" t="n"/>
      <c r="D478" s="24" t="n"/>
      <c r="E478" s="7">
        <f>IF(OR(C478="",D478=""),"",IFERROR(C478*D478,""))</f>
        <v/>
      </c>
    </row>
    <row r="479">
      <c r="A479" s="27" t="n"/>
      <c r="B479" s="20" t="n"/>
      <c r="C479" s="23" t="n"/>
      <c r="D479" s="24" t="n"/>
      <c r="E479" s="7">
        <f>IF(OR(C479="",D479=""),"",IFERROR(C479*D479,""))</f>
        <v/>
      </c>
    </row>
    <row r="480">
      <c r="A480" s="27" t="n"/>
      <c r="B480" s="20" t="n"/>
      <c r="C480" s="23" t="n"/>
      <c r="D480" s="24" t="n"/>
      <c r="E480" s="7">
        <f>IF(OR(C480="",D480=""),"",IFERROR(C480*D480,""))</f>
        <v/>
      </c>
    </row>
    <row r="481">
      <c r="A481" s="27" t="n"/>
      <c r="B481" s="20" t="n"/>
      <c r="C481" s="23" t="n"/>
      <c r="D481" s="24" t="n"/>
      <c r="E481" s="7">
        <f>IF(OR(C481="",D481=""),"",IFERROR(C481*D481,""))</f>
        <v/>
      </c>
    </row>
    <row r="482">
      <c r="A482" s="27" t="n"/>
      <c r="B482" s="20" t="n"/>
      <c r="C482" s="23" t="n"/>
      <c r="D482" s="24" t="n"/>
      <c r="E482" s="7">
        <f>IF(OR(C482="",D482=""),"",IFERROR(C482*D482,""))</f>
        <v/>
      </c>
    </row>
    <row r="483">
      <c r="A483" s="27" t="n"/>
      <c r="B483" s="20" t="n"/>
      <c r="C483" s="23" t="n"/>
      <c r="D483" s="24" t="n"/>
      <c r="E483" s="7">
        <f>IF(OR(C483="",D483=""),"",IFERROR(C483*D483,""))</f>
        <v/>
      </c>
    </row>
    <row r="484">
      <c r="A484" s="27" t="n"/>
      <c r="B484" s="20" t="n"/>
      <c r="C484" s="23" t="n"/>
      <c r="D484" s="24" t="n"/>
      <c r="E484" s="7">
        <f>IF(OR(C484="",D484=""),"",IFERROR(C484*D484,""))</f>
        <v/>
      </c>
    </row>
    <row r="485">
      <c r="A485" s="27" t="n"/>
      <c r="B485" s="20" t="n"/>
      <c r="C485" s="23" t="n"/>
      <c r="D485" s="24" t="n"/>
      <c r="E485" s="7">
        <f>IF(OR(C485="",D485=""),"",IFERROR(C485*D485,""))</f>
        <v/>
      </c>
    </row>
    <row r="486">
      <c r="A486" s="27" t="n"/>
      <c r="B486" s="20" t="n"/>
      <c r="C486" s="23" t="n"/>
      <c r="D486" s="24" t="n"/>
      <c r="E486" s="7">
        <f>IF(OR(C486="",D486=""),"",IFERROR(C486*D486,""))</f>
        <v/>
      </c>
    </row>
    <row r="487">
      <c r="A487" s="27" t="n"/>
      <c r="B487" s="20" t="n"/>
      <c r="C487" s="23" t="n"/>
      <c r="D487" s="24" t="n"/>
      <c r="E487" s="7">
        <f>IF(OR(C487="",D487=""),"",IFERROR(C487*D487,""))</f>
        <v/>
      </c>
    </row>
    <row r="488">
      <c r="A488" s="27" t="n"/>
      <c r="B488" s="20" t="n"/>
      <c r="C488" s="23" t="n"/>
      <c r="D488" s="24" t="n"/>
      <c r="E488" s="7">
        <f>IF(OR(C488="",D488=""),"",IFERROR(C488*D488,""))</f>
        <v/>
      </c>
    </row>
    <row r="489">
      <c r="A489" s="27" t="n"/>
      <c r="B489" s="20" t="n"/>
      <c r="C489" s="23" t="n"/>
      <c r="D489" s="24" t="n"/>
      <c r="E489" s="7">
        <f>IF(OR(C489="",D489=""),"",IFERROR(C489*D489,""))</f>
        <v/>
      </c>
    </row>
    <row r="490">
      <c r="A490" s="27" t="n"/>
      <c r="B490" s="20" t="n"/>
      <c r="C490" s="23" t="n"/>
      <c r="D490" s="24" t="n"/>
      <c r="E490" s="7">
        <f>IF(OR(C490="",D490=""),"",IFERROR(C490*D490,""))</f>
        <v/>
      </c>
    </row>
    <row r="491">
      <c r="A491" s="27" t="n"/>
      <c r="B491" s="20" t="n"/>
      <c r="C491" s="23" t="n"/>
      <c r="D491" s="24" t="n"/>
      <c r="E491" s="7">
        <f>IF(OR(C491="",D491=""),"",IFERROR(C491*D491,""))</f>
        <v/>
      </c>
    </row>
    <row r="492">
      <c r="A492" s="27" t="n"/>
      <c r="B492" s="20" t="n"/>
      <c r="C492" s="23" t="n"/>
      <c r="D492" s="24" t="n"/>
      <c r="E492" s="7">
        <f>IF(OR(C492="",D492=""),"",IFERROR(C492*D492,""))</f>
        <v/>
      </c>
    </row>
    <row r="493">
      <c r="A493" s="27" t="n"/>
      <c r="B493" s="20" t="n"/>
      <c r="C493" s="23" t="n"/>
      <c r="D493" s="24" t="n"/>
      <c r="E493" s="7">
        <f>IF(OR(C493="",D493=""),"",IFERROR(C493*D493,""))</f>
        <v/>
      </c>
    </row>
    <row r="494">
      <c r="A494" s="27" t="n"/>
      <c r="B494" s="20" t="n"/>
      <c r="C494" s="23" t="n"/>
      <c r="D494" s="24" t="n"/>
      <c r="E494" s="7">
        <f>IF(OR(C494="",D494=""),"",IFERROR(C494*D494,""))</f>
        <v/>
      </c>
    </row>
    <row r="495">
      <c r="A495" s="27" t="n"/>
      <c r="B495" s="20" t="n"/>
      <c r="C495" s="23" t="n"/>
      <c r="D495" s="24" t="n"/>
      <c r="E495" s="7">
        <f>IF(OR(C495="",D495=""),"",IFERROR(C495*D495,""))</f>
        <v/>
      </c>
    </row>
    <row r="496">
      <c r="A496" s="27" t="n"/>
      <c r="B496" s="20" t="n"/>
      <c r="C496" s="23" t="n"/>
      <c r="D496" s="24" t="n"/>
      <c r="E496" s="7">
        <f>IF(OR(C496="",D496=""),"",IFERROR(C496*D496,""))</f>
        <v/>
      </c>
    </row>
    <row r="497">
      <c r="A497" s="27" t="n"/>
      <c r="B497" s="20" t="n"/>
      <c r="C497" s="23" t="n"/>
      <c r="D497" s="24" t="n"/>
      <c r="E497" s="7">
        <f>IF(OR(C497="",D497=""),"",IFERROR(C497*D497,""))</f>
        <v/>
      </c>
    </row>
    <row r="498">
      <c r="A498" s="27" t="n"/>
      <c r="B498" s="20" t="n"/>
      <c r="C498" s="23" t="n"/>
      <c r="D498" s="24" t="n"/>
      <c r="E498" s="7">
        <f>IF(OR(C498="",D498=""),"",IFERROR(C498*D498,""))</f>
        <v/>
      </c>
    </row>
    <row r="499">
      <c r="A499" s="27" t="n"/>
      <c r="B499" s="20" t="n"/>
      <c r="C499" s="23" t="n"/>
      <c r="D499" s="24" t="n"/>
      <c r="E499" s="7">
        <f>IF(OR(C499="",D499=""),"",IFERROR(C499*D499,""))</f>
        <v/>
      </c>
    </row>
    <row r="500">
      <c r="A500" s="27" t="n"/>
      <c r="B500" s="20" t="n"/>
      <c r="C500" s="23" t="n"/>
      <c r="D500" s="24" t="n"/>
      <c r="E500" s="7">
        <f>IF(OR(C500="",D500=""),"",IFERROR(C500*D500,""))</f>
        <v/>
      </c>
    </row>
    <row r="501">
      <c r="A501" s="27" t="n"/>
      <c r="B501" s="20" t="n"/>
      <c r="C501" s="23" t="n"/>
      <c r="D501" s="24" t="n"/>
      <c r="E501" s="7">
        <f>IF(OR(C501="",D501=""),"",IFERROR(C501*D501,""))</f>
        <v/>
      </c>
    </row>
    <row r="502">
      <c r="A502" s="27" t="n"/>
      <c r="B502" s="20" t="n"/>
      <c r="C502" s="23" t="n"/>
      <c r="D502" s="24" t="n"/>
      <c r="E502" s="7">
        <f>IF(OR(C502="",D502=""),"",IFERROR(C502*D502,""))</f>
        <v/>
      </c>
    </row>
    <row r="503">
      <c r="A503" s="27" t="n"/>
      <c r="B503" s="20" t="n"/>
      <c r="C503" s="23" t="n"/>
      <c r="D503" s="24" t="n"/>
      <c r="E503" s="7">
        <f>IF(OR(C503="",D503=""),"",IFERROR(C503*D503,""))</f>
        <v/>
      </c>
    </row>
    <row r="504">
      <c r="A504" s="27" t="n"/>
      <c r="B504" s="20" t="n"/>
      <c r="C504" s="23" t="n"/>
      <c r="D504" s="24" t="n"/>
      <c r="E504" s="7">
        <f>IF(OR(C504="",D504=""),"",IFERROR(C504*D504,""))</f>
        <v/>
      </c>
    </row>
    <row r="505">
      <c r="D505" s="8" t="inlineStr">
        <is>
          <t>TOTAL</t>
        </is>
      </c>
      <c r="E505" s="9">
        <f>SUM(E5:E504)</f>
        <v/>
      </c>
    </row>
  </sheetData>
  <mergeCells count="2">
    <mergeCell ref="A2:E2"/>
    <mergeCell ref="A1:E1"/>
  </mergeCells>
  <dataValidations count="1">
    <dataValidation sqref="A5:A504" showDropDown="0" showInputMessage="0" showErrorMessage="1" allowBlank="1" error="Entre une date (jj/mm/aaaa).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4" customWidth="1" min="4" max="4"/>
    <col width="14" customWidth="1" min="5" max="5"/>
    <col width="15" customWidth="1" min="6" max="6"/>
    <col width="11" customWidth="1" min="7" max="7"/>
    <col width="15" customWidth="1" min="8" max="8"/>
  </cols>
  <sheetData>
    <row r="1" ht="26" customHeight="1">
      <c r="A1" s="1" t="inlineStr">
        <is>
          <t>Produits — Yellow Jake</t>
        </is>
      </c>
    </row>
    <row r="2">
      <c r="A2" s="2" t="inlineStr">
        <is>
          <t>Coût calculé depuis les recettes. 1 craft = 5 unités. Prix de vente et unités/craft modifiables (jaune).</t>
        </is>
      </c>
    </row>
    <row r="4" ht="30" customHeight="1">
      <c r="A4" s="19" t="inlineStr">
        <is>
          <t>Produit</t>
        </is>
      </c>
      <c r="B4" s="19" t="inlineStr">
        <is>
          <t>Coût du craft</t>
        </is>
      </c>
      <c r="C4" s="19" t="inlineStr">
        <is>
          <t>Unités par craft</t>
        </is>
      </c>
      <c r="D4" s="19" t="inlineStr">
        <is>
          <t>Coût unitaire</t>
        </is>
      </c>
      <c r="E4" s="19" t="inlineStr">
        <is>
          <t>Prix de vente</t>
        </is>
      </c>
      <c r="F4" s="19" t="inlineStr">
        <is>
          <t>Bénéfice / unité</t>
        </is>
      </c>
      <c r="G4" s="19" t="inlineStr">
        <is>
          <t>Marge</t>
        </is>
      </c>
      <c r="H4" s="19" t="inlineStr">
        <is>
          <t>Bénéfice / craft</t>
        </is>
      </c>
    </row>
    <row r="5">
      <c r="A5" s="6" t="inlineStr">
        <is>
          <t>Téquila</t>
        </is>
      </c>
      <c r="B5" s="7">
        <f>SUMPRODUCT(Recettes!$B$5:$K$5,Recettes!B6:K6)</f>
        <v/>
      </c>
      <c r="C5" s="21" t="n">
        <v>5</v>
      </c>
      <c r="D5" s="7">
        <f>IFERROR(B5/C5,0)</f>
        <v/>
      </c>
      <c r="E5" s="24" t="n">
        <v>240</v>
      </c>
      <c r="F5" s="7">
        <f>E5-D5</f>
        <v/>
      </c>
      <c r="G5" s="26">
        <f>IFERROR(F5/E5,0)</f>
        <v/>
      </c>
      <c r="H5" s="7">
        <f>C5*E5-B5</f>
        <v/>
      </c>
    </row>
    <row r="6">
      <c r="A6" s="6" t="inlineStr">
        <is>
          <t>Shot</t>
        </is>
      </c>
      <c r="B6" s="7">
        <f>SUMPRODUCT(Recettes!$B$5:$K$5,Recettes!B7:K7)</f>
        <v/>
      </c>
      <c r="C6" s="21" t="n">
        <v>5</v>
      </c>
      <c r="D6" s="7">
        <f>IFERROR(B6/C6,0)</f>
        <v/>
      </c>
      <c r="E6" s="24" t="n">
        <v>120</v>
      </c>
      <c r="F6" s="7">
        <f>E6-D6</f>
        <v/>
      </c>
      <c r="G6" s="26">
        <f>IFERROR(F6/E6,0)</f>
        <v/>
      </c>
      <c r="H6" s="7">
        <f>C6*E6-B6</f>
        <v/>
      </c>
    </row>
    <row r="7">
      <c r="A7" s="6" t="inlineStr">
        <is>
          <t>Bière</t>
        </is>
      </c>
      <c r="B7" s="7">
        <f>SUMPRODUCT(Recettes!$B$5:$K$5,Recettes!B8:K8)</f>
        <v/>
      </c>
      <c r="C7" s="21" t="n">
        <v>5</v>
      </c>
      <c r="D7" s="7">
        <f>IFERROR(B7/C7,0)</f>
        <v/>
      </c>
      <c r="E7" s="24" t="n">
        <v>150</v>
      </c>
      <c r="F7" s="7">
        <f>E7-D7</f>
        <v/>
      </c>
      <c r="G7" s="26">
        <f>IFERROR(F7/E7,0)</f>
        <v/>
      </c>
      <c r="H7" s="7">
        <f>C7*E7-B7</f>
        <v/>
      </c>
    </row>
    <row r="8">
      <c r="A8" s="6" t="inlineStr">
        <is>
          <t>Whisky</t>
        </is>
      </c>
      <c r="B8" s="7">
        <f>SUMPRODUCT(Recettes!$B$5:$K$5,Recettes!B9:K9)</f>
        <v/>
      </c>
      <c r="C8" s="21" t="n">
        <v>5</v>
      </c>
      <c r="D8" s="7">
        <f>IFERROR(B8/C8,0)</f>
        <v/>
      </c>
      <c r="E8" s="24" t="n">
        <v>250</v>
      </c>
      <c r="F8" s="7">
        <f>E8-D8</f>
        <v/>
      </c>
      <c r="G8" s="26">
        <f>IFERROR(F8/E8,0)</f>
        <v/>
      </c>
      <c r="H8" s="7">
        <f>C8*E8-B8</f>
        <v/>
      </c>
    </row>
    <row r="9">
      <c r="A9" s="6" t="inlineStr">
        <is>
          <t>Limonade</t>
        </is>
      </c>
      <c r="B9" s="7">
        <f>SUMPRODUCT(Recettes!$B$5:$K$5,Recettes!B10:K10)</f>
        <v/>
      </c>
      <c r="C9" s="21" t="n">
        <v>5</v>
      </c>
      <c r="D9" s="7">
        <f>IFERROR(B9/C9,0)</f>
        <v/>
      </c>
      <c r="E9" s="24" t="n">
        <v>90</v>
      </c>
      <c r="F9" s="7">
        <f>E9-D9</f>
        <v/>
      </c>
      <c r="G9" s="26">
        <f>IFERROR(F9/E9,0)</f>
        <v/>
      </c>
      <c r="H9" s="7">
        <f>C9*E9-B9</f>
        <v/>
      </c>
    </row>
    <row r="10">
      <c r="A10" s="6" t="inlineStr">
        <is>
          <t>Jus d'orange</t>
        </is>
      </c>
      <c r="B10" s="7">
        <f>SUMPRODUCT(Recettes!$B$5:$K$5,Recettes!B11:K11)</f>
        <v/>
      </c>
      <c r="C10" s="21" t="n">
        <v>5</v>
      </c>
      <c r="D10" s="7">
        <f>IFERROR(B10/C10,0)</f>
        <v/>
      </c>
      <c r="E10" s="24" t="n">
        <v>110</v>
      </c>
      <c r="F10" s="7">
        <f>E10-D10</f>
        <v/>
      </c>
      <c r="G10" s="26">
        <f>IFERROR(F10/E10,0)</f>
        <v/>
      </c>
      <c r="H10" s="7">
        <f>C10*E10-B10</f>
        <v/>
      </c>
    </row>
    <row r="11">
      <c r="A11" s="6" t="inlineStr">
        <is>
          <t>Cola</t>
        </is>
      </c>
      <c r="B11" s="7">
        <f>SUMPRODUCT(Recettes!$B$5:$K$5,Recettes!B12:K12)</f>
        <v/>
      </c>
      <c r="C11" s="21" t="n">
        <v>5</v>
      </c>
      <c r="D11" s="7">
        <f>IFERROR(B11/C11,0)</f>
        <v/>
      </c>
      <c r="E11" s="24" t="n">
        <v>100</v>
      </c>
      <c r="F11" s="7">
        <f>E11-D11</f>
        <v/>
      </c>
      <c r="G11" s="26">
        <f>IFERROR(F11/E11,0)</f>
        <v/>
      </c>
      <c r="H11" s="7">
        <f>C11*E11-B11</f>
        <v/>
      </c>
    </row>
    <row r="12">
      <c r="A12" s="6" t="inlineStr">
        <is>
          <t>Boisson énergisante</t>
        </is>
      </c>
      <c r="B12" s="7">
        <f>SUMPRODUCT(Recettes!$B$5:$K$5,Recettes!B13:K13)</f>
        <v/>
      </c>
      <c r="C12" s="21" t="n">
        <v>5</v>
      </c>
      <c r="D12" s="7">
        <f>IFERROR(B12/C12,0)</f>
        <v/>
      </c>
      <c r="E12" s="24" t="n">
        <v>180</v>
      </c>
      <c r="F12" s="7">
        <f>E12-D12</f>
        <v/>
      </c>
      <c r="G12" s="26">
        <f>IFERROR(F12/E12,0)</f>
        <v/>
      </c>
      <c r="H12" s="7">
        <f>C12*E12-B12</f>
        <v/>
      </c>
    </row>
    <row r="13">
      <c r="A13" s="6" t="inlineStr">
        <is>
          <t>BlackRider</t>
        </is>
      </c>
      <c r="B13" s="7">
        <f>SUMPRODUCT(Recettes!$B$5:$K$5,Recettes!B14:K14)</f>
        <v/>
      </c>
      <c r="C13" s="21" t="n">
        <v>5</v>
      </c>
      <c r="D13" s="7">
        <f>IFERROR(B13/C13,0)</f>
        <v/>
      </c>
      <c r="E13" s="24" t="n">
        <v>210</v>
      </c>
      <c r="F13" s="7">
        <f>E13-D13</f>
        <v/>
      </c>
      <c r="G13" s="26">
        <f>IFERROR(F13/E13,0)</f>
        <v/>
      </c>
      <c r="H13" s="7">
        <f>C13*E13-B13</f>
        <v/>
      </c>
    </row>
    <row r="14">
      <c r="A14" s="6" t="inlineStr">
        <is>
          <t>Burning Wheel</t>
        </is>
      </c>
      <c r="B14" s="7">
        <f>SUMPRODUCT(Recettes!$B$5:$K$5,Recettes!B15:K15)</f>
        <v/>
      </c>
      <c r="C14" s="21" t="n">
        <v>5</v>
      </c>
      <c r="D14" s="7">
        <f>IFERROR(B14/C14,0)</f>
        <v/>
      </c>
      <c r="E14" s="24" t="n">
        <v>220</v>
      </c>
      <c r="F14" s="7">
        <f>E14-D14</f>
        <v/>
      </c>
      <c r="G14" s="26">
        <f>IFERROR(F14/E14,0)</f>
        <v/>
      </c>
      <c r="H14" s="7">
        <f>C14*E14-B14</f>
        <v/>
      </c>
    </row>
    <row r="15">
      <c r="A15" s="6" t="inlineStr">
        <is>
          <t>Ghost Road</t>
        </is>
      </c>
      <c r="B15" s="7">
        <f>SUMPRODUCT(Recettes!$B$5:$K$5,Recettes!B16:K16)</f>
        <v/>
      </c>
      <c r="C15" s="21" t="n">
        <v>5</v>
      </c>
      <c r="D15" s="7">
        <f>IFERROR(B15/C15,0)</f>
        <v/>
      </c>
      <c r="E15" s="24" t="n">
        <v>200</v>
      </c>
      <c r="F15" s="7">
        <f>E15-D15</f>
        <v/>
      </c>
      <c r="G15" s="26">
        <f>IFERROR(F15/E15,0)</f>
        <v/>
      </c>
      <c r="H15" s="7">
        <f>C15*E15-B15</f>
        <v/>
      </c>
    </row>
    <row r="16">
      <c r="A16" s="6" t="inlineStr">
        <is>
          <t>Iron Beer</t>
        </is>
      </c>
      <c r="B16" s="7">
        <f>SUMPRODUCT(Recettes!$B$5:$K$5,Recettes!B17:K17)</f>
        <v/>
      </c>
      <c r="C16" s="21" t="n">
        <v>5</v>
      </c>
      <c r="D16" s="7">
        <f>IFERROR(B16/C16,0)</f>
        <v/>
      </c>
      <c r="E16" s="24" t="n">
        <v>170</v>
      </c>
      <c r="F16" s="7">
        <f>E16-D16</f>
        <v/>
      </c>
      <c r="G16" s="26">
        <f>IFERROR(F16/E16,0)</f>
        <v/>
      </c>
      <c r="H16" s="7">
        <f>C16*E16-B16</f>
        <v/>
      </c>
    </row>
    <row r="17">
      <c r="A17" s="6" t="inlineStr">
        <is>
          <t>Midnight Shot</t>
        </is>
      </c>
      <c r="B17" s="7">
        <f>SUMPRODUCT(Recettes!$B$5:$K$5,Recettes!B18:K18)</f>
        <v/>
      </c>
      <c r="C17" s="21" t="n">
        <v>5</v>
      </c>
      <c r="D17" s="7">
        <f>IFERROR(B17/C17,0)</f>
        <v/>
      </c>
      <c r="E17" s="24" t="n">
        <v>160</v>
      </c>
      <c r="F17" s="7">
        <f>E17-D17</f>
        <v/>
      </c>
      <c r="G17" s="26">
        <f>IFERROR(F17/E17,0)</f>
        <v/>
      </c>
      <c r="H17" s="7">
        <f>C17*E17-B17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26" customHeight="1">
      <c r="A1" s="1" t="inlineStr">
        <is>
          <t>Recettes — Yellow Jake</t>
        </is>
      </c>
    </row>
    <row r="2">
      <c r="A2" s="2" t="inlineStr">
        <is>
          <t>Quantité de chaque matière pour 1 craft. Ligne 5 = prix repris de l'onglet Matières.</t>
        </is>
      </c>
    </row>
    <row r="4" ht="30" customHeight="1">
      <c r="A4" s="19" t="inlineStr">
        <is>
          <t>Produit</t>
        </is>
      </c>
      <c r="B4" s="19" t="inlineStr">
        <is>
          <t>Agave</t>
        </is>
      </c>
      <c r="C4" s="19" t="inlineStr">
        <is>
          <t>Orge</t>
        </is>
      </c>
      <c r="D4" s="19" t="inlineStr">
        <is>
          <t>Citron</t>
        </is>
      </c>
      <c r="E4" s="19" t="inlineStr">
        <is>
          <t>Plantes sucrées</t>
        </is>
      </c>
      <c r="F4" s="19" t="inlineStr">
        <is>
          <t>Canne à sucre</t>
        </is>
      </c>
      <c r="G4" s="19" t="inlineStr">
        <is>
          <t>Alcool</t>
        </is>
      </c>
      <c r="H4" s="19" t="inlineStr">
        <is>
          <t>Alcool distillé</t>
        </is>
      </c>
      <c r="I4" s="19" t="inlineStr">
        <is>
          <t>Eau</t>
        </is>
      </c>
      <c r="J4" s="19" t="inlineStr">
        <is>
          <t>Sucre</t>
        </is>
      </c>
      <c r="K4" s="19" t="inlineStr">
        <is>
          <t>Orange</t>
        </is>
      </c>
    </row>
    <row r="5">
      <c r="A5" s="8" t="inlineStr">
        <is>
          <t>Prix unitaire →</t>
        </is>
      </c>
      <c r="B5" s="22">
        <f>Matières!$B$5</f>
        <v/>
      </c>
      <c r="C5" s="22">
        <f>Matières!$B$6</f>
        <v/>
      </c>
      <c r="D5" s="22">
        <f>Matières!$B$7</f>
        <v/>
      </c>
      <c r="E5" s="22">
        <f>Matières!$B$8</f>
        <v/>
      </c>
      <c r="F5" s="22">
        <f>Matières!$B$9</f>
        <v/>
      </c>
      <c r="G5" s="22">
        <f>Matières!$B$10</f>
        <v/>
      </c>
      <c r="H5" s="22">
        <f>Matières!$B$11</f>
        <v/>
      </c>
      <c r="I5" s="22">
        <f>Matières!$B$12</f>
        <v/>
      </c>
      <c r="J5" s="22">
        <f>Matières!$B$13</f>
        <v/>
      </c>
      <c r="K5" s="22">
        <f>Matières!$B$14</f>
        <v/>
      </c>
    </row>
    <row r="6">
      <c r="A6" s="6" t="inlineStr">
        <is>
          <t>Téquila</t>
        </is>
      </c>
      <c r="B6" s="30" t="n">
        <v>1</v>
      </c>
      <c r="C6" s="30" t="n"/>
      <c r="D6" s="30" t="n"/>
      <c r="E6" s="30" t="n"/>
      <c r="F6" s="30" t="n"/>
      <c r="G6" s="30" t="n"/>
      <c r="H6" s="30" t="n">
        <v>2</v>
      </c>
      <c r="I6" s="30" t="n"/>
      <c r="J6" s="30" t="n"/>
      <c r="K6" s="30" t="n"/>
    </row>
    <row r="7">
      <c r="A7" s="6" t="inlineStr">
        <is>
          <t>Shot</t>
        </is>
      </c>
      <c r="B7" s="30" t="n"/>
      <c r="C7" s="30" t="n"/>
      <c r="D7" s="30" t="n"/>
      <c r="E7" s="30" t="n"/>
      <c r="F7" s="30" t="n"/>
      <c r="G7" s="30" t="n"/>
      <c r="H7" s="30" t="n">
        <v>1</v>
      </c>
      <c r="I7" s="30" t="n"/>
      <c r="J7" s="30" t="n"/>
      <c r="K7" s="30" t="n"/>
    </row>
    <row r="8">
      <c r="A8" s="6" t="inlineStr">
        <is>
          <t>Bière</t>
        </is>
      </c>
      <c r="B8" s="30" t="n"/>
      <c r="C8" s="30" t="n">
        <v>1</v>
      </c>
      <c r="D8" s="30" t="n"/>
      <c r="E8" s="30" t="n"/>
      <c r="F8" s="30" t="n"/>
      <c r="G8" s="30" t="n"/>
      <c r="H8" s="30" t="n"/>
      <c r="I8" s="30" t="n">
        <v>1</v>
      </c>
      <c r="J8" s="30" t="n"/>
      <c r="K8" s="30" t="n"/>
    </row>
    <row r="9">
      <c r="A9" s="6" t="inlineStr">
        <is>
          <t>Whisky</t>
        </is>
      </c>
      <c r="B9" s="30" t="n"/>
      <c r="C9" s="30" t="n">
        <v>1</v>
      </c>
      <c r="D9" s="30" t="n"/>
      <c r="E9" s="30" t="n"/>
      <c r="F9" s="30" t="n"/>
      <c r="G9" s="30" t="n"/>
      <c r="H9" s="30" t="n">
        <v>2</v>
      </c>
      <c r="I9" s="30" t="n"/>
      <c r="J9" s="30" t="n"/>
      <c r="K9" s="30" t="n"/>
    </row>
    <row r="10">
      <c r="A10" s="6" t="inlineStr">
        <is>
          <t>Limonade</t>
        </is>
      </c>
      <c r="B10" s="30" t="n"/>
      <c r="C10" s="30" t="n"/>
      <c r="D10" s="30" t="n">
        <v>1</v>
      </c>
      <c r="E10" s="30" t="n"/>
      <c r="F10" s="30" t="n"/>
      <c r="G10" s="30" t="n"/>
      <c r="H10" s="30" t="n"/>
      <c r="I10" s="30" t="n">
        <v>1</v>
      </c>
      <c r="J10" s="30" t="n">
        <v>1</v>
      </c>
      <c r="K10" s="30" t="n"/>
    </row>
    <row r="11">
      <c r="A11" s="6" t="inlineStr">
        <is>
          <t>Jus d'orange</t>
        </is>
      </c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>
        <v>4</v>
      </c>
    </row>
    <row r="12">
      <c r="A12" s="6" t="inlineStr">
        <is>
          <t>Cola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>
        <v>1</v>
      </c>
      <c r="J12" s="30" t="n">
        <v>1</v>
      </c>
      <c r="K12" s="30" t="n"/>
    </row>
    <row r="13">
      <c r="A13" s="6" t="inlineStr">
        <is>
          <t>Boisson énergisante</t>
        </is>
      </c>
      <c r="B13" s="30" t="n"/>
      <c r="C13" s="30" t="n"/>
      <c r="D13" s="30" t="n"/>
      <c r="E13" s="30" t="n">
        <v>1</v>
      </c>
      <c r="F13" s="30" t="n"/>
      <c r="G13" s="30" t="n"/>
      <c r="H13" s="30" t="n"/>
      <c r="I13" s="30" t="n">
        <v>1</v>
      </c>
      <c r="J13" s="30" t="n">
        <v>1</v>
      </c>
      <c r="K13" s="30" t="n"/>
    </row>
    <row r="14">
      <c r="A14" s="6" t="inlineStr">
        <is>
          <t>BlackRider</t>
        </is>
      </c>
      <c r="B14" s="30" t="n"/>
      <c r="C14" s="30" t="n"/>
      <c r="D14" s="30" t="n"/>
      <c r="E14" s="30" t="n"/>
      <c r="F14" s="30" t="n"/>
      <c r="G14" s="30" t="n"/>
      <c r="H14" s="30" t="n">
        <v>2</v>
      </c>
      <c r="I14" s="30" t="n">
        <v>1</v>
      </c>
      <c r="J14" s="30" t="n"/>
      <c r="K14" s="30" t="n"/>
    </row>
    <row r="15">
      <c r="A15" s="6" t="inlineStr">
        <is>
          <t>Burning Wheel</t>
        </is>
      </c>
      <c r="B15" s="30" t="n"/>
      <c r="C15" s="30" t="n"/>
      <c r="D15" s="30" t="n"/>
      <c r="E15" s="30" t="n"/>
      <c r="F15" s="30" t="n">
        <v>2</v>
      </c>
      <c r="G15" s="30" t="n"/>
      <c r="H15" s="30" t="n"/>
      <c r="I15" s="30" t="n">
        <v>1</v>
      </c>
      <c r="J15" s="30" t="n"/>
      <c r="K15" s="30" t="n"/>
    </row>
    <row r="16">
      <c r="A16" s="6" t="inlineStr">
        <is>
          <t>Ghost Road</t>
        </is>
      </c>
      <c r="B16" s="30" t="n"/>
      <c r="C16" s="30" t="n"/>
      <c r="D16" s="30" t="n">
        <v>2</v>
      </c>
      <c r="E16" s="30" t="n"/>
      <c r="F16" s="30" t="n"/>
      <c r="G16" s="30" t="n"/>
      <c r="H16" s="30" t="n"/>
      <c r="I16" s="30" t="n">
        <v>1</v>
      </c>
      <c r="J16" s="30" t="n"/>
      <c r="K16" s="30" t="n"/>
    </row>
    <row r="17">
      <c r="A17" s="6" t="inlineStr">
        <is>
          <t>Iron Beer</t>
        </is>
      </c>
      <c r="B17" s="30" t="n"/>
      <c r="C17" s="30" t="n">
        <v>2</v>
      </c>
      <c r="D17" s="30" t="n"/>
      <c r="E17" s="30" t="n"/>
      <c r="F17" s="30" t="n"/>
      <c r="G17" s="30" t="n"/>
      <c r="H17" s="30" t="n"/>
      <c r="I17" s="30" t="n">
        <v>1</v>
      </c>
      <c r="J17" s="30" t="n"/>
      <c r="K17" s="30" t="n"/>
    </row>
    <row r="18">
      <c r="A18" s="6" t="inlineStr">
        <is>
          <t>Midnight Shot</t>
        </is>
      </c>
      <c r="B18" s="30" t="n"/>
      <c r="C18" s="30" t="n"/>
      <c r="D18" s="30" t="n"/>
      <c r="E18" s="30" t="n"/>
      <c r="F18" s="30" t="n"/>
      <c r="G18" s="30" t="n">
        <v>1</v>
      </c>
      <c r="H18" s="30" t="n"/>
      <c r="I18" s="30" t="n">
        <v>1</v>
      </c>
      <c r="J18" s="30" t="n">
        <v>1</v>
      </c>
      <c r="K18" s="30" t="n">
        <v>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</cols>
  <sheetData>
    <row r="1" ht="26" customHeight="1">
      <c r="A1" s="1" t="inlineStr">
        <is>
          <t>Matières premières — Yellow Jake</t>
        </is>
      </c>
    </row>
    <row r="2">
      <c r="A2" s="2" t="inlineStr">
        <is>
          <t>Prix d'achat unitaire. Modifie les cellules jaunes : tous les coûts se recalculent.</t>
        </is>
      </c>
    </row>
    <row r="4" ht="30" customHeight="1">
      <c r="A4" s="19" t="inlineStr">
        <is>
          <t>Matière</t>
        </is>
      </c>
      <c r="B4" s="19" t="inlineStr">
        <is>
          <t>Prix unitaire</t>
        </is>
      </c>
    </row>
    <row r="5">
      <c r="A5" s="6" t="inlineStr">
        <is>
          <t>Agave</t>
        </is>
      </c>
      <c r="B5" s="24" t="n">
        <v>21</v>
      </c>
    </row>
    <row r="6">
      <c r="A6" s="6" t="inlineStr">
        <is>
          <t>Orge</t>
        </is>
      </c>
      <c r="B6" s="24" t="n">
        <v>10</v>
      </c>
    </row>
    <row r="7">
      <c r="A7" s="6" t="inlineStr">
        <is>
          <t>Citron</t>
        </is>
      </c>
      <c r="B7" s="24" t="n">
        <v>7</v>
      </c>
    </row>
    <row r="8">
      <c r="A8" s="6" t="inlineStr">
        <is>
          <t>Plantes sucrées</t>
        </is>
      </c>
      <c r="B8" s="24" t="n">
        <v>13</v>
      </c>
    </row>
    <row r="9">
      <c r="A9" s="6" t="inlineStr">
        <is>
          <t>Canne à sucre</t>
        </is>
      </c>
      <c r="B9" s="24" t="n">
        <v>12</v>
      </c>
    </row>
    <row r="10">
      <c r="A10" s="6" t="inlineStr">
        <is>
          <t>Alcool</t>
        </is>
      </c>
      <c r="B10" s="24" t="n">
        <v>50</v>
      </c>
    </row>
    <row r="11">
      <c r="A11" s="6" t="inlineStr">
        <is>
          <t>Alcool distillé</t>
        </is>
      </c>
      <c r="B11" s="24" t="n">
        <v>50</v>
      </c>
    </row>
    <row r="12">
      <c r="A12" s="6" t="inlineStr">
        <is>
          <t>Eau</t>
        </is>
      </c>
      <c r="B12" s="24" t="n">
        <v>6</v>
      </c>
    </row>
    <row r="13">
      <c r="A13" s="6" t="inlineStr">
        <is>
          <t>Sucre</t>
        </is>
      </c>
      <c r="B13" s="24" t="n">
        <v>6</v>
      </c>
    </row>
    <row r="14">
      <c r="A14" s="6" t="inlineStr">
        <is>
          <t>Orange</t>
        </is>
      </c>
      <c r="B14" s="24" t="n">
        <v>10</v>
      </c>
    </row>
  </sheetData>
  <mergeCells count="2">
    <mergeCell ref="A2:B2"/>
    <mergeCell ref="A1:B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2026-10-01T12:42:52Z</dcterms:created>
  <dcterms:modified xsi:type="dcterms:W3CDTF">2026-10-01T12:49:10Z</dcterms:modified>
</cp:coreProperties>
</file>