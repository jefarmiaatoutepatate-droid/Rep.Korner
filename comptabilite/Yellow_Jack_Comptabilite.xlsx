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Ventes" sheetId="2" state="visible" r:id="rId2"/>
    <sheet name="Depenses" sheetId="3" state="visible" r:id="rId3"/>
    <sheet name="Salaires" sheetId="4" state="visible" r:id="rId4"/>
    <sheet name="Stock" sheetId="5" state="visible" r:id="rId5"/>
    <sheet name="Resume mensu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#,##0 &quot;$&quot;;-#,##0 &quot;$&quot;;&quot;-&quot;"/>
    <numFmt numFmtId="167" formatCode="0.0%"/>
    <numFmt numFmtId="168" formatCode="mmmm yyyy"/>
  </numFmts>
  <fonts count="10">
    <font>
      <name val="Calibri"/>
      <family val="2"/>
      <color theme="1"/>
      <sz val="11"/>
      <scheme val="minor"/>
    </font>
    <font>
      <name val="Arial"/>
      <color rgb="001F1B16"/>
      <sz val="16"/>
    </font>
    <font>
      <name val="Calibri"/>
      <color rgb="00000000"/>
      <sz val="11"/>
    </font>
    <font>
      <name val="Arial"/>
      <color rgb="00666666"/>
      <sz val="10"/>
    </font>
    <font>
      <name val="Arial"/>
      <color rgb="00666666"/>
      <sz val="9"/>
    </font>
    <font>
      <name val="Arial"/>
      <color rgb="00000000"/>
      <sz val="11"/>
    </font>
    <font>
      <name val="Arial"/>
      <color rgb="001F1B16"/>
      <sz val="12"/>
    </font>
    <font>
      <name val="Arial"/>
      <color rgb="00FFFFFF"/>
      <sz val="11"/>
    </font>
    <font>
      <name val="Arial"/>
      <color rgb="000000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5E9C8"/>
      </patternFill>
    </fill>
    <fill>
      <patternFill patternType="solid">
        <fgColor rgb="001F1B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8" fontId="5" fillId="0" borderId="0" pivotButton="0" quotePrefix="0" xfId="0"/>
    <xf numFmtId="0" fontId="6" fillId="2" borderId="0" pivotButton="0" quotePrefix="0" xfId="0"/>
    <xf numFmtId="166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7" fillId="3" borderId="0" pivotButton="0" quotePrefix="0" xfId="0"/>
    <xf numFmtId="165" fontId="8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166" fontId="5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5" fillId="2" borderId="0" pivotButton="0" quotePrefix="0" xfId="0"/>
    <xf numFmtId="0" fontId="5" fillId="2" borderId="0" pivotButton="0" quotePrefix="0" xfId="0"/>
    <xf numFmtId="166" fontId="9" fillId="2" borderId="0" pivotButton="0" quotePrefix="0" xfId="0"/>
    <xf numFmtId="167" fontId="2" fillId="0" borderId="0" pivotButton="0" quotePrefix="0" xfId="0"/>
    <xf numFmtId="166" fontId="7" fillId="3" borderId="0" pivotButton="0" quotePrefix="0" xfId="0"/>
    <xf numFmtId="167" fontId="7" fillId="3" borderId="0" pivotButton="0" quotePrefix="0" xfId="0"/>
    <xf numFmtId="167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.76923076923077" customWidth="1" min="1" max="1"/>
    <col width="18.4615384615384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LE YELLOW JACK — Tableau de bord</t>
        </is>
      </c>
      <c r="B1" s="2" t="n"/>
      <c r="C1" s="2" t="n"/>
      <c r="D1" s="2" t="n"/>
      <c r="E1" s="2" t="n"/>
    </row>
    <row r="2">
      <c r="A2" s="3" t="inlineStr">
        <is>
          <t>Vue d'ensemble de la comptabilite du bar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Legende : cellules bleues = a completer / choisir. Le reste se calcule tout seul.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5" t="inlineStr">
        <is>
          <t>Periode analysee (mois)</t>
        </is>
      </c>
      <c r="B6" s="6">
        <f>TODAY()</f>
        <v/>
      </c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7" t="inlineStr">
        <is>
          <t>RECETTES</t>
        </is>
      </c>
      <c r="B8" s="2" t="n"/>
      <c r="C8" s="2" t="n"/>
      <c r="D8" s="2" t="n"/>
      <c r="E8" s="2" t="n"/>
    </row>
    <row r="9">
      <c r="A9" s="5" t="inlineStr">
        <is>
          <t>Total des ventes (bar)</t>
        </is>
      </c>
      <c r="B9" s="8">
        <f>SUM(Ventes!G5:G201)</f>
        <v/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DEPENSES</t>
        </is>
      </c>
      <c r="B11" s="2" t="n"/>
      <c r="C11" s="2" t="n"/>
      <c r="D11" s="2" t="n"/>
      <c r="E11" s="2" t="n"/>
    </row>
    <row r="12">
      <c r="A12" s="5" t="inlineStr">
        <is>
          <t>Total des achats / depenses</t>
        </is>
      </c>
      <c r="B12" s="8">
        <f>SUM(Depenses!D5:D201)</f>
        <v/>
      </c>
      <c r="C12" s="2" t="n"/>
      <c r="D12" s="2" t="n"/>
      <c r="E12" s="2" t="n"/>
    </row>
    <row r="13">
      <c r="A13" s="5" t="inlineStr">
        <is>
          <t>Total des salaires verses</t>
        </is>
      </c>
      <c r="B13" s="8">
        <f>SUM(Salaires!F5:F200)</f>
        <v/>
      </c>
      <c r="C13" s="2" t="n"/>
      <c r="D13" s="2" t="n"/>
      <c r="E13" s="2" t="n"/>
    </row>
    <row r="14">
      <c r="A14" s="5" t="inlineStr">
        <is>
          <t>Total des depenses (achats + salaires)</t>
        </is>
      </c>
      <c r="B14" s="8">
        <f>B12+B13</f>
        <v/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7" t="inlineStr">
        <is>
          <t>RESULTAT</t>
        </is>
      </c>
      <c r="B16" s="2" t="n"/>
      <c r="C16" s="2" t="n"/>
      <c r="D16" s="2" t="n"/>
      <c r="E16" s="2" t="n"/>
    </row>
    <row r="17">
      <c r="A17" s="5" t="inlineStr">
        <is>
          <t>Benefice net</t>
        </is>
      </c>
      <c r="B17" s="8">
        <f>B9-B14</f>
        <v/>
      </c>
      <c r="C17" s="2" t="n"/>
      <c r="D17" s="2" t="n"/>
      <c r="E17" s="2" t="n"/>
    </row>
    <row r="18">
      <c r="A18" s="5" t="inlineStr">
        <is>
          <t>Marge nette (%)</t>
        </is>
      </c>
      <c r="B18" s="9">
        <f>IFERROR(B17/B9,0)</f>
        <v/>
      </c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7" t="inlineStr">
        <is>
          <t>CAISSE / STOCK</t>
        </is>
      </c>
      <c r="B20" s="2" t="n"/>
      <c r="C20" s="2" t="n"/>
      <c r="D20" s="2" t="n"/>
      <c r="E20" s="2" t="n"/>
    </row>
    <row r="21">
      <c r="A21" s="5" t="inlineStr">
        <is>
          <t>Valeur du stock actuel (prix d'achat)</t>
        </is>
      </c>
      <c r="B21" s="8">
        <f>SUMPRODUCT(Stock!C5:C203,Stock!E5:E203)</f>
        <v/>
      </c>
      <c r="C21" s="2" t="n"/>
      <c r="D21" s="2" t="n"/>
      <c r="E21" s="2" t="n"/>
    </row>
    <row r="22">
      <c r="A22" s="5" t="inlineStr">
        <is>
          <t>Nombre d'articles sous le seuil d'alerte</t>
        </is>
      </c>
      <c r="B22" s="10">
        <f>SUMPRODUCT(ISNUMBER(Stock!C5:C203)*ISNUMBER(Stock!D5:D203)*(Stock!C5:C203&lt;=Stock!D5:D203))</f>
        <v/>
      </c>
      <c r="C22" s="2" t="n"/>
      <c r="D22" s="2" t="n"/>
      <c r="E22" s="2" t="n"/>
    </row>
  </sheetData>
  <mergeCells count="7">
    <mergeCell ref="A20:B20"/>
    <mergeCell ref="A16:B16"/>
    <mergeCell ref="A4:E4"/>
    <mergeCell ref="A2:E2"/>
    <mergeCell ref="A11:B11"/>
    <mergeCell ref="A1:E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07692307692308" customWidth="1" min="1" max="1"/>
    <col width="14.76923076923077" customWidth="1" min="2" max="2"/>
    <col width="20.30769230769231" customWidth="1" min="3" max="3"/>
    <col width="14.76923076923077" customWidth="1" min="4" max="4"/>
    <col width="10" customWidth="1" min="5" max="5"/>
    <col width="12.92307692307692" customWidth="1" min="6" max="6"/>
    <col width="11.07692307692308" customWidth="1" min="7" max="7"/>
  </cols>
  <sheetData>
    <row r="1">
      <c r="A1" s="1" t="inlineStr">
        <is>
          <t>Ventes — Le Yellow Jack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1" t="inlineStr">
        <is>
          <t>Date</t>
        </is>
      </c>
      <c r="B4" s="11" t="inlineStr">
        <is>
          <t>Employe</t>
        </is>
      </c>
      <c r="C4" s="11" t="inlineStr">
        <is>
          <t>Article vendu</t>
        </is>
      </c>
      <c r="D4" s="11" t="inlineStr">
        <is>
          <t>Categorie</t>
        </is>
      </c>
      <c r="E4" s="11" t="inlineStr">
        <is>
          <t>Quantite</t>
        </is>
      </c>
      <c r="F4" s="11" t="inlineStr">
        <is>
          <t>Prix unitaire</t>
        </is>
      </c>
      <c r="G4" s="11" t="inlineStr">
        <is>
          <t>Total</t>
        </is>
      </c>
    </row>
    <row r="5">
      <c r="A5" s="12" t="n">
        <v>46287</v>
      </c>
      <c r="B5" s="13" t="inlineStr">
        <is>
          <t>Test</t>
        </is>
      </c>
      <c r="C5" s="13" t="inlineStr">
        <is>
          <t>Jus d’orange</t>
        </is>
      </c>
      <c r="D5" s="13" t="inlineStr">
        <is>
          <t>Boisson</t>
        </is>
      </c>
      <c r="E5" s="13" t="inlineStr">
        <is>
          <t>X</t>
        </is>
      </c>
      <c r="F5" s="14" t="inlineStr">
        <is>
          <t>X</t>
        </is>
      </c>
      <c r="G5" s="15">
        <f>IFERROR(IF(E5="","",E5*F5),"")</f>
        <v/>
      </c>
    </row>
    <row r="6">
      <c r="A6" s="12" t="n">
        <v>46287</v>
      </c>
      <c r="B6" s="13" t="inlineStr">
        <is>
          <t>Test</t>
        </is>
      </c>
      <c r="C6" s="13" t="inlineStr">
        <is>
          <t>Jus d’orange</t>
        </is>
      </c>
      <c r="D6" s="13" t="inlineStr">
        <is>
          <t>Boisson</t>
        </is>
      </c>
      <c r="E6" s="13" t="inlineStr">
        <is>
          <t>X</t>
        </is>
      </c>
      <c r="F6" s="14" t="inlineStr">
        <is>
          <t>X</t>
        </is>
      </c>
      <c r="G6" s="15">
        <f>IFERROR(IF(E6="","",E6*F6),"")</f>
        <v/>
      </c>
    </row>
    <row r="7">
      <c r="A7" s="16" t="n"/>
      <c r="B7" s="2" t="n"/>
      <c r="C7" s="2" t="n"/>
      <c r="D7" s="2" t="n"/>
      <c r="E7" s="2" t="n"/>
      <c r="F7" s="17" t="n"/>
      <c r="G7" s="17">
        <f>IFERROR(IF(E7="","",E7*F7),"")</f>
        <v/>
      </c>
    </row>
    <row r="8">
      <c r="A8" s="16" t="n"/>
      <c r="B8" s="2" t="n"/>
      <c r="C8" s="2" t="n"/>
      <c r="D8" s="2" t="n"/>
      <c r="E8" s="2" t="n"/>
      <c r="F8" s="17" t="n"/>
      <c r="G8" s="17">
        <f>IFERROR(IF(E8="","",E8*F8),"")</f>
        <v/>
      </c>
    </row>
    <row r="9">
      <c r="A9" s="16" t="n"/>
      <c r="B9" s="2" t="n"/>
      <c r="C9" s="2" t="n"/>
      <c r="D9" s="2" t="n"/>
      <c r="E9" s="2" t="n"/>
      <c r="F9" s="17" t="n"/>
      <c r="G9" s="17">
        <f>IFERROR(IF(E9="","",E9*F9),"")</f>
        <v/>
      </c>
    </row>
    <row r="10">
      <c r="A10" s="16" t="n"/>
      <c r="B10" s="2" t="n"/>
      <c r="C10" s="2" t="n"/>
      <c r="D10" s="2" t="n"/>
      <c r="E10" s="2" t="n"/>
      <c r="F10" s="17" t="n"/>
      <c r="G10" s="17">
        <f>IFERROR(IF(E10="","",E10*F10),"")</f>
        <v/>
      </c>
    </row>
    <row r="11">
      <c r="A11" s="16" t="n"/>
      <c r="B11" s="2" t="n"/>
      <c r="C11" s="2" t="n"/>
      <c r="D11" s="2" t="n"/>
      <c r="E11" s="2" t="n"/>
      <c r="F11" s="17" t="n"/>
      <c r="G11" s="17">
        <f>IFERROR(IF(E11="","",E11*F11),"")</f>
        <v/>
      </c>
    </row>
    <row r="12">
      <c r="A12" s="16" t="n"/>
      <c r="B12" s="2" t="n"/>
      <c r="C12" s="2" t="n"/>
      <c r="D12" s="2" t="n"/>
      <c r="E12" s="2" t="n"/>
      <c r="F12" s="17" t="n"/>
      <c r="G12" s="17">
        <f>IFERROR(IF(E12="","",E12*F12),"")</f>
        <v/>
      </c>
    </row>
    <row r="13">
      <c r="A13" s="16" t="n"/>
      <c r="B13" s="2" t="n"/>
      <c r="C13" s="2" t="n"/>
      <c r="D13" s="2" t="n"/>
      <c r="E13" s="2" t="n"/>
      <c r="F13" s="17" t="n"/>
      <c r="G13" s="17">
        <f>IFERROR(IF(E13="","",E13*F13),"")</f>
        <v/>
      </c>
    </row>
    <row r="14">
      <c r="A14" s="16" t="n"/>
      <c r="B14" s="2" t="n"/>
      <c r="C14" s="2" t="n"/>
      <c r="D14" s="2" t="n"/>
      <c r="E14" s="2" t="n"/>
      <c r="F14" s="17" t="n"/>
      <c r="G14" s="17">
        <f>IFERROR(IF(E14="","",E14*F14),"")</f>
        <v/>
      </c>
    </row>
    <row r="15">
      <c r="A15" s="16" t="n"/>
      <c r="B15" s="2" t="n"/>
      <c r="C15" s="2" t="n"/>
      <c r="D15" s="2" t="n"/>
      <c r="E15" s="2" t="n"/>
      <c r="F15" s="17" t="n"/>
      <c r="G15" s="17">
        <f>IFERROR(IF(E15="","",E15*F15),"")</f>
        <v/>
      </c>
    </row>
    <row r="16">
      <c r="A16" s="16" t="n"/>
      <c r="B16" s="2" t="n"/>
      <c r="C16" s="2" t="n"/>
      <c r="D16" s="2" t="n"/>
      <c r="E16" s="2" t="n"/>
      <c r="F16" s="17" t="n"/>
      <c r="G16" s="17">
        <f>IFERROR(IF(E16="","",E16*F16),"")</f>
        <v/>
      </c>
    </row>
    <row r="17">
      <c r="A17" s="16" t="n"/>
      <c r="B17" s="2" t="n"/>
      <c r="C17" s="2" t="n"/>
      <c r="D17" s="2" t="n"/>
      <c r="E17" s="2" t="n"/>
      <c r="F17" s="17" t="n"/>
      <c r="G17" s="17">
        <f>IFERROR(IF(E17="","",E17*F17),"")</f>
        <v/>
      </c>
    </row>
    <row r="18">
      <c r="A18" s="16" t="n"/>
      <c r="B18" s="2" t="n"/>
      <c r="C18" s="2" t="n"/>
      <c r="D18" s="2" t="n"/>
      <c r="E18" s="2" t="n"/>
      <c r="F18" s="17" t="n"/>
      <c r="G18" s="17">
        <f>IFERROR(IF(E18="","",E18*F18),"")</f>
        <v/>
      </c>
    </row>
    <row r="19">
      <c r="A19" s="16" t="n"/>
      <c r="B19" s="2" t="n"/>
      <c r="C19" s="2" t="n"/>
      <c r="D19" s="2" t="n"/>
      <c r="E19" s="2" t="n"/>
      <c r="F19" s="17" t="n"/>
      <c r="G19" s="17">
        <f>IFERROR(IF(E19="","",E19*F19),"")</f>
        <v/>
      </c>
    </row>
    <row r="20">
      <c r="A20" s="16" t="n"/>
      <c r="B20" s="2" t="n"/>
      <c r="C20" s="2" t="n"/>
      <c r="D20" s="2" t="n"/>
      <c r="E20" s="2" t="n"/>
      <c r="F20" s="17" t="n"/>
      <c r="G20" s="17">
        <f>IFERROR(IF(E20="","",E20*F20),"")</f>
        <v/>
      </c>
    </row>
    <row r="21">
      <c r="A21" s="16" t="n"/>
      <c r="B21" s="2" t="n"/>
      <c r="C21" s="2" t="n"/>
      <c r="D21" s="2" t="n"/>
      <c r="E21" s="2" t="n"/>
      <c r="F21" s="17" t="n"/>
      <c r="G21" s="17">
        <f>IFERROR(IF(E21="","",E21*F21),"")</f>
        <v/>
      </c>
    </row>
    <row r="22">
      <c r="A22" s="16" t="n"/>
      <c r="B22" s="2" t="n"/>
      <c r="C22" s="2" t="n"/>
      <c r="D22" s="2" t="n"/>
      <c r="E22" s="2" t="n"/>
      <c r="F22" s="17" t="n"/>
      <c r="G22" s="17">
        <f>IFERROR(IF(E22="","",E22*F22),"")</f>
        <v/>
      </c>
    </row>
    <row r="23">
      <c r="A23" s="16" t="n"/>
      <c r="B23" s="2" t="n"/>
      <c r="C23" s="2" t="n"/>
      <c r="D23" s="2" t="n"/>
      <c r="E23" s="2" t="n"/>
      <c r="F23" s="17" t="n"/>
      <c r="G23" s="17">
        <f>IFERROR(IF(E23="","",E23*F23),"")</f>
        <v/>
      </c>
    </row>
    <row r="24">
      <c r="A24" s="16" t="n"/>
      <c r="B24" s="2" t="n"/>
      <c r="C24" s="2" t="n"/>
      <c r="D24" s="2" t="n"/>
      <c r="E24" s="2" t="n"/>
      <c r="F24" s="17" t="n"/>
      <c r="G24" s="17">
        <f>IFERROR(IF(E24="","",E24*F24),"")</f>
        <v/>
      </c>
    </row>
    <row r="25">
      <c r="A25" s="16" t="n"/>
      <c r="B25" s="2" t="n"/>
      <c r="C25" s="2" t="n"/>
      <c r="D25" s="2" t="n"/>
      <c r="E25" s="2" t="n"/>
      <c r="F25" s="17" t="n"/>
      <c r="G25" s="17">
        <f>IFERROR(IF(E25="","",E25*F25),"")</f>
        <v/>
      </c>
    </row>
    <row r="26">
      <c r="A26" s="16" t="n"/>
      <c r="B26" s="2" t="n"/>
      <c r="C26" s="2" t="n"/>
      <c r="D26" s="2" t="n"/>
      <c r="E26" s="2" t="n"/>
      <c r="F26" s="17" t="n"/>
      <c r="G26" s="17">
        <f>IFERROR(IF(E26="","",E26*F26),"")</f>
        <v/>
      </c>
    </row>
    <row r="27">
      <c r="A27" s="16" t="n"/>
      <c r="B27" s="2" t="n"/>
      <c r="C27" s="2" t="n"/>
      <c r="D27" s="2" t="n"/>
      <c r="E27" s="2" t="n"/>
      <c r="F27" s="17" t="n"/>
      <c r="G27" s="17">
        <f>IFERROR(IF(E27="","",E27*F27),"")</f>
        <v/>
      </c>
    </row>
    <row r="28">
      <c r="A28" s="16" t="n"/>
      <c r="B28" s="2" t="n"/>
      <c r="C28" s="2" t="n"/>
      <c r="D28" s="2" t="n"/>
      <c r="E28" s="2" t="n"/>
      <c r="F28" s="17" t="n"/>
      <c r="G28" s="17">
        <f>IFERROR(IF(E28="","",E28*F28),"")</f>
        <v/>
      </c>
    </row>
    <row r="29">
      <c r="A29" s="16" t="n"/>
      <c r="B29" s="2" t="n"/>
      <c r="C29" s="2" t="n"/>
      <c r="D29" s="2" t="n"/>
      <c r="E29" s="2" t="n"/>
      <c r="F29" s="17" t="n"/>
      <c r="G29" s="17">
        <f>IFERROR(IF(E29="","",E29*F29),"")</f>
        <v/>
      </c>
    </row>
    <row r="30">
      <c r="A30" s="16" t="n"/>
      <c r="B30" s="2" t="n"/>
      <c r="C30" s="2" t="n"/>
      <c r="D30" s="2" t="n"/>
      <c r="E30" s="2" t="n"/>
      <c r="F30" s="17" t="n"/>
      <c r="G30" s="17">
        <f>IFERROR(IF(E30="","",E30*F30),"")</f>
        <v/>
      </c>
    </row>
    <row r="31">
      <c r="A31" s="16" t="n"/>
      <c r="B31" s="2" t="n"/>
      <c r="C31" s="2" t="n"/>
      <c r="D31" s="2" t="n"/>
      <c r="E31" s="2" t="n"/>
      <c r="F31" s="17" t="n"/>
      <c r="G31" s="17">
        <f>IFERROR(IF(E31="","",E31*F31),"")</f>
        <v/>
      </c>
    </row>
    <row r="32">
      <c r="A32" s="16" t="n"/>
      <c r="B32" s="2" t="n"/>
      <c r="C32" s="2" t="n"/>
      <c r="D32" s="2" t="n"/>
      <c r="E32" s="2" t="n"/>
      <c r="F32" s="17" t="n"/>
      <c r="G32" s="17">
        <f>IFERROR(IF(E32="","",E32*F32),"")</f>
        <v/>
      </c>
    </row>
    <row r="33">
      <c r="A33" s="16" t="n"/>
      <c r="B33" s="2" t="n"/>
      <c r="C33" s="2" t="n"/>
      <c r="D33" s="2" t="n"/>
      <c r="E33" s="2" t="n"/>
      <c r="F33" s="17" t="n"/>
      <c r="G33" s="17">
        <f>IFERROR(IF(E33="","",E33*F33),"")</f>
        <v/>
      </c>
    </row>
    <row r="34">
      <c r="A34" s="16" t="n"/>
      <c r="B34" s="2" t="n"/>
      <c r="C34" s="2" t="n"/>
      <c r="D34" s="2" t="n"/>
      <c r="E34" s="2" t="n"/>
      <c r="F34" s="17" t="n"/>
      <c r="G34" s="17">
        <f>IFERROR(IF(E34="","",E34*F34),"")</f>
        <v/>
      </c>
    </row>
    <row r="35">
      <c r="A35" s="16" t="n"/>
      <c r="B35" s="2" t="n"/>
      <c r="C35" s="2" t="n"/>
      <c r="D35" s="2" t="n"/>
      <c r="E35" s="2" t="n"/>
      <c r="F35" s="17" t="n"/>
      <c r="G35" s="17">
        <f>IFERROR(IF(E35="","",E35*F35),"")</f>
        <v/>
      </c>
    </row>
    <row r="36">
      <c r="A36" s="16" t="n"/>
      <c r="B36" s="2" t="n"/>
      <c r="C36" s="2" t="n"/>
      <c r="D36" s="2" t="n"/>
      <c r="E36" s="2" t="n"/>
      <c r="F36" s="17" t="n"/>
      <c r="G36" s="17">
        <f>IFERROR(IF(E36="","",E36*F36),"")</f>
        <v/>
      </c>
    </row>
    <row r="37">
      <c r="A37" s="16" t="n"/>
      <c r="B37" s="2" t="n"/>
      <c r="C37" s="2" t="n"/>
      <c r="D37" s="2" t="n"/>
      <c r="E37" s="2" t="n"/>
      <c r="F37" s="17" t="n"/>
      <c r="G37" s="17">
        <f>IFERROR(IF(E37="","",E37*F37),"")</f>
        <v/>
      </c>
    </row>
    <row r="38">
      <c r="A38" s="16" t="n"/>
      <c r="B38" s="2" t="n"/>
      <c r="C38" s="2" t="n"/>
      <c r="D38" s="2" t="n"/>
      <c r="E38" s="2" t="n"/>
      <c r="F38" s="17" t="n"/>
      <c r="G38" s="17">
        <f>IFERROR(IF(E38="","",E38*F38),"")</f>
        <v/>
      </c>
    </row>
    <row r="39">
      <c r="A39" s="16" t="n"/>
      <c r="B39" s="2" t="n"/>
      <c r="C39" s="2" t="n"/>
      <c r="D39" s="2" t="n"/>
      <c r="E39" s="2" t="n"/>
      <c r="F39" s="17" t="n"/>
      <c r="G39" s="17">
        <f>IFERROR(IF(E39="","",E39*F39),"")</f>
        <v/>
      </c>
    </row>
    <row r="40">
      <c r="A40" s="16" t="n"/>
      <c r="B40" s="2" t="n"/>
      <c r="C40" s="2" t="n"/>
      <c r="D40" s="2" t="n"/>
      <c r="E40" s="2" t="n"/>
      <c r="F40" s="17" t="n"/>
      <c r="G40" s="17">
        <f>IFERROR(IF(E40="","",E40*F40),"")</f>
        <v/>
      </c>
    </row>
    <row r="41">
      <c r="A41" s="16" t="n"/>
      <c r="B41" s="2" t="n"/>
      <c r="C41" s="2" t="n"/>
      <c r="D41" s="2" t="n"/>
      <c r="E41" s="2" t="n"/>
      <c r="F41" s="17" t="n"/>
      <c r="G41" s="17">
        <f>IFERROR(IF(E41="","",E41*F41),"")</f>
        <v/>
      </c>
    </row>
    <row r="42">
      <c r="A42" s="16" t="n"/>
      <c r="B42" s="2" t="n"/>
      <c r="C42" s="2" t="n"/>
      <c r="D42" s="2" t="n"/>
      <c r="E42" s="2" t="n"/>
      <c r="F42" s="17" t="n"/>
      <c r="G42" s="17">
        <f>IFERROR(IF(E42="","",E42*F42),"")</f>
        <v/>
      </c>
    </row>
    <row r="43">
      <c r="A43" s="16" t="n"/>
      <c r="B43" s="2" t="n"/>
      <c r="C43" s="2" t="n"/>
      <c r="D43" s="2" t="n"/>
      <c r="E43" s="2" t="n"/>
      <c r="F43" s="17" t="n"/>
      <c r="G43" s="17">
        <f>IFERROR(IF(E43="","",E43*F43),"")</f>
        <v/>
      </c>
    </row>
    <row r="44">
      <c r="A44" s="16" t="n"/>
      <c r="B44" s="2" t="n"/>
      <c r="C44" s="2" t="n"/>
      <c r="D44" s="2" t="n"/>
      <c r="E44" s="2" t="n"/>
      <c r="F44" s="17" t="n"/>
      <c r="G44" s="17">
        <f>IFERROR(IF(E44="","",E44*F44),"")</f>
        <v/>
      </c>
    </row>
    <row r="45">
      <c r="A45" s="16" t="n"/>
      <c r="B45" s="2" t="n"/>
      <c r="C45" s="2" t="n"/>
      <c r="D45" s="2" t="n"/>
      <c r="E45" s="2" t="n"/>
      <c r="F45" s="17" t="n"/>
      <c r="G45" s="17">
        <f>IFERROR(IF(E45="","",E45*F45),"")</f>
        <v/>
      </c>
    </row>
    <row r="46">
      <c r="A46" s="16" t="n"/>
      <c r="B46" s="2" t="n"/>
      <c r="C46" s="2" t="n"/>
      <c r="D46" s="2" t="n"/>
      <c r="E46" s="2" t="n"/>
      <c r="F46" s="17" t="n"/>
      <c r="G46" s="17">
        <f>IFERROR(IF(E46="","",E46*F46),"")</f>
        <v/>
      </c>
    </row>
    <row r="47">
      <c r="A47" s="16" t="n"/>
      <c r="B47" s="2" t="n"/>
      <c r="C47" s="2" t="n"/>
      <c r="D47" s="2" t="n"/>
      <c r="E47" s="2" t="n"/>
      <c r="F47" s="17" t="n"/>
      <c r="G47" s="17">
        <f>IFERROR(IF(E47="","",E47*F47),"")</f>
        <v/>
      </c>
    </row>
    <row r="48">
      <c r="A48" s="16" t="n"/>
      <c r="B48" s="2" t="n"/>
      <c r="C48" s="2" t="n"/>
      <c r="D48" s="2" t="n"/>
      <c r="E48" s="2" t="n"/>
      <c r="F48" s="17" t="n"/>
      <c r="G48" s="17">
        <f>IFERROR(IF(E48="","",E48*F48),"")</f>
        <v/>
      </c>
    </row>
    <row r="49">
      <c r="A49" s="16" t="n"/>
      <c r="B49" s="2" t="n"/>
      <c r="C49" s="2" t="n"/>
      <c r="D49" s="2" t="n"/>
      <c r="E49" s="2" t="n"/>
      <c r="F49" s="17" t="n"/>
      <c r="G49" s="17">
        <f>IFERROR(IF(E49="","",E49*F49),"")</f>
        <v/>
      </c>
    </row>
    <row r="50">
      <c r="A50" s="16" t="n"/>
      <c r="B50" s="2" t="n"/>
      <c r="C50" s="2" t="n"/>
      <c r="D50" s="2" t="n"/>
      <c r="E50" s="2" t="n"/>
      <c r="F50" s="17" t="n"/>
      <c r="G50" s="17">
        <f>IFERROR(IF(E50="","",E50*F50),"")</f>
        <v/>
      </c>
    </row>
    <row r="51">
      <c r="A51" s="16" t="n"/>
      <c r="B51" s="2" t="n"/>
      <c r="C51" s="2" t="n"/>
      <c r="D51" s="2" t="n"/>
      <c r="E51" s="2" t="n"/>
      <c r="F51" s="17" t="n"/>
      <c r="G51" s="17">
        <f>IFERROR(IF(E51="","",E51*F51),"")</f>
        <v/>
      </c>
    </row>
    <row r="52">
      <c r="A52" s="16" t="n"/>
      <c r="B52" s="2" t="n"/>
      <c r="C52" s="2" t="n"/>
      <c r="D52" s="2" t="n"/>
      <c r="E52" s="2" t="n"/>
      <c r="F52" s="17" t="n"/>
      <c r="G52" s="17">
        <f>IFERROR(IF(E52="","",E52*F52),"")</f>
        <v/>
      </c>
    </row>
    <row r="53">
      <c r="A53" s="16" t="n"/>
      <c r="B53" s="2" t="n"/>
      <c r="C53" s="2" t="n"/>
      <c r="D53" s="2" t="n"/>
      <c r="E53" s="2" t="n"/>
      <c r="F53" s="17" t="n"/>
      <c r="G53" s="17">
        <f>IFERROR(IF(E53="","",E53*F53),"")</f>
        <v/>
      </c>
    </row>
    <row r="54">
      <c r="A54" s="16" t="n"/>
      <c r="B54" s="2" t="n"/>
      <c r="C54" s="2" t="n"/>
      <c r="D54" s="2" t="n"/>
      <c r="E54" s="2" t="n"/>
      <c r="F54" s="17" t="n"/>
      <c r="G54" s="17">
        <f>IFERROR(IF(E54="","",E54*F54),"")</f>
        <v/>
      </c>
    </row>
    <row r="55">
      <c r="A55" s="16" t="n"/>
      <c r="B55" s="2" t="n"/>
      <c r="C55" s="2" t="n"/>
      <c r="D55" s="2" t="n"/>
      <c r="E55" s="2" t="n"/>
      <c r="F55" s="17" t="n"/>
      <c r="G55" s="17">
        <f>IFERROR(IF(E55="","",E55*F55),"")</f>
        <v/>
      </c>
    </row>
    <row r="56">
      <c r="A56" s="16" t="n"/>
      <c r="B56" s="2" t="n"/>
      <c r="C56" s="2" t="n"/>
      <c r="D56" s="2" t="n"/>
      <c r="E56" s="2" t="n"/>
      <c r="F56" s="17" t="n"/>
      <c r="G56" s="17">
        <f>IFERROR(IF(E56="","",E56*F56),"")</f>
        <v/>
      </c>
    </row>
    <row r="57">
      <c r="A57" s="16" t="n"/>
      <c r="B57" s="2" t="n"/>
      <c r="C57" s="2" t="n"/>
      <c r="D57" s="2" t="n"/>
      <c r="E57" s="2" t="n"/>
      <c r="F57" s="17" t="n"/>
      <c r="G57" s="17">
        <f>IFERROR(IF(E57="","",E57*F57),"")</f>
        <v/>
      </c>
    </row>
    <row r="58">
      <c r="A58" s="16" t="n"/>
      <c r="B58" s="2" t="n"/>
      <c r="C58" s="2" t="n"/>
      <c r="D58" s="2" t="n"/>
      <c r="E58" s="2" t="n"/>
      <c r="F58" s="17" t="n"/>
      <c r="G58" s="17">
        <f>IFERROR(IF(E58="","",E58*F58),"")</f>
        <v/>
      </c>
    </row>
    <row r="59">
      <c r="A59" s="16" t="n"/>
      <c r="B59" s="2" t="n"/>
      <c r="C59" s="2" t="n"/>
      <c r="D59" s="2" t="n"/>
      <c r="E59" s="2" t="n"/>
      <c r="F59" s="17" t="n"/>
      <c r="G59" s="17">
        <f>IFERROR(IF(E59="","",E59*F59),"")</f>
        <v/>
      </c>
    </row>
    <row r="60">
      <c r="A60" s="16" t="n"/>
      <c r="B60" s="2" t="n"/>
      <c r="C60" s="2" t="n"/>
      <c r="D60" s="2" t="n"/>
      <c r="E60" s="2" t="n"/>
      <c r="F60" s="17" t="n"/>
      <c r="G60" s="17">
        <f>IFERROR(IF(E60="","",E60*F60),"")</f>
        <v/>
      </c>
    </row>
    <row r="61">
      <c r="A61" s="16" t="n"/>
      <c r="B61" s="2" t="n"/>
      <c r="C61" s="2" t="n"/>
      <c r="D61" s="2" t="n"/>
      <c r="E61" s="2" t="n"/>
      <c r="F61" s="17" t="n"/>
      <c r="G61" s="17">
        <f>IFERROR(IF(E61="","",E61*F61),"")</f>
        <v/>
      </c>
    </row>
    <row r="62">
      <c r="A62" s="16" t="n"/>
      <c r="B62" s="2" t="n"/>
      <c r="C62" s="2" t="n"/>
      <c r="D62" s="2" t="n"/>
      <c r="E62" s="2" t="n"/>
      <c r="F62" s="17" t="n"/>
      <c r="G62" s="17">
        <f>IFERROR(IF(E62="","",E62*F62),"")</f>
        <v/>
      </c>
    </row>
    <row r="63">
      <c r="A63" s="16" t="n"/>
      <c r="B63" s="2" t="n"/>
      <c r="C63" s="2" t="n"/>
      <c r="D63" s="2" t="n"/>
      <c r="E63" s="2" t="n"/>
      <c r="F63" s="17" t="n"/>
      <c r="G63" s="17">
        <f>IFERROR(IF(E63="","",E63*F63),"")</f>
        <v/>
      </c>
    </row>
    <row r="64">
      <c r="A64" s="16" t="n"/>
      <c r="B64" s="2" t="n"/>
      <c r="C64" s="2" t="n"/>
      <c r="D64" s="2" t="n"/>
      <c r="E64" s="2" t="n"/>
      <c r="F64" s="17" t="n"/>
      <c r="G64" s="17">
        <f>IFERROR(IF(E64="","",E64*F64),"")</f>
        <v/>
      </c>
    </row>
    <row r="65">
      <c r="A65" s="16" t="n"/>
      <c r="B65" s="2" t="n"/>
      <c r="C65" s="2" t="n"/>
      <c r="D65" s="2" t="n"/>
      <c r="E65" s="2" t="n"/>
      <c r="F65" s="17" t="n"/>
      <c r="G65" s="17">
        <f>IFERROR(IF(E65="","",E65*F65),"")</f>
        <v/>
      </c>
    </row>
    <row r="66">
      <c r="A66" s="16" t="n"/>
      <c r="B66" s="2" t="n"/>
      <c r="C66" s="2" t="n"/>
      <c r="D66" s="2" t="n"/>
      <c r="E66" s="2" t="n"/>
      <c r="F66" s="17" t="n"/>
      <c r="G66" s="17">
        <f>IFERROR(IF(E66="","",E66*F66),"")</f>
        <v/>
      </c>
    </row>
    <row r="67">
      <c r="A67" s="16" t="n"/>
      <c r="B67" s="2" t="n"/>
      <c r="C67" s="2" t="n"/>
      <c r="D67" s="2" t="n"/>
      <c r="E67" s="2" t="n"/>
      <c r="F67" s="17" t="n"/>
      <c r="G67" s="17">
        <f>IFERROR(IF(E67="","",E67*F67),"")</f>
        <v/>
      </c>
    </row>
    <row r="68">
      <c r="A68" s="16" t="n"/>
      <c r="B68" s="2" t="n"/>
      <c r="C68" s="2" t="n"/>
      <c r="D68" s="2" t="n"/>
      <c r="E68" s="2" t="n"/>
      <c r="F68" s="17" t="n"/>
      <c r="G68" s="17">
        <f>IFERROR(IF(E68="","",E68*F68),"")</f>
        <v/>
      </c>
    </row>
    <row r="69">
      <c r="A69" s="16" t="n"/>
      <c r="B69" s="2" t="n"/>
      <c r="C69" s="2" t="n"/>
      <c r="D69" s="2" t="n"/>
      <c r="E69" s="2" t="n"/>
      <c r="F69" s="17" t="n"/>
      <c r="G69" s="17">
        <f>IFERROR(IF(E69="","",E69*F69),"")</f>
        <v/>
      </c>
    </row>
    <row r="70">
      <c r="A70" s="16" t="n"/>
      <c r="B70" s="2" t="n"/>
      <c r="C70" s="2" t="n"/>
      <c r="D70" s="2" t="n"/>
      <c r="E70" s="2" t="n"/>
      <c r="F70" s="17" t="n"/>
      <c r="G70" s="17">
        <f>IFERROR(IF(E70="","",E70*F70),"")</f>
        <v/>
      </c>
    </row>
    <row r="71">
      <c r="A71" s="16" t="n"/>
      <c r="B71" s="2" t="n"/>
      <c r="C71" s="2" t="n"/>
      <c r="D71" s="2" t="n"/>
      <c r="E71" s="2" t="n"/>
      <c r="F71" s="17" t="n"/>
      <c r="G71" s="17">
        <f>IFERROR(IF(E71="","",E71*F71),"")</f>
        <v/>
      </c>
    </row>
    <row r="72">
      <c r="A72" s="16" t="n"/>
      <c r="B72" s="2" t="n"/>
      <c r="C72" s="2" t="n"/>
      <c r="D72" s="2" t="n"/>
      <c r="E72" s="2" t="n"/>
      <c r="F72" s="17" t="n"/>
      <c r="G72" s="17">
        <f>IFERROR(IF(E72="","",E72*F72),"")</f>
        <v/>
      </c>
    </row>
    <row r="73">
      <c r="A73" s="16" t="n"/>
      <c r="B73" s="2" t="n"/>
      <c r="C73" s="2" t="n"/>
      <c r="D73" s="2" t="n"/>
      <c r="E73" s="2" t="n"/>
      <c r="F73" s="17" t="n"/>
      <c r="G73" s="17">
        <f>IFERROR(IF(E73="","",E73*F73),"")</f>
        <v/>
      </c>
    </row>
    <row r="74">
      <c r="A74" s="16" t="n"/>
      <c r="B74" s="2" t="n"/>
      <c r="C74" s="2" t="n"/>
      <c r="D74" s="2" t="n"/>
      <c r="E74" s="2" t="n"/>
      <c r="F74" s="17" t="n"/>
      <c r="G74" s="17">
        <f>IFERROR(IF(E74="","",E74*F74),"")</f>
        <v/>
      </c>
    </row>
    <row r="75">
      <c r="A75" s="16" t="n"/>
      <c r="B75" s="2" t="n"/>
      <c r="C75" s="2" t="n"/>
      <c r="D75" s="2" t="n"/>
      <c r="E75" s="2" t="n"/>
      <c r="F75" s="17" t="n"/>
      <c r="G75" s="17">
        <f>IFERROR(IF(E75="","",E75*F75),"")</f>
        <v/>
      </c>
    </row>
    <row r="76">
      <c r="A76" s="16" t="n"/>
      <c r="B76" s="2" t="n"/>
      <c r="C76" s="2" t="n"/>
      <c r="D76" s="2" t="n"/>
      <c r="E76" s="2" t="n"/>
      <c r="F76" s="17" t="n"/>
      <c r="G76" s="17">
        <f>IFERROR(IF(E76="","",E76*F76),"")</f>
        <v/>
      </c>
    </row>
    <row r="77">
      <c r="A77" s="16" t="n"/>
      <c r="B77" s="2" t="n"/>
      <c r="C77" s="2" t="n"/>
      <c r="D77" s="2" t="n"/>
      <c r="E77" s="2" t="n"/>
      <c r="F77" s="17" t="n"/>
      <c r="G77" s="17">
        <f>IFERROR(IF(E77="","",E77*F77),"")</f>
        <v/>
      </c>
    </row>
    <row r="78">
      <c r="A78" s="16" t="n"/>
      <c r="B78" s="2" t="n"/>
      <c r="C78" s="2" t="n"/>
      <c r="D78" s="2" t="n"/>
      <c r="E78" s="2" t="n"/>
      <c r="F78" s="17" t="n"/>
      <c r="G78" s="17">
        <f>IFERROR(IF(E78="","",E78*F78),"")</f>
        <v/>
      </c>
    </row>
    <row r="79">
      <c r="A79" s="16" t="n"/>
      <c r="B79" s="2" t="n"/>
      <c r="C79" s="2" t="n"/>
      <c r="D79" s="2" t="n"/>
      <c r="E79" s="2" t="n"/>
      <c r="F79" s="17" t="n"/>
      <c r="G79" s="17">
        <f>IFERROR(IF(E79="","",E79*F79),"")</f>
        <v/>
      </c>
    </row>
    <row r="80">
      <c r="A80" s="16" t="n"/>
      <c r="B80" s="2" t="n"/>
      <c r="C80" s="2" t="n"/>
      <c r="D80" s="2" t="n"/>
      <c r="E80" s="2" t="n"/>
      <c r="F80" s="17" t="n"/>
      <c r="G80" s="17">
        <f>IFERROR(IF(E80="","",E80*F80),"")</f>
        <v/>
      </c>
    </row>
    <row r="81">
      <c r="A81" s="16" t="n"/>
      <c r="B81" s="2" t="n"/>
      <c r="C81" s="2" t="n"/>
      <c r="D81" s="2" t="n"/>
      <c r="E81" s="2" t="n"/>
      <c r="F81" s="17" t="n"/>
      <c r="G81" s="17">
        <f>IFERROR(IF(E81="","",E81*F81),"")</f>
        <v/>
      </c>
    </row>
    <row r="82">
      <c r="A82" s="16" t="n"/>
      <c r="B82" s="2" t="n"/>
      <c r="C82" s="2" t="n"/>
      <c r="D82" s="2" t="n"/>
      <c r="E82" s="2" t="n"/>
      <c r="F82" s="17" t="n"/>
      <c r="G82" s="17">
        <f>IFERROR(IF(E82="","",E82*F82),"")</f>
        <v/>
      </c>
    </row>
    <row r="83">
      <c r="A83" s="16" t="n"/>
      <c r="B83" s="2" t="n"/>
      <c r="C83" s="2" t="n"/>
      <c r="D83" s="2" t="n"/>
      <c r="E83" s="2" t="n"/>
      <c r="F83" s="17" t="n"/>
      <c r="G83" s="17">
        <f>IFERROR(IF(E83="","",E83*F83),"")</f>
        <v/>
      </c>
    </row>
    <row r="84">
      <c r="A84" s="16" t="n"/>
      <c r="B84" s="2" t="n"/>
      <c r="C84" s="2" t="n"/>
      <c r="D84" s="2" t="n"/>
      <c r="E84" s="2" t="n"/>
      <c r="F84" s="17" t="n"/>
      <c r="G84" s="17">
        <f>IFERROR(IF(E84="","",E84*F84),"")</f>
        <v/>
      </c>
    </row>
    <row r="85">
      <c r="A85" s="16" t="n"/>
      <c r="B85" s="2" t="n"/>
      <c r="C85" s="2" t="n"/>
      <c r="D85" s="2" t="n"/>
      <c r="E85" s="2" t="n"/>
      <c r="F85" s="17" t="n"/>
      <c r="G85" s="17">
        <f>IFERROR(IF(E85="","",E85*F85),"")</f>
        <v/>
      </c>
    </row>
    <row r="86">
      <c r="A86" s="16" t="n"/>
      <c r="B86" s="2" t="n"/>
      <c r="C86" s="2" t="n"/>
      <c r="D86" s="2" t="n"/>
      <c r="E86" s="2" t="n"/>
      <c r="F86" s="17" t="n"/>
      <c r="G86" s="17">
        <f>IFERROR(IF(E86="","",E86*F86),"")</f>
        <v/>
      </c>
    </row>
    <row r="87">
      <c r="A87" s="16" t="n"/>
      <c r="B87" s="2" t="n"/>
      <c r="C87" s="2" t="n"/>
      <c r="D87" s="2" t="n"/>
      <c r="E87" s="2" t="n"/>
      <c r="F87" s="17" t="n"/>
      <c r="G87" s="17">
        <f>IFERROR(IF(E87="","",E87*F87),"")</f>
        <v/>
      </c>
    </row>
    <row r="88">
      <c r="A88" s="16" t="n"/>
      <c r="B88" s="2" t="n"/>
      <c r="C88" s="2" t="n"/>
      <c r="D88" s="2" t="n"/>
      <c r="E88" s="2" t="n"/>
      <c r="F88" s="17" t="n"/>
      <c r="G88" s="17">
        <f>IFERROR(IF(E88="","",E88*F88),"")</f>
        <v/>
      </c>
    </row>
    <row r="89">
      <c r="A89" s="16" t="n"/>
      <c r="B89" s="2" t="n"/>
      <c r="C89" s="2" t="n"/>
      <c r="D89" s="2" t="n"/>
      <c r="E89" s="2" t="n"/>
      <c r="F89" s="17" t="n"/>
      <c r="G89" s="17">
        <f>IFERROR(IF(E89="","",E89*F89),"")</f>
        <v/>
      </c>
    </row>
    <row r="90">
      <c r="A90" s="16" t="n"/>
      <c r="B90" s="2" t="n"/>
      <c r="C90" s="2" t="n"/>
      <c r="D90" s="2" t="n"/>
      <c r="E90" s="2" t="n"/>
      <c r="F90" s="17" t="n"/>
      <c r="G90" s="17">
        <f>IFERROR(IF(E90="","",E90*F90),"")</f>
        <v/>
      </c>
    </row>
    <row r="91">
      <c r="A91" s="16" t="n"/>
      <c r="B91" s="2" t="n"/>
      <c r="C91" s="2" t="n"/>
      <c r="D91" s="2" t="n"/>
      <c r="E91" s="2" t="n"/>
      <c r="F91" s="17" t="n"/>
      <c r="G91" s="17">
        <f>IFERROR(IF(E91="","",E91*F91),"")</f>
        <v/>
      </c>
    </row>
    <row r="92">
      <c r="A92" s="16" t="n"/>
      <c r="B92" s="2" t="n"/>
      <c r="C92" s="2" t="n"/>
      <c r="D92" s="2" t="n"/>
      <c r="E92" s="2" t="n"/>
      <c r="F92" s="17" t="n"/>
      <c r="G92" s="17">
        <f>IFERROR(IF(E92="","",E92*F92),"")</f>
        <v/>
      </c>
    </row>
    <row r="93">
      <c r="A93" s="16" t="n"/>
      <c r="B93" s="2" t="n"/>
      <c r="C93" s="2" t="n"/>
      <c r="D93" s="2" t="n"/>
      <c r="E93" s="2" t="n"/>
      <c r="F93" s="17" t="n"/>
      <c r="G93" s="17">
        <f>IFERROR(IF(E93="","",E93*F93),"")</f>
        <v/>
      </c>
    </row>
    <row r="94">
      <c r="A94" s="16" t="n"/>
      <c r="B94" s="2" t="n"/>
      <c r="C94" s="2" t="n"/>
      <c r="D94" s="2" t="n"/>
      <c r="E94" s="2" t="n"/>
      <c r="F94" s="17" t="n"/>
      <c r="G94" s="17">
        <f>IFERROR(IF(E94="","",E94*F94),"")</f>
        <v/>
      </c>
    </row>
    <row r="95">
      <c r="A95" s="16" t="n"/>
      <c r="B95" s="2" t="n"/>
      <c r="C95" s="2" t="n"/>
      <c r="D95" s="2" t="n"/>
      <c r="E95" s="2" t="n"/>
      <c r="F95" s="17" t="n"/>
      <c r="G95" s="17">
        <f>IFERROR(IF(E95="","",E95*F95),"")</f>
        <v/>
      </c>
    </row>
    <row r="96">
      <c r="A96" s="16" t="n"/>
      <c r="B96" s="2" t="n"/>
      <c r="C96" s="2" t="n"/>
      <c r="D96" s="2" t="n"/>
      <c r="E96" s="2" t="n"/>
      <c r="F96" s="17" t="n"/>
      <c r="G96" s="17">
        <f>IFERROR(IF(E96="","",E96*F96),"")</f>
        <v/>
      </c>
    </row>
    <row r="97">
      <c r="A97" s="16" t="n"/>
      <c r="B97" s="2" t="n"/>
      <c r="C97" s="2" t="n"/>
      <c r="D97" s="2" t="n"/>
      <c r="E97" s="2" t="n"/>
      <c r="F97" s="17" t="n"/>
      <c r="G97" s="17">
        <f>IFERROR(IF(E97="","",E97*F97),"")</f>
        <v/>
      </c>
    </row>
    <row r="98">
      <c r="A98" s="16" t="n"/>
      <c r="B98" s="2" t="n"/>
      <c r="C98" s="2" t="n"/>
      <c r="D98" s="2" t="n"/>
      <c r="E98" s="2" t="n"/>
      <c r="F98" s="17" t="n"/>
      <c r="G98" s="17">
        <f>IFERROR(IF(E98="","",E98*F98),"")</f>
        <v/>
      </c>
    </row>
    <row r="99">
      <c r="A99" s="16" t="n"/>
      <c r="B99" s="2" t="n"/>
      <c r="C99" s="2" t="n"/>
      <c r="D99" s="2" t="n"/>
      <c r="E99" s="2" t="n"/>
      <c r="F99" s="17" t="n"/>
      <c r="G99" s="17">
        <f>IFERROR(IF(E99="","",E99*F99),"")</f>
        <v/>
      </c>
    </row>
    <row r="100">
      <c r="A100" s="16" t="n"/>
      <c r="B100" s="2" t="n"/>
      <c r="C100" s="2" t="n"/>
      <c r="D100" s="2" t="n"/>
      <c r="E100" s="2" t="n"/>
      <c r="F100" s="17" t="n"/>
      <c r="G100" s="17">
        <f>IFERROR(IF(E100="","",E100*F100),"")</f>
        <v/>
      </c>
    </row>
    <row r="101">
      <c r="A101" s="16" t="n"/>
      <c r="B101" s="2" t="n"/>
      <c r="C101" s="2" t="n"/>
      <c r="D101" s="2" t="n"/>
      <c r="E101" s="2" t="n"/>
      <c r="F101" s="17" t="n"/>
      <c r="G101" s="17">
        <f>IFERROR(IF(E101="","",E101*F101),"")</f>
        <v/>
      </c>
    </row>
    <row r="102">
      <c r="A102" s="16" t="n"/>
      <c r="B102" s="2" t="n"/>
      <c r="C102" s="2" t="n"/>
      <c r="D102" s="2" t="n"/>
      <c r="E102" s="2" t="n"/>
      <c r="F102" s="17" t="n"/>
      <c r="G102" s="17">
        <f>IFERROR(IF(E102="","",E102*F102),"")</f>
        <v/>
      </c>
    </row>
    <row r="103">
      <c r="A103" s="16" t="n"/>
      <c r="B103" s="2" t="n"/>
      <c r="C103" s="2" t="n"/>
      <c r="D103" s="2" t="n"/>
      <c r="E103" s="2" t="n"/>
      <c r="F103" s="17" t="n"/>
      <c r="G103" s="17">
        <f>IFERROR(IF(E103="","",E103*F103),"")</f>
        <v/>
      </c>
    </row>
    <row r="104">
      <c r="A104" s="16" t="n"/>
      <c r="B104" s="2" t="n"/>
      <c r="C104" s="2" t="n"/>
      <c r="D104" s="2" t="n"/>
      <c r="E104" s="2" t="n"/>
      <c r="F104" s="17" t="n"/>
      <c r="G104" s="17">
        <f>IFERROR(IF(E104="","",E104*F104),"")</f>
        <v/>
      </c>
    </row>
    <row r="105">
      <c r="A105" s="16" t="n"/>
      <c r="B105" s="2" t="n"/>
      <c r="C105" s="2" t="n"/>
      <c r="D105" s="2" t="n"/>
      <c r="E105" s="2" t="n"/>
      <c r="F105" s="17" t="n"/>
      <c r="G105" s="17">
        <f>IFERROR(IF(E105="","",E105*F105),"")</f>
        <v/>
      </c>
    </row>
    <row r="106">
      <c r="A106" s="16" t="n"/>
      <c r="B106" s="2" t="n"/>
      <c r="C106" s="2" t="n"/>
      <c r="D106" s="2" t="n"/>
      <c r="E106" s="2" t="n"/>
      <c r="F106" s="17" t="n"/>
      <c r="G106" s="17">
        <f>IFERROR(IF(E106="","",E106*F106),"")</f>
        <v/>
      </c>
    </row>
    <row r="107">
      <c r="A107" s="16" t="n"/>
      <c r="B107" s="2" t="n"/>
      <c r="C107" s="2" t="n"/>
      <c r="D107" s="2" t="n"/>
      <c r="E107" s="2" t="n"/>
      <c r="F107" s="17" t="n"/>
      <c r="G107" s="17">
        <f>IFERROR(IF(E107="","",E107*F107),"")</f>
        <v/>
      </c>
    </row>
    <row r="108">
      <c r="A108" s="16" t="n"/>
      <c r="B108" s="2" t="n"/>
      <c r="C108" s="2" t="n"/>
      <c r="D108" s="2" t="n"/>
      <c r="E108" s="2" t="n"/>
      <c r="F108" s="17" t="n"/>
      <c r="G108" s="17">
        <f>IFERROR(IF(E108="","",E108*F108),"")</f>
        <v/>
      </c>
    </row>
    <row r="109">
      <c r="A109" s="16" t="n"/>
      <c r="B109" s="2" t="n"/>
      <c r="C109" s="2" t="n"/>
      <c r="D109" s="2" t="n"/>
      <c r="E109" s="2" t="n"/>
      <c r="F109" s="17" t="n"/>
      <c r="G109" s="17">
        <f>IFERROR(IF(E109="","",E109*F109),"")</f>
        <v/>
      </c>
    </row>
    <row r="110">
      <c r="A110" s="16" t="n"/>
      <c r="B110" s="2" t="n"/>
      <c r="C110" s="2" t="n"/>
      <c r="D110" s="2" t="n"/>
      <c r="E110" s="2" t="n"/>
      <c r="F110" s="17" t="n"/>
      <c r="G110" s="17">
        <f>IFERROR(IF(E110="","",E110*F110),"")</f>
        <v/>
      </c>
    </row>
    <row r="111">
      <c r="A111" s="16" t="n"/>
      <c r="B111" s="2" t="n"/>
      <c r="C111" s="2" t="n"/>
      <c r="D111" s="2" t="n"/>
      <c r="E111" s="2" t="n"/>
      <c r="F111" s="17" t="n"/>
      <c r="G111" s="17">
        <f>IFERROR(IF(E111="","",E111*F111),"")</f>
        <v/>
      </c>
    </row>
    <row r="112">
      <c r="A112" s="16" t="n"/>
      <c r="B112" s="2" t="n"/>
      <c r="C112" s="2" t="n"/>
      <c r="D112" s="2" t="n"/>
      <c r="E112" s="2" t="n"/>
      <c r="F112" s="17" t="n"/>
      <c r="G112" s="17">
        <f>IFERROR(IF(E112="","",E112*F112),"")</f>
        <v/>
      </c>
    </row>
    <row r="113">
      <c r="A113" s="16" t="n"/>
      <c r="B113" s="2" t="n"/>
      <c r="C113" s="2" t="n"/>
      <c r="D113" s="2" t="n"/>
      <c r="E113" s="2" t="n"/>
      <c r="F113" s="17" t="n"/>
      <c r="G113" s="17">
        <f>IFERROR(IF(E113="","",E113*F113),"")</f>
        <v/>
      </c>
    </row>
    <row r="114">
      <c r="A114" s="16" t="n"/>
      <c r="B114" s="2" t="n"/>
      <c r="C114" s="2" t="n"/>
      <c r="D114" s="2" t="n"/>
      <c r="E114" s="2" t="n"/>
      <c r="F114" s="17" t="n"/>
      <c r="G114" s="17">
        <f>IFERROR(IF(E114="","",E114*F114),"")</f>
        <v/>
      </c>
    </row>
    <row r="115">
      <c r="A115" s="16" t="n"/>
      <c r="B115" s="2" t="n"/>
      <c r="C115" s="2" t="n"/>
      <c r="D115" s="2" t="n"/>
      <c r="E115" s="2" t="n"/>
      <c r="F115" s="17" t="n"/>
      <c r="G115" s="17">
        <f>IFERROR(IF(E115="","",E115*F115),"")</f>
        <v/>
      </c>
    </row>
    <row r="116">
      <c r="A116" s="16" t="n"/>
      <c r="B116" s="2" t="n"/>
      <c r="C116" s="2" t="n"/>
      <c r="D116" s="2" t="n"/>
      <c r="E116" s="2" t="n"/>
      <c r="F116" s="17" t="n"/>
      <c r="G116" s="17">
        <f>IFERROR(IF(E116="","",E116*F116),"")</f>
        <v/>
      </c>
    </row>
    <row r="117">
      <c r="A117" s="16" t="n"/>
      <c r="B117" s="2" t="n"/>
      <c r="C117" s="2" t="n"/>
      <c r="D117" s="2" t="n"/>
      <c r="E117" s="2" t="n"/>
      <c r="F117" s="17" t="n"/>
      <c r="G117" s="17">
        <f>IFERROR(IF(E117="","",E117*F117),"")</f>
        <v/>
      </c>
    </row>
    <row r="118">
      <c r="A118" s="16" t="n"/>
      <c r="B118" s="2" t="n"/>
      <c r="C118" s="2" t="n"/>
      <c r="D118" s="2" t="n"/>
      <c r="E118" s="2" t="n"/>
      <c r="F118" s="17" t="n"/>
      <c r="G118" s="17">
        <f>IFERROR(IF(E118="","",E118*F118),"")</f>
        <v/>
      </c>
    </row>
    <row r="119">
      <c r="A119" s="16" t="n"/>
      <c r="B119" s="2" t="n"/>
      <c r="C119" s="2" t="n"/>
      <c r="D119" s="2" t="n"/>
      <c r="E119" s="2" t="n"/>
      <c r="F119" s="17" t="n"/>
      <c r="G119" s="17">
        <f>IFERROR(IF(E119="","",E119*F119),"")</f>
        <v/>
      </c>
    </row>
    <row r="120">
      <c r="A120" s="16" t="n"/>
      <c r="B120" s="2" t="n"/>
      <c r="C120" s="2" t="n"/>
      <c r="D120" s="2" t="n"/>
      <c r="E120" s="2" t="n"/>
      <c r="F120" s="17" t="n"/>
      <c r="G120" s="17">
        <f>IFERROR(IF(E120="","",E120*F120),"")</f>
        <v/>
      </c>
    </row>
    <row r="121">
      <c r="A121" s="16" t="n"/>
      <c r="B121" s="2" t="n"/>
      <c r="C121" s="2" t="n"/>
      <c r="D121" s="2" t="n"/>
      <c r="E121" s="2" t="n"/>
      <c r="F121" s="17" t="n"/>
      <c r="G121" s="17">
        <f>IFERROR(IF(E121="","",E121*F121),"")</f>
        <v/>
      </c>
    </row>
    <row r="122">
      <c r="A122" s="16" t="n"/>
      <c r="B122" s="2" t="n"/>
      <c r="C122" s="2" t="n"/>
      <c r="D122" s="2" t="n"/>
      <c r="E122" s="2" t="n"/>
      <c r="F122" s="17" t="n"/>
      <c r="G122" s="17">
        <f>IFERROR(IF(E122="","",E122*F122),"")</f>
        <v/>
      </c>
    </row>
    <row r="123">
      <c r="A123" s="16" t="n"/>
      <c r="B123" s="2" t="n"/>
      <c r="C123" s="2" t="n"/>
      <c r="D123" s="2" t="n"/>
      <c r="E123" s="2" t="n"/>
      <c r="F123" s="17" t="n"/>
      <c r="G123" s="17">
        <f>IFERROR(IF(E123="","",E123*F123),"")</f>
        <v/>
      </c>
    </row>
    <row r="124">
      <c r="A124" s="16" t="n"/>
      <c r="B124" s="2" t="n"/>
      <c r="C124" s="2" t="n"/>
      <c r="D124" s="2" t="n"/>
      <c r="E124" s="2" t="n"/>
      <c r="F124" s="17" t="n"/>
      <c r="G124" s="17">
        <f>IFERROR(IF(E124="","",E124*F124),"")</f>
        <v/>
      </c>
    </row>
    <row r="125">
      <c r="A125" s="16" t="n"/>
      <c r="B125" s="2" t="n"/>
      <c r="C125" s="2" t="n"/>
      <c r="D125" s="2" t="n"/>
      <c r="E125" s="2" t="n"/>
      <c r="F125" s="17" t="n"/>
      <c r="G125" s="17">
        <f>IFERROR(IF(E125="","",E125*F125),"")</f>
        <v/>
      </c>
    </row>
    <row r="126">
      <c r="A126" s="16" t="n"/>
      <c r="B126" s="2" t="n"/>
      <c r="C126" s="2" t="n"/>
      <c r="D126" s="2" t="n"/>
      <c r="E126" s="2" t="n"/>
      <c r="F126" s="17" t="n"/>
      <c r="G126" s="17">
        <f>IFERROR(IF(E126="","",E126*F126),"")</f>
        <v/>
      </c>
    </row>
    <row r="127">
      <c r="A127" s="16" t="n"/>
      <c r="B127" s="2" t="n"/>
      <c r="C127" s="2" t="n"/>
      <c r="D127" s="2" t="n"/>
      <c r="E127" s="2" t="n"/>
      <c r="F127" s="17" t="n"/>
      <c r="G127" s="17">
        <f>IFERROR(IF(E127="","",E127*F127),"")</f>
        <v/>
      </c>
    </row>
    <row r="128">
      <c r="A128" s="16" t="n"/>
      <c r="B128" s="2" t="n"/>
      <c r="C128" s="2" t="n"/>
      <c r="D128" s="2" t="n"/>
      <c r="E128" s="2" t="n"/>
      <c r="F128" s="17" t="n"/>
      <c r="G128" s="17">
        <f>IFERROR(IF(E128="","",E128*F128),"")</f>
        <v/>
      </c>
    </row>
    <row r="129">
      <c r="A129" s="16" t="n"/>
      <c r="B129" s="2" t="n"/>
      <c r="C129" s="2" t="n"/>
      <c r="D129" s="2" t="n"/>
      <c r="E129" s="2" t="n"/>
      <c r="F129" s="17" t="n"/>
      <c r="G129" s="17">
        <f>IFERROR(IF(E129="","",E129*F129),"")</f>
        <v/>
      </c>
    </row>
    <row r="130">
      <c r="A130" s="16" t="n"/>
      <c r="B130" s="2" t="n"/>
      <c r="C130" s="2" t="n"/>
      <c r="D130" s="2" t="n"/>
      <c r="E130" s="2" t="n"/>
      <c r="F130" s="17" t="n"/>
      <c r="G130" s="17">
        <f>IFERROR(IF(E130="","",E130*F130),"")</f>
        <v/>
      </c>
    </row>
    <row r="131">
      <c r="A131" s="16" t="n"/>
      <c r="B131" s="2" t="n"/>
      <c r="C131" s="2" t="n"/>
      <c r="D131" s="2" t="n"/>
      <c r="E131" s="2" t="n"/>
      <c r="F131" s="17" t="n"/>
      <c r="G131" s="17">
        <f>IFERROR(IF(E131="","",E131*F131),"")</f>
        <v/>
      </c>
    </row>
    <row r="132">
      <c r="A132" s="16" t="n"/>
      <c r="B132" s="2" t="n"/>
      <c r="C132" s="2" t="n"/>
      <c r="D132" s="2" t="n"/>
      <c r="E132" s="2" t="n"/>
      <c r="F132" s="17" t="n"/>
      <c r="G132" s="17">
        <f>IFERROR(IF(E132="","",E132*F132),"")</f>
        <v/>
      </c>
    </row>
    <row r="133">
      <c r="A133" s="16" t="n"/>
      <c r="B133" s="2" t="n"/>
      <c r="C133" s="2" t="n"/>
      <c r="D133" s="2" t="n"/>
      <c r="E133" s="2" t="n"/>
      <c r="F133" s="17" t="n"/>
      <c r="G133" s="17">
        <f>IFERROR(IF(E133="","",E133*F133),"")</f>
        <v/>
      </c>
    </row>
    <row r="134">
      <c r="A134" s="16" t="n"/>
      <c r="B134" s="2" t="n"/>
      <c r="C134" s="2" t="n"/>
      <c r="D134" s="2" t="n"/>
      <c r="E134" s="2" t="n"/>
      <c r="F134" s="17" t="n"/>
      <c r="G134" s="17">
        <f>IFERROR(IF(E134="","",E134*F134),"")</f>
        <v/>
      </c>
    </row>
    <row r="135">
      <c r="A135" s="16" t="n"/>
      <c r="B135" s="2" t="n"/>
      <c r="C135" s="2" t="n"/>
      <c r="D135" s="2" t="n"/>
      <c r="E135" s="2" t="n"/>
      <c r="F135" s="17" t="n"/>
      <c r="G135" s="17">
        <f>IFERROR(IF(E135="","",E135*F135),"")</f>
        <v/>
      </c>
    </row>
    <row r="136">
      <c r="A136" s="16" t="n"/>
      <c r="B136" s="2" t="n"/>
      <c r="C136" s="2" t="n"/>
      <c r="D136" s="2" t="n"/>
      <c r="E136" s="2" t="n"/>
      <c r="F136" s="17" t="n"/>
      <c r="G136" s="17">
        <f>IFERROR(IF(E136="","",E136*F136),"")</f>
        <v/>
      </c>
    </row>
    <row r="137">
      <c r="A137" s="16" t="n"/>
      <c r="B137" s="2" t="n"/>
      <c r="C137" s="2" t="n"/>
      <c r="D137" s="2" t="n"/>
      <c r="E137" s="2" t="n"/>
      <c r="F137" s="17" t="n"/>
      <c r="G137" s="17">
        <f>IFERROR(IF(E137="","",E137*F137),"")</f>
        <v/>
      </c>
    </row>
    <row r="138">
      <c r="A138" s="16" t="n"/>
      <c r="B138" s="2" t="n"/>
      <c r="C138" s="2" t="n"/>
      <c r="D138" s="2" t="n"/>
      <c r="E138" s="2" t="n"/>
      <c r="F138" s="17" t="n"/>
      <c r="G138" s="17">
        <f>IFERROR(IF(E138="","",E138*F138),"")</f>
        <v/>
      </c>
    </row>
    <row r="139">
      <c r="A139" s="16" t="n"/>
      <c r="B139" s="2" t="n"/>
      <c r="C139" s="2" t="n"/>
      <c r="D139" s="2" t="n"/>
      <c r="E139" s="2" t="n"/>
      <c r="F139" s="17" t="n"/>
      <c r="G139" s="17">
        <f>IFERROR(IF(E139="","",E139*F139),"")</f>
        <v/>
      </c>
    </row>
    <row r="140">
      <c r="A140" s="16" t="n"/>
      <c r="B140" s="2" t="n"/>
      <c r="C140" s="2" t="n"/>
      <c r="D140" s="2" t="n"/>
      <c r="E140" s="2" t="n"/>
      <c r="F140" s="17" t="n"/>
      <c r="G140" s="17">
        <f>IFERROR(IF(E140="","",E140*F140),"")</f>
        <v/>
      </c>
    </row>
    <row r="141">
      <c r="A141" s="16" t="n"/>
      <c r="B141" s="2" t="n"/>
      <c r="C141" s="2" t="n"/>
      <c r="D141" s="2" t="n"/>
      <c r="E141" s="2" t="n"/>
      <c r="F141" s="17" t="n"/>
      <c r="G141" s="17">
        <f>IFERROR(IF(E141="","",E141*F141),"")</f>
        <v/>
      </c>
    </row>
    <row r="142">
      <c r="A142" s="16" t="n"/>
      <c r="B142" s="2" t="n"/>
      <c r="C142" s="2" t="n"/>
      <c r="D142" s="2" t="n"/>
      <c r="E142" s="2" t="n"/>
      <c r="F142" s="17" t="n"/>
      <c r="G142" s="17">
        <f>IFERROR(IF(E142="","",E142*F142),"")</f>
        <v/>
      </c>
    </row>
    <row r="143">
      <c r="A143" s="16" t="n"/>
      <c r="B143" s="2" t="n"/>
      <c r="C143" s="2" t="n"/>
      <c r="D143" s="2" t="n"/>
      <c r="E143" s="2" t="n"/>
      <c r="F143" s="17" t="n"/>
      <c r="G143" s="17">
        <f>IFERROR(IF(E143="","",E143*F143),"")</f>
        <v/>
      </c>
    </row>
    <row r="144">
      <c r="A144" s="16" t="n"/>
      <c r="B144" s="2" t="n"/>
      <c r="C144" s="2" t="n"/>
      <c r="D144" s="2" t="n"/>
      <c r="E144" s="2" t="n"/>
      <c r="F144" s="17" t="n"/>
      <c r="G144" s="17">
        <f>IFERROR(IF(E144="","",E144*F144),"")</f>
        <v/>
      </c>
    </row>
    <row r="145">
      <c r="A145" s="16" t="n"/>
      <c r="B145" s="2" t="n"/>
      <c r="C145" s="2" t="n"/>
      <c r="D145" s="2" t="n"/>
      <c r="E145" s="2" t="n"/>
      <c r="F145" s="17" t="n"/>
      <c r="G145" s="17">
        <f>IFERROR(IF(E145="","",E145*F145),"")</f>
        <v/>
      </c>
    </row>
    <row r="146">
      <c r="A146" s="16" t="n"/>
      <c r="B146" s="2" t="n"/>
      <c r="C146" s="2" t="n"/>
      <c r="D146" s="2" t="n"/>
      <c r="E146" s="2" t="n"/>
      <c r="F146" s="17" t="n"/>
      <c r="G146" s="17">
        <f>IFERROR(IF(E146="","",E146*F146),"")</f>
        <v/>
      </c>
    </row>
    <row r="147">
      <c r="A147" s="16" t="n"/>
      <c r="B147" s="2" t="n"/>
      <c r="C147" s="2" t="n"/>
      <c r="D147" s="2" t="n"/>
      <c r="E147" s="2" t="n"/>
      <c r="F147" s="17" t="n"/>
      <c r="G147" s="17">
        <f>IFERROR(IF(E147="","",E147*F147),"")</f>
        <v/>
      </c>
    </row>
    <row r="148">
      <c r="A148" s="16" t="n"/>
      <c r="B148" s="2" t="n"/>
      <c r="C148" s="2" t="n"/>
      <c r="D148" s="2" t="n"/>
      <c r="E148" s="2" t="n"/>
      <c r="F148" s="17" t="n"/>
      <c r="G148" s="17">
        <f>IFERROR(IF(E148="","",E148*F148),"")</f>
        <v/>
      </c>
    </row>
    <row r="149">
      <c r="A149" s="16" t="n"/>
      <c r="B149" s="2" t="n"/>
      <c r="C149" s="2" t="n"/>
      <c r="D149" s="2" t="n"/>
      <c r="E149" s="2" t="n"/>
      <c r="F149" s="17" t="n"/>
      <c r="G149" s="17">
        <f>IFERROR(IF(E149="","",E149*F149),"")</f>
        <v/>
      </c>
    </row>
    <row r="150">
      <c r="A150" s="16" t="n"/>
      <c r="B150" s="2" t="n"/>
      <c r="C150" s="2" t="n"/>
      <c r="D150" s="2" t="n"/>
      <c r="E150" s="2" t="n"/>
      <c r="F150" s="17" t="n"/>
      <c r="G150" s="17">
        <f>IFERROR(IF(E150="","",E150*F150),"")</f>
        <v/>
      </c>
    </row>
    <row r="151">
      <c r="A151" s="16" t="n"/>
      <c r="B151" s="2" t="n"/>
      <c r="C151" s="2" t="n"/>
      <c r="D151" s="2" t="n"/>
      <c r="E151" s="2" t="n"/>
      <c r="F151" s="17" t="n"/>
      <c r="G151" s="17">
        <f>IFERROR(IF(E151="","",E151*F151),"")</f>
        <v/>
      </c>
    </row>
    <row r="152">
      <c r="A152" s="16" t="n"/>
      <c r="B152" s="2" t="n"/>
      <c r="C152" s="2" t="n"/>
      <c r="D152" s="2" t="n"/>
      <c r="E152" s="2" t="n"/>
      <c r="F152" s="17" t="n"/>
      <c r="G152" s="17">
        <f>IFERROR(IF(E152="","",E152*F152),"")</f>
        <v/>
      </c>
    </row>
    <row r="153">
      <c r="A153" s="16" t="n"/>
      <c r="B153" s="2" t="n"/>
      <c r="C153" s="2" t="n"/>
      <c r="D153" s="2" t="n"/>
      <c r="E153" s="2" t="n"/>
      <c r="F153" s="17" t="n"/>
      <c r="G153" s="17">
        <f>IFERROR(IF(E153="","",E153*F153),"")</f>
        <v/>
      </c>
    </row>
    <row r="154">
      <c r="A154" s="16" t="n"/>
      <c r="B154" s="2" t="n"/>
      <c r="C154" s="2" t="n"/>
      <c r="D154" s="2" t="n"/>
      <c r="E154" s="2" t="n"/>
      <c r="F154" s="17" t="n"/>
      <c r="G154" s="17">
        <f>IFERROR(IF(E154="","",E154*F154),"")</f>
        <v/>
      </c>
    </row>
    <row r="155">
      <c r="A155" s="16" t="n"/>
      <c r="B155" s="2" t="n"/>
      <c r="C155" s="2" t="n"/>
      <c r="D155" s="2" t="n"/>
      <c r="E155" s="2" t="n"/>
      <c r="F155" s="17" t="n"/>
      <c r="G155" s="17">
        <f>IFERROR(IF(E155="","",E155*F155),"")</f>
        <v/>
      </c>
    </row>
    <row r="156">
      <c r="A156" s="16" t="n"/>
      <c r="B156" s="2" t="n"/>
      <c r="C156" s="2" t="n"/>
      <c r="D156" s="2" t="n"/>
      <c r="E156" s="2" t="n"/>
      <c r="F156" s="17" t="n"/>
      <c r="G156" s="17">
        <f>IFERROR(IF(E156="","",E156*F156),"")</f>
        <v/>
      </c>
    </row>
    <row r="157">
      <c r="A157" s="16" t="n"/>
      <c r="B157" s="2" t="n"/>
      <c r="C157" s="2" t="n"/>
      <c r="D157" s="2" t="n"/>
      <c r="E157" s="2" t="n"/>
      <c r="F157" s="17" t="n"/>
      <c r="G157" s="17">
        <f>IFERROR(IF(E157="","",E157*F157),"")</f>
        <v/>
      </c>
    </row>
    <row r="158">
      <c r="A158" s="16" t="n"/>
      <c r="B158" s="2" t="n"/>
      <c r="C158" s="2" t="n"/>
      <c r="D158" s="2" t="n"/>
      <c r="E158" s="2" t="n"/>
      <c r="F158" s="17" t="n"/>
      <c r="G158" s="17">
        <f>IFERROR(IF(E158="","",E158*F158),"")</f>
        <v/>
      </c>
    </row>
    <row r="159">
      <c r="A159" s="16" t="n"/>
      <c r="B159" s="2" t="n"/>
      <c r="C159" s="2" t="n"/>
      <c r="D159" s="2" t="n"/>
      <c r="E159" s="2" t="n"/>
      <c r="F159" s="17" t="n"/>
      <c r="G159" s="17">
        <f>IFERROR(IF(E159="","",E159*F159),"")</f>
        <v/>
      </c>
    </row>
    <row r="160">
      <c r="A160" s="16" t="n"/>
      <c r="B160" s="2" t="n"/>
      <c r="C160" s="2" t="n"/>
      <c r="D160" s="2" t="n"/>
      <c r="E160" s="2" t="n"/>
      <c r="F160" s="17" t="n"/>
      <c r="G160" s="17">
        <f>IFERROR(IF(E160="","",E160*F160),"")</f>
        <v/>
      </c>
    </row>
    <row r="161">
      <c r="A161" s="16" t="n"/>
      <c r="B161" s="2" t="n"/>
      <c r="C161" s="2" t="n"/>
      <c r="D161" s="2" t="n"/>
      <c r="E161" s="2" t="n"/>
      <c r="F161" s="17" t="n"/>
      <c r="G161" s="17">
        <f>IFERROR(IF(E161="","",E161*F161),"")</f>
        <v/>
      </c>
    </row>
    <row r="162">
      <c r="A162" s="16" t="n"/>
      <c r="B162" s="2" t="n"/>
      <c r="C162" s="2" t="n"/>
      <c r="D162" s="2" t="n"/>
      <c r="E162" s="2" t="n"/>
      <c r="F162" s="17" t="n"/>
      <c r="G162" s="17">
        <f>IFERROR(IF(E162="","",E162*F162),"")</f>
        <v/>
      </c>
    </row>
    <row r="163">
      <c r="A163" s="16" t="n"/>
      <c r="B163" s="2" t="n"/>
      <c r="C163" s="2" t="n"/>
      <c r="D163" s="2" t="n"/>
      <c r="E163" s="2" t="n"/>
      <c r="F163" s="17" t="n"/>
      <c r="G163" s="17">
        <f>IFERROR(IF(E163="","",E163*F163),"")</f>
        <v/>
      </c>
    </row>
    <row r="164">
      <c r="A164" s="16" t="n"/>
      <c r="B164" s="2" t="n"/>
      <c r="C164" s="2" t="n"/>
      <c r="D164" s="2" t="n"/>
      <c r="E164" s="2" t="n"/>
      <c r="F164" s="17" t="n"/>
      <c r="G164" s="17">
        <f>IFERROR(IF(E164="","",E164*F164),"")</f>
        <v/>
      </c>
    </row>
    <row r="165">
      <c r="A165" s="16" t="n"/>
      <c r="B165" s="2" t="n"/>
      <c r="C165" s="2" t="n"/>
      <c r="D165" s="2" t="n"/>
      <c r="E165" s="2" t="n"/>
      <c r="F165" s="17" t="n"/>
      <c r="G165" s="17">
        <f>IFERROR(IF(E165="","",E165*F165),"")</f>
        <v/>
      </c>
    </row>
    <row r="166">
      <c r="A166" s="16" t="n"/>
      <c r="B166" s="2" t="n"/>
      <c r="C166" s="2" t="n"/>
      <c r="D166" s="2" t="n"/>
      <c r="E166" s="2" t="n"/>
      <c r="F166" s="17" t="n"/>
      <c r="G166" s="17">
        <f>IFERROR(IF(E166="","",E166*F166),"")</f>
        <v/>
      </c>
    </row>
    <row r="167">
      <c r="A167" s="16" t="n"/>
      <c r="B167" s="2" t="n"/>
      <c r="C167" s="2" t="n"/>
      <c r="D167" s="2" t="n"/>
      <c r="E167" s="2" t="n"/>
      <c r="F167" s="17" t="n"/>
      <c r="G167" s="17">
        <f>IFERROR(IF(E167="","",E167*F167),"")</f>
        <v/>
      </c>
    </row>
    <row r="168">
      <c r="A168" s="16" t="n"/>
      <c r="B168" s="2" t="n"/>
      <c r="C168" s="2" t="n"/>
      <c r="D168" s="2" t="n"/>
      <c r="E168" s="2" t="n"/>
      <c r="F168" s="17" t="n"/>
      <c r="G168" s="17">
        <f>IFERROR(IF(E168="","",E168*F168),"")</f>
        <v/>
      </c>
    </row>
    <row r="169">
      <c r="A169" s="16" t="n"/>
      <c r="B169" s="2" t="n"/>
      <c r="C169" s="2" t="n"/>
      <c r="D169" s="2" t="n"/>
      <c r="E169" s="2" t="n"/>
      <c r="F169" s="17" t="n"/>
      <c r="G169" s="17">
        <f>IFERROR(IF(E169="","",E169*F169),"")</f>
        <v/>
      </c>
    </row>
    <row r="170">
      <c r="A170" s="16" t="n"/>
      <c r="B170" s="2" t="n"/>
      <c r="C170" s="2" t="n"/>
      <c r="D170" s="2" t="n"/>
      <c r="E170" s="2" t="n"/>
      <c r="F170" s="17" t="n"/>
      <c r="G170" s="17">
        <f>IFERROR(IF(E170="","",E170*F170),"")</f>
        <v/>
      </c>
    </row>
    <row r="171">
      <c r="A171" s="16" t="n"/>
      <c r="B171" s="2" t="n"/>
      <c r="C171" s="2" t="n"/>
      <c r="D171" s="2" t="n"/>
      <c r="E171" s="2" t="n"/>
      <c r="F171" s="17" t="n"/>
      <c r="G171" s="17">
        <f>IFERROR(IF(E171="","",E171*F171),"")</f>
        <v/>
      </c>
    </row>
    <row r="172">
      <c r="A172" s="16" t="n"/>
      <c r="B172" s="2" t="n"/>
      <c r="C172" s="2" t="n"/>
      <c r="D172" s="2" t="n"/>
      <c r="E172" s="2" t="n"/>
      <c r="F172" s="17" t="n"/>
      <c r="G172" s="17">
        <f>IFERROR(IF(E172="","",E172*F172),"")</f>
        <v/>
      </c>
    </row>
    <row r="173">
      <c r="A173" s="16" t="n"/>
      <c r="B173" s="2" t="n"/>
      <c r="C173" s="2" t="n"/>
      <c r="D173" s="2" t="n"/>
      <c r="E173" s="2" t="n"/>
      <c r="F173" s="17" t="n"/>
      <c r="G173" s="17">
        <f>IFERROR(IF(E173="","",E173*F173),"")</f>
        <v/>
      </c>
    </row>
    <row r="174">
      <c r="A174" s="16" t="n"/>
      <c r="B174" s="2" t="n"/>
      <c r="C174" s="2" t="n"/>
      <c r="D174" s="2" t="n"/>
      <c r="E174" s="2" t="n"/>
      <c r="F174" s="17" t="n"/>
      <c r="G174" s="17">
        <f>IFERROR(IF(E174="","",E174*F174),"")</f>
        <v/>
      </c>
    </row>
    <row r="175">
      <c r="A175" s="16" t="n"/>
      <c r="B175" s="2" t="n"/>
      <c r="C175" s="2" t="n"/>
      <c r="D175" s="2" t="n"/>
      <c r="E175" s="2" t="n"/>
      <c r="F175" s="17" t="n"/>
      <c r="G175" s="17">
        <f>IFERROR(IF(E175="","",E175*F175),"")</f>
        <v/>
      </c>
    </row>
    <row r="176">
      <c r="A176" s="16" t="n"/>
      <c r="B176" s="2" t="n"/>
      <c r="C176" s="2" t="n"/>
      <c r="D176" s="2" t="n"/>
      <c r="E176" s="2" t="n"/>
      <c r="F176" s="17" t="n"/>
      <c r="G176" s="17">
        <f>IFERROR(IF(E176="","",E176*F176),"")</f>
        <v/>
      </c>
    </row>
    <row r="177">
      <c r="A177" s="16" t="n"/>
      <c r="B177" s="2" t="n"/>
      <c r="C177" s="2" t="n"/>
      <c r="D177" s="2" t="n"/>
      <c r="E177" s="2" t="n"/>
      <c r="F177" s="17" t="n"/>
      <c r="G177" s="17">
        <f>IFERROR(IF(E177="","",E177*F177),"")</f>
        <v/>
      </c>
    </row>
    <row r="178">
      <c r="A178" s="16" t="n"/>
      <c r="B178" s="2" t="n"/>
      <c r="C178" s="2" t="n"/>
      <c r="D178" s="2" t="n"/>
      <c r="E178" s="2" t="n"/>
      <c r="F178" s="17" t="n"/>
      <c r="G178" s="17">
        <f>IFERROR(IF(E178="","",E178*F178),"")</f>
        <v/>
      </c>
    </row>
    <row r="179">
      <c r="A179" s="16" t="n"/>
      <c r="B179" s="2" t="n"/>
      <c r="C179" s="2" t="n"/>
      <c r="D179" s="2" t="n"/>
      <c r="E179" s="2" t="n"/>
      <c r="F179" s="17" t="n"/>
      <c r="G179" s="17">
        <f>IFERROR(IF(E179="","",E179*F179),"")</f>
        <v/>
      </c>
    </row>
    <row r="180">
      <c r="A180" s="16" t="n"/>
      <c r="B180" s="2" t="n"/>
      <c r="C180" s="2" t="n"/>
      <c r="D180" s="2" t="n"/>
      <c r="E180" s="2" t="n"/>
      <c r="F180" s="17" t="n"/>
      <c r="G180" s="17">
        <f>IFERROR(IF(E180="","",E180*F180),"")</f>
        <v/>
      </c>
    </row>
    <row r="181">
      <c r="A181" s="16" t="n"/>
      <c r="B181" s="2" t="n"/>
      <c r="C181" s="2" t="n"/>
      <c r="D181" s="2" t="n"/>
      <c r="E181" s="2" t="n"/>
      <c r="F181" s="17" t="n"/>
      <c r="G181" s="17">
        <f>IFERROR(IF(E181="","",E181*F181),"")</f>
        <v/>
      </c>
    </row>
    <row r="182">
      <c r="A182" s="16" t="n"/>
      <c r="B182" s="2" t="n"/>
      <c r="C182" s="2" t="n"/>
      <c r="D182" s="2" t="n"/>
      <c r="E182" s="2" t="n"/>
      <c r="F182" s="17" t="n"/>
      <c r="G182" s="17">
        <f>IFERROR(IF(E182="","",E182*F182),"")</f>
        <v/>
      </c>
    </row>
    <row r="183">
      <c r="A183" s="16" t="n"/>
      <c r="B183" s="2" t="n"/>
      <c r="C183" s="2" t="n"/>
      <c r="D183" s="2" t="n"/>
      <c r="E183" s="2" t="n"/>
      <c r="F183" s="17" t="n"/>
      <c r="G183" s="17">
        <f>IFERROR(IF(E183="","",E183*F183),"")</f>
        <v/>
      </c>
    </row>
    <row r="184">
      <c r="A184" s="16" t="n"/>
      <c r="B184" s="2" t="n"/>
      <c r="C184" s="2" t="n"/>
      <c r="D184" s="2" t="n"/>
      <c r="E184" s="2" t="n"/>
      <c r="F184" s="17" t="n"/>
      <c r="G184" s="17">
        <f>IFERROR(IF(E184="","",E184*F184),"")</f>
        <v/>
      </c>
    </row>
    <row r="185">
      <c r="A185" s="16" t="n"/>
      <c r="B185" s="2" t="n"/>
      <c r="C185" s="2" t="n"/>
      <c r="D185" s="2" t="n"/>
      <c r="E185" s="2" t="n"/>
      <c r="F185" s="17" t="n"/>
      <c r="G185" s="17">
        <f>IFERROR(IF(E185="","",E185*F185),"")</f>
        <v/>
      </c>
    </row>
    <row r="186">
      <c r="A186" s="16" t="n"/>
      <c r="B186" s="2" t="n"/>
      <c r="C186" s="2" t="n"/>
      <c r="D186" s="2" t="n"/>
      <c r="E186" s="2" t="n"/>
      <c r="F186" s="17" t="n"/>
      <c r="G186" s="17">
        <f>IFERROR(IF(E186="","",E186*F186),"")</f>
        <v/>
      </c>
    </row>
    <row r="187">
      <c r="A187" s="16" t="n"/>
      <c r="B187" s="2" t="n"/>
      <c r="C187" s="2" t="n"/>
      <c r="D187" s="2" t="n"/>
      <c r="E187" s="2" t="n"/>
      <c r="F187" s="17" t="n"/>
      <c r="G187" s="17">
        <f>IFERROR(IF(E187="","",E187*F187),"")</f>
        <v/>
      </c>
    </row>
    <row r="188">
      <c r="A188" s="16" t="n"/>
      <c r="B188" s="2" t="n"/>
      <c r="C188" s="2" t="n"/>
      <c r="D188" s="2" t="n"/>
      <c r="E188" s="2" t="n"/>
      <c r="F188" s="17" t="n"/>
      <c r="G188" s="17">
        <f>IFERROR(IF(E188="","",E188*F188),"")</f>
        <v/>
      </c>
    </row>
    <row r="189">
      <c r="A189" s="16" t="n"/>
      <c r="B189" s="2" t="n"/>
      <c r="C189" s="2" t="n"/>
      <c r="D189" s="2" t="n"/>
      <c r="E189" s="2" t="n"/>
      <c r="F189" s="17" t="n"/>
      <c r="G189" s="17">
        <f>IFERROR(IF(E189="","",E189*F189),"")</f>
        <v/>
      </c>
    </row>
    <row r="190">
      <c r="A190" s="16" t="n"/>
      <c r="B190" s="2" t="n"/>
      <c r="C190" s="2" t="n"/>
      <c r="D190" s="2" t="n"/>
      <c r="E190" s="2" t="n"/>
      <c r="F190" s="17" t="n"/>
      <c r="G190" s="17">
        <f>IFERROR(IF(E190="","",E190*F190),"")</f>
        <v/>
      </c>
    </row>
    <row r="191">
      <c r="A191" s="16" t="n"/>
      <c r="B191" s="2" t="n"/>
      <c r="C191" s="2" t="n"/>
      <c r="D191" s="2" t="n"/>
      <c r="E191" s="2" t="n"/>
      <c r="F191" s="17" t="n"/>
      <c r="G191" s="17">
        <f>IFERROR(IF(E191="","",E191*F191),"")</f>
        <v/>
      </c>
    </row>
    <row r="192">
      <c r="A192" s="16" t="n"/>
      <c r="B192" s="2" t="n"/>
      <c r="C192" s="2" t="n"/>
      <c r="D192" s="2" t="n"/>
      <c r="E192" s="2" t="n"/>
      <c r="F192" s="17" t="n"/>
      <c r="G192" s="17">
        <f>IFERROR(IF(E192="","",E192*F192),"")</f>
        <v/>
      </c>
    </row>
    <row r="193">
      <c r="A193" s="16" t="n"/>
      <c r="B193" s="2" t="n"/>
      <c r="C193" s="2" t="n"/>
      <c r="D193" s="2" t="n"/>
      <c r="E193" s="2" t="n"/>
      <c r="F193" s="17" t="n"/>
      <c r="G193" s="17">
        <f>IFERROR(IF(E193="","",E193*F193),"")</f>
        <v/>
      </c>
    </row>
    <row r="194">
      <c r="A194" s="16" t="n"/>
      <c r="B194" s="2" t="n"/>
      <c r="C194" s="2" t="n"/>
      <c r="D194" s="2" t="n"/>
      <c r="E194" s="2" t="n"/>
      <c r="F194" s="17" t="n"/>
      <c r="G194" s="17">
        <f>IFERROR(IF(E194="","",E194*F194),"")</f>
        <v/>
      </c>
    </row>
    <row r="195">
      <c r="A195" s="16" t="n"/>
      <c r="B195" s="2" t="n"/>
      <c r="C195" s="2" t="n"/>
      <c r="D195" s="2" t="n"/>
      <c r="E195" s="2" t="n"/>
      <c r="F195" s="17" t="n"/>
      <c r="G195" s="17">
        <f>IFERROR(IF(E195="","",E195*F195),"")</f>
        <v/>
      </c>
    </row>
    <row r="196">
      <c r="A196" s="16" t="n"/>
      <c r="B196" s="2" t="n"/>
      <c r="C196" s="2" t="n"/>
      <c r="D196" s="2" t="n"/>
      <c r="E196" s="2" t="n"/>
      <c r="F196" s="17" t="n"/>
      <c r="G196" s="17">
        <f>IFERROR(IF(E196="","",E196*F196),"")</f>
        <v/>
      </c>
    </row>
    <row r="197">
      <c r="A197" s="16" t="n"/>
      <c r="B197" s="2" t="n"/>
      <c r="C197" s="2" t="n"/>
      <c r="D197" s="2" t="n"/>
      <c r="E197" s="2" t="n"/>
      <c r="F197" s="17" t="n"/>
      <c r="G197" s="17">
        <f>IFERROR(IF(E197="","",E197*F197),"")</f>
        <v/>
      </c>
    </row>
    <row r="198">
      <c r="A198" s="16" t="n"/>
      <c r="B198" s="2" t="n"/>
      <c r="C198" s="2" t="n"/>
      <c r="D198" s="2" t="n"/>
      <c r="E198" s="2" t="n"/>
      <c r="F198" s="17" t="n"/>
      <c r="G198" s="17">
        <f>IFERROR(IF(E198="","",E198*F198),"")</f>
        <v/>
      </c>
    </row>
    <row r="199">
      <c r="A199" s="16" t="n"/>
      <c r="B199" s="2" t="n"/>
      <c r="C199" s="2" t="n"/>
      <c r="D199" s="2" t="n"/>
      <c r="E199" s="2" t="n"/>
      <c r="F199" s="17" t="n"/>
      <c r="G199" s="17">
        <f>IFERROR(IF(E199="","",E199*F199),"")</f>
        <v/>
      </c>
    </row>
    <row r="200">
      <c r="A200" s="16" t="n"/>
      <c r="B200" s="2" t="n"/>
      <c r="C200" s="2" t="n"/>
      <c r="D200" s="2" t="n"/>
      <c r="E200" s="2" t="n"/>
      <c r="F200" s="17" t="n"/>
      <c r="G200" s="17">
        <f>IFERROR(IF(E200="","",E200*F200),"")</f>
        <v/>
      </c>
    </row>
    <row r="201">
      <c r="A201" s="16" t="n"/>
      <c r="B201" s="2" t="n"/>
      <c r="C201" s="2" t="n"/>
      <c r="D201" s="2" t="n"/>
      <c r="E201" s="2" t="n"/>
      <c r="F201" s="18" t="n"/>
      <c r="G201" s="18">
        <f>IFERROR(IF(E201="","",E201*F201),"")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07692307692308" customWidth="1" min="1" max="1"/>
    <col width="16.61538461538462" customWidth="1" min="2" max="2"/>
    <col width="31.38461538461538" customWidth="1" min="3" max="3"/>
    <col width="12.92307692307692" customWidth="1" min="4" max="4"/>
    <col width="10" customWidth="1" min="5" max="5"/>
  </cols>
  <sheetData>
    <row r="1">
      <c r="A1" s="1" t="inlineStr">
        <is>
          <t>Depenses — Le Yellow Jack</t>
        </is>
      </c>
      <c r="B1" s="2" t="n"/>
      <c r="C1" s="2" t="n"/>
      <c r="D1" s="2" t="n"/>
      <c r="E1" s="2" t="n"/>
    </row>
    <row r="2">
      <c r="A2" s="3" t="inlineStr">
        <is>
          <t>Achats de stock, decoration, reparations, licences...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1" t="inlineStr">
        <is>
          <t>Date</t>
        </is>
      </c>
      <c r="B4" s="11" t="inlineStr">
        <is>
          <t>Categorie</t>
        </is>
      </c>
      <c r="C4" s="11" t="inlineStr">
        <is>
          <t>Description</t>
        </is>
      </c>
      <c r="D4" s="11" t="inlineStr">
        <is>
          <t>Montant</t>
        </is>
      </c>
      <c r="E4" s="2" t="n"/>
    </row>
    <row r="5">
      <c r="A5" s="12" t="n">
        <v>46287</v>
      </c>
      <c r="B5" s="13" t="inlineStr">
        <is>
          <t>Stock alcool</t>
        </is>
      </c>
      <c r="C5" s="13" t="inlineStr">
        <is>
          <t>Test</t>
        </is>
      </c>
      <c r="D5" s="14" t="inlineStr">
        <is>
          <t>X</t>
        </is>
      </c>
      <c r="E5" s="2" t="n"/>
    </row>
    <row r="6">
      <c r="A6" s="12" t="n">
        <v>46288</v>
      </c>
      <c r="B6" s="13" t="inlineStr">
        <is>
          <t>Entretien</t>
        </is>
      </c>
      <c r="C6" s="13" t="inlineStr">
        <is>
          <t>Test</t>
        </is>
      </c>
      <c r="D6" s="14" t="inlineStr">
        <is>
          <t>X</t>
        </is>
      </c>
      <c r="E6" s="2" t="n"/>
    </row>
    <row r="7">
      <c r="A7" s="16" t="n"/>
      <c r="B7" s="2" t="n"/>
      <c r="C7" s="2" t="n"/>
      <c r="D7" s="17" t="n"/>
      <c r="E7" s="2" t="n"/>
    </row>
    <row r="8">
      <c r="A8" s="16" t="n"/>
      <c r="B8" s="2" t="n"/>
      <c r="C8" s="2" t="n"/>
      <c r="D8" s="17" t="n"/>
      <c r="E8" s="2" t="n"/>
    </row>
    <row r="9">
      <c r="A9" s="16" t="n"/>
      <c r="B9" s="2" t="n"/>
      <c r="C9" s="2" t="n"/>
      <c r="D9" s="17" t="n"/>
      <c r="E9" s="2" t="n"/>
    </row>
    <row r="10">
      <c r="A10" s="16" t="n"/>
      <c r="B10" s="2" t="n"/>
      <c r="C10" s="2" t="n"/>
      <c r="D10" s="17" t="n"/>
      <c r="E10" s="2" t="n"/>
    </row>
    <row r="11">
      <c r="A11" s="16" t="n"/>
      <c r="B11" s="2" t="n"/>
      <c r="C11" s="2" t="n"/>
      <c r="D11" s="17" t="n"/>
      <c r="E11" s="2" t="n"/>
    </row>
    <row r="12">
      <c r="A12" s="16" t="n"/>
      <c r="B12" s="2" t="n"/>
      <c r="C12" s="2" t="n"/>
      <c r="D12" s="17" t="n"/>
      <c r="E12" s="2" t="n"/>
    </row>
    <row r="13">
      <c r="A13" s="16" t="n"/>
      <c r="B13" s="2" t="n"/>
      <c r="C13" s="2" t="n"/>
      <c r="D13" s="17" t="n"/>
      <c r="E13" s="2" t="n"/>
    </row>
    <row r="14">
      <c r="A14" s="16" t="n"/>
      <c r="B14" s="2" t="n"/>
      <c r="C14" s="2" t="n"/>
      <c r="D14" s="17" t="n"/>
      <c r="E14" s="2" t="n"/>
    </row>
    <row r="15">
      <c r="A15" s="16" t="n"/>
      <c r="B15" s="2" t="n"/>
      <c r="C15" s="2" t="n"/>
      <c r="D15" s="17" t="n"/>
      <c r="E15" s="2" t="n"/>
    </row>
    <row r="16">
      <c r="A16" s="16" t="n"/>
      <c r="B16" s="2" t="n"/>
      <c r="C16" s="2" t="n"/>
      <c r="D16" s="17" t="n"/>
      <c r="E16" s="2" t="n"/>
    </row>
    <row r="17">
      <c r="A17" s="16" t="n"/>
      <c r="B17" s="2" t="n"/>
      <c r="C17" s="2" t="n"/>
      <c r="D17" s="17" t="n"/>
      <c r="E17" s="2" t="n"/>
    </row>
    <row r="18">
      <c r="A18" s="16" t="n"/>
      <c r="B18" s="2" t="n"/>
      <c r="C18" s="2" t="n"/>
      <c r="D18" s="17" t="n"/>
      <c r="E18" s="2" t="n"/>
    </row>
    <row r="19">
      <c r="A19" s="16" t="n"/>
      <c r="B19" s="2" t="n"/>
      <c r="C19" s="2" t="n"/>
      <c r="D19" s="17" t="n"/>
      <c r="E19" s="2" t="n"/>
    </row>
    <row r="20">
      <c r="A20" s="16" t="n"/>
      <c r="B20" s="2" t="n"/>
      <c r="C20" s="2" t="n"/>
      <c r="D20" s="17" t="n"/>
      <c r="E20" s="2" t="n"/>
    </row>
    <row r="21">
      <c r="A21" s="16" t="n"/>
      <c r="B21" s="2" t="n"/>
      <c r="C21" s="2" t="n"/>
      <c r="D21" s="17" t="n"/>
      <c r="E21" s="2" t="n"/>
    </row>
    <row r="22">
      <c r="A22" s="16" t="n"/>
      <c r="B22" s="2" t="n"/>
      <c r="C22" s="2" t="n"/>
      <c r="D22" s="17" t="n"/>
      <c r="E22" s="2" t="n"/>
    </row>
    <row r="23">
      <c r="A23" s="16" t="n"/>
      <c r="B23" s="2" t="n"/>
      <c r="C23" s="2" t="n"/>
      <c r="D23" s="17" t="n"/>
      <c r="E23" s="2" t="n"/>
    </row>
    <row r="24">
      <c r="A24" s="16" t="n"/>
      <c r="B24" s="2" t="n"/>
      <c r="C24" s="2" t="n"/>
      <c r="D24" s="17" t="n"/>
      <c r="E24" s="2" t="n"/>
    </row>
    <row r="25">
      <c r="A25" s="16" t="n"/>
      <c r="B25" s="2" t="n"/>
      <c r="C25" s="2" t="n"/>
      <c r="D25" s="17" t="n"/>
      <c r="E25" s="2" t="n"/>
    </row>
    <row r="26">
      <c r="A26" s="16" t="n"/>
      <c r="B26" s="2" t="n"/>
      <c r="C26" s="2" t="n"/>
      <c r="D26" s="17" t="n"/>
      <c r="E26" s="2" t="n"/>
    </row>
    <row r="27">
      <c r="A27" s="16" t="n"/>
      <c r="B27" s="2" t="n"/>
      <c r="C27" s="2" t="n"/>
      <c r="D27" s="17" t="n"/>
      <c r="E27" s="2" t="n"/>
    </row>
    <row r="28">
      <c r="A28" s="16" t="n"/>
      <c r="B28" s="2" t="n"/>
      <c r="C28" s="2" t="n"/>
      <c r="D28" s="17" t="n"/>
      <c r="E28" s="2" t="n"/>
    </row>
    <row r="29">
      <c r="A29" s="16" t="n"/>
      <c r="B29" s="2" t="n"/>
      <c r="C29" s="2" t="n"/>
      <c r="D29" s="17" t="n"/>
      <c r="E29" s="2" t="n"/>
    </row>
    <row r="30">
      <c r="A30" s="16" t="n"/>
      <c r="B30" s="2" t="n"/>
      <c r="C30" s="2" t="n"/>
      <c r="D30" s="17" t="n"/>
      <c r="E30" s="2" t="n"/>
    </row>
    <row r="31">
      <c r="A31" s="16" t="n"/>
      <c r="B31" s="2" t="n"/>
      <c r="C31" s="2" t="n"/>
      <c r="D31" s="17" t="n"/>
      <c r="E31" s="2" t="n"/>
    </row>
    <row r="32">
      <c r="A32" s="16" t="n"/>
      <c r="B32" s="2" t="n"/>
      <c r="C32" s="2" t="n"/>
      <c r="D32" s="17" t="n"/>
      <c r="E32" s="2" t="n"/>
    </row>
    <row r="33">
      <c r="A33" s="16" t="n"/>
      <c r="B33" s="2" t="n"/>
      <c r="C33" s="2" t="n"/>
      <c r="D33" s="17" t="n"/>
      <c r="E33" s="2" t="n"/>
    </row>
    <row r="34">
      <c r="A34" s="16" t="n"/>
      <c r="B34" s="2" t="n"/>
      <c r="C34" s="2" t="n"/>
      <c r="D34" s="17" t="n"/>
      <c r="E34" s="2" t="n"/>
    </row>
    <row r="35">
      <c r="A35" s="16" t="n"/>
      <c r="B35" s="2" t="n"/>
      <c r="C35" s="2" t="n"/>
      <c r="D35" s="17" t="n"/>
      <c r="E35" s="2" t="n"/>
    </row>
    <row r="36">
      <c r="A36" s="16" t="n"/>
      <c r="B36" s="2" t="n"/>
      <c r="C36" s="2" t="n"/>
      <c r="D36" s="17" t="n"/>
      <c r="E36" s="2" t="n"/>
    </row>
    <row r="37">
      <c r="A37" s="16" t="n"/>
      <c r="B37" s="2" t="n"/>
      <c r="C37" s="2" t="n"/>
      <c r="D37" s="17" t="n"/>
      <c r="E37" s="2" t="n"/>
    </row>
    <row r="38">
      <c r="A38" s="16" t="n"/>
      <c r="B38" s="2" t="n"/>
      <c r="C38" s="2" t="n"/>
      <c r="D38" s="17" t="n"/>
      <c r="E38" s="2" t="n"/>
    </row>
    <row r="39">
      <c r="A39" s="16" t="n"/>
      <c r="B39" s="2" t="n"/>
      <c r="C39" s="2" t="n"/>
      <c r="D39" s="17" t="n"/>
      <c r="E39" s="2" t="n"/>
    </row>
    <row r="40">
      <c r="A40" s="16" t="n"/>
      <c r="B40" s="2" t="n"/>
      <c r="C40" s="2" t="n"/>
      <c r="D40" s="17" t="n"/>
      <c r="E40" s="2" t="n"/>
    </row>
    <row r="41">
      <c r="A41" s="16" t="n"/>
      <c r="B41" s="2" t="n"/>
      <c r="C41" s="2" t="n"/>
      <c r="D41" s="17" t="n"/>
      <c r="E41" s="2" t="n"/>
    </row>
    <row r="42">
      <c r="A42" s="16" t="n"/>
      <c r="B42" s="2" t="n"/>
      <c r="C42" s="2" t="n"/>
      <c r="D42" s="17" t="n"/>
      <c r="E42" s="2" t="n"/>
    </row>
    <row r="43">
      <c r="A43" s="16" t="n"/>
      <c r="B43" s="2" t="n"/>
      <c r="C43" s="2" t="n"/>
      <c r="D43" s="17" t="n"/>
      <c r="E43" s="2" t="n"/>
    </row>
    <row r="44">
      <c r="A44" s="16" t="n"/>
      <c r="B44" s="2" t="n"/>
      <c r="C44" s="2" t="n"/>
      <c r="D44" s="17" t="n"/>
      <c r="E44" s="2" t="n"/>
    </row>
    <row r="45">
      <c r="A45" s="16" t="n"/>
      <c r="B45" s="2" t="n"/>
      <c r="C45" s="2" t="n"/>
      <c r="D45" s="17" t="n"/>
      <c r="E45" s="2" t="n"/>
    </row>
    <row r="46">
      <c r="A46" s="16" t="n"/>
      <c r="B46" s="2" t="n"/>
      <c r="C46" s="2" t="n"/>
      <c r="D46" s="17" t="n"/>
      <c r="E46" s="2" t="n"/>
    </row>
    <row r="47">
      <c r="A47" s="16" t="n"/>
      <c r="B47" s="2" t="n"/>
      <c r="C47" s="2" t="n"/>
      <c r="D47" s="17" t="n"/>
      <c r="E47" s="2" t="n"/>
    </row>
    <row r="48">
      <c r="A48" s="16" t="n"/>
      <c r="B48" s="2" t="n"/>
      <c r="C48" s="2" t="n"/>
      <c r="D48" s="17" t="n"/>
      <c r="E48" s="2" t="n"/>
    </row>
    <row r="49">
      <c r="A49" s="16" t="n"/>
      <c r="B49" s="2" t="n"/>
      <c r="C49" s="2" t="n"/>
      <c r="D49" s="17" t="n"/>
      <c r="E49" s="2" t="n"/>
    </row>
    <row r="50">
      <c r="A50" s="16" t="n"/>
      <c r="B50" s="2" t="n"/>
      <c r="C50" s="2" t="n"/>
      <c r="D50" s="17" t="n"/>
      <c r="E50" s="2" t="n"/>
    </row>
    <row r="51">
      <c r="A51" s="16" t="n"/>
      <c r="B51" s="2" t="n"/>
      <c r="C51" s="2" t="n"/>
      <c r="D51" s="17" t="n"/>
      <c r="E51" s="2" t="n"/>
    </row>
    <row r="52">
      <c r="A52" s="16" t="n"/>
      <c r="B52" s="2" t="n"/>
      <c r="C52" s="2" t="n"/>
      <c r="D52" s="17" t="n"/>
      <c r="E52" s="2" t="n"/>
    </row>
    <row r="53">
      <c r="A53" s="16" t="n"/>
      <c r="B53" s="2" t="n"/>
      <c r="C53" s="2" t="n"/>
      <c r="D53" s="17" t="n"/>
      <c r="E53" s="2" t="n"/>
    </row>
    <row r="54">
      <c r="A54" s="16" t="n"/>
      <c r="B54" s="2" t="n"/>
      <c r="C54" s="2" t="n"/>
      <c r="D54" s="17" t="n"/>
      <c r="E54" s="2" t="n"/>
    </row>
    <row r="55">
      <c r="A55" s="16" t="n"/>
      <c r="B55" s="2" t="n"/>
      <c r="C55" s="2" t="n"/>
      <c r="D55" s="17" t="n"/>
      <c r="E55" s="2" t="n"/>
    </row>
    <row r="56">
      <c r="A56" s="16" t="n"/>
      <c r="B56" s="2" t="n"/>
      <c r="C56" s="2" t="n"/>
      <c r="D56" s="17" t="n"/>
      <c r="E56" s="2" t="n"/>
    </row>
    <row r="57">
      <c r="A57" s="16" t="n"/>
      <c r="B57" s="2" t="n"/>
      <c r="C57" s="2" t="n"/>
      <c r="D57" s="17" t="n"/>
      <c r="E57" s="2" t="n"/>
    </row>
    <row r="58">
      <c r="A58" s="16" t="n"/>
      <c r="B58" s="2" t="n"/>
      <c r="C58" s="2" t="n"/>
      <c r="D58" s="17" t="n"/>
      <c r="E58" s="2" t="n"/>
    </row>
    <row r="59">
      <c r="A59" s="16" t="n"/>
      <c r="B59" s="2" t="n"/>
      <c r="C59" s="2" t="n"/>
      <c r="D59" s="17" t="n"/>
      <c r="E59" s="2" t="n"/>
    </row>
    <row r="60">
      <c r="A60" s="16" t="n"/>
      <c r="B60" s="2" t="n"/>
      <c r="C60" s="2" t="n"/>
      <c r="D60" s="17" t="n"/>
      <c r="E60" s="2" t="n"/>
    </row>
    <row r="61">
      <c r="A61" s="16" t="n"/>
      <c r="B61" s="2" t="n"/>
      <c r="C61" s="2" t="n"/>
      <c r="D61" s="17" t="n"/>
      <c r="E61" s="2" t="n"/>
    </row>
    <row r="62">
      <c r="A62" s="16" t="n"/>
      <c r="B62" s="2" t="n"/>
      <c r="C62" s="2" t="n"/>
      <c r="D62" s="17" t="n"/>
      <c r="E62" s="2" t="n"/>
    </row>
    <row r="63">
      <c r="A63" s="16" t="n"/>
      <c r="B63" s="2" t="n"/>
      <c r="C63" s="2" t="n"/>
      <c r="D63" s="17" t="n"/>
      <c r="E63" s="2" t="n"/>
    </row>
    <row r="64">
      <c r="A64" s="16" t="n"/>
      <c r="B64" s="2" t="n"/>
      <c r="C64" s="2" t="n"/>
      <c r="D64" s="17" t="n"/>
      <c r="E64" s="2" t="n"/>
    </row>
    <row r="65">
      <c r="A65" s="16" t="n"/>
      <c r="B65" s="2" t="n"/>
      <c r="C65" s="2" t="n"/>
      <c r="D65" s="17" t="n"/>
      <c r="E65" s="2" t="n"/>
    </row>
    <row r="66">
      <c r="A66" s="16" t="n"/>
      <c r="B66" s="2" t="n"/>
      <c r="C66" s="2" t="n"/>
      <c r="D66" s="17" t="n"/>
      <c r="E66" s="2" t="n"/>
    </row>
    <row r="67">
      <c r="A67" s="16" t="n"/>
      <c r="B67" s="2" t="n"/>
      <c r="C67" s="2" t="n"/>
      <c r="D67" s="17" t="n"/>
      <c r="E67" s="2" t="n"/>
    </row>
    <row r="68">
      <c r="A68" s="16" t="n"/>
      <c r="B68" s="2" t="n"/>
      <c r="C68" s="2" t="n"/>
      <c r="D68" s="17" t="n"/>
      <c r="E68" s="2" t="n"/>
    </row>
    <row r="69">
      <c r="A69" s="16" t="n"/>
      <c r="B69" s="2" t="n"/>
      <c r="C69" s="2" t="n"/>
      <c r="D69" s="17" t="n"/>
      <c r="E69" s="2" t="n"/>
    </row>
    <row r="70">
      <c r="A70" s="16" t="n"/>
      <c r="B70" s="2" t="n"/>
      <c r="C70" s="2" t="n"/>
      <c r="D70" s="17" t="n"/>
      <c r="E70" s="2" t="n"/>
    </row>
    <row r="71">
      <c r="A71" s="16" t="n"/>
      <c r="B71" s="2" t="n"/>
      <c r="C71" s="2" t="n"/>
      <c r="D71" s="17" t="n"/>
      <c r="E71" s="2" t="n"/>
    </row>
    <row r="72">
      <c r="A72" s="16" t="n"/>
      <c r="B72" s="2" t="n"/>
      <c r="C72" s="2" t="n"/>
      <c r="D72" s="17" t="n"/>
      <c r="E72" s="2" t="n"/>
    </row>
    <row r="73">
      <c r="A73" s="16" t="n"/>
      <c r="B73" s="2" t="n"/>
      <c r="C73" s="2" t="n"/>
      <c r="D73" s="17" t="n"/>
      <c r="E73" s="2" t="n"/>
    </row>
    <row r="74">
      <c r="A74" s="16" t="n"/>
      <c r="B74" s="2" t="n"/>
      <c r="C74" s="2" t="n"/>
      <c r="D74" s="17" t="n"/>
      <c r="E74" s="2" t="n"/>
    </row>
    <row r="75">
      <c r="A75" s="16" t="n"/>
      <c r="B75" s="2" t="n"/>
      <c r="C75" s="2" t="n"/>
      <c r="D75" s="17" t="n"/>
      <c r="E75" s="2" t="n"/>
    </row>
    <row r="76">
      <c r="A76" s="16" t="n"/>
      <c r="B76" s="2" t="n"/>
      <c r="C76" s="2" t="n"/>
      <c r="D76" s="17" t="n"/>
      <c r="E76" s="2" t="n"/>
    </row>
    <row r="77">
      <c r="A77" s="16" t="n"/>
      <c r="B77" s="2" t="n"/>
      <c r="C77" s="2" t="n"/>
      <c r="D77" s="17" t="n"/>
      <c r="E77" s="2" t="n"/>
    </row>
    <row r="78">
      <c r="A78" s="16" t="n"/>
      <c r="B78" s="2" t="n"/>
      <c r="C78" s="2" t="n"/>
      <c r="D78" s="17" t="n"/>
      <c r="E78" s="2" t="n"/>
    </row>
    <row r="79">
      <c r="A79" s="16" t="n"/>
      <c r="B79" s="2" t="n"/>
      <c r="C79" s="2" t="n"/>
      <c r="D79" s="17" t="n"/>
      <c r="E79" s="2" t="n"/>
    </row>
    <row r="80">
      <c r="A80" s="16" t="n"/>
      <c r="B80" s="2" t="n"/>
      <c r="C80" s="2" t="n"/>
      <c r="D80" s="17" t="n"/>
      <c r="E80" s="2" t="n"/>
    </row>
    <row r="81">
      <c r="A81" s="16" t="n"/>
      <c r="B81" s="2" t="n"/>
      <c r="C81" s="2" t="n"/>
      <c r="D81" s="17" t="n"/>
      <c r="E81" s="2" t="n"/>
    </row>
    <row r="82">
      <c r="A82" s="16" t="n"/>
      <c r="B82" s="2" t="n"/>
      <c r="C82" s="2" t="n"/>
      <c r="D82" s="17" t="n"/>
      <c r="E82" s="2" t="n"/>
    </row>
    <row r="83">
      <c r="A83" s="16" t="n"/>
      <c r="B83" s="2" t="n"/>
      <c r="C83" s="2" t="n"/>
      <c r="D83" s="17" t="n"/>
      <c r="E83" s="2" t="n"/>
    </row>
    <row r="84">
      <c r="A84" s="16" t="n"/>
      <c r="B84" s="2" t="n"/>
      <c r="C84" s="2" t="n"/>
      <c r="D84" s="17" t="n"/>
      <c r="E84" s="2" t="n"/>
    </row>
    <row r="85">
      <c r="A85" s="16" t="n"/>
      <c r="B85" s="2" t="n"/>
      <c r="C85" s="2" t="n"/>
      <c r="D85" s="17" t="n"/>
      <c r="E85" s="2" t="n"/>
    </row>
    <row r="86">
      <c r="A86" s="16" t="n"/>
      <c r="B86" s="2" t="n"/>
      <c r="C86" s="2" t="n"/>
      <c r="D86" s="17" t="n"/>
      <c r="E86" s="2" t="n"/>
    </row>
    <row r="87">
      <c r="A87" s="16" t="n"/>
      <c r="B87" s="2" t="n"/>
      <c r="C87" s="2" t="n"/>
      <c r="D87" s="17" t="n"/>
      <c r="E87" s="2" t="n"/>
    </row>
    <row r="88">
      <c r="A88" s="16" t="n"/>
      <c r="B88" s="2" t="n"/>
      <c r="C88" s="2" t="n"/>
      <c r="D88" s="17" t="n"/>
      <c r="E88" s="2" t="n"/>
    </row>
    <row r="89">
      <c r="A89" s="16" t="n"/>
      <c r="B89" s="2" t="n"/>
      <c r="C89" s="2" t="n"/>
      <c r="D89" s="17" t="n"/>
      <c r="E89" s="2" t="n"/>
    </row>
    <row r="90">
      <c r="A90" s="16" t="n"/>
      <c r="B90" s="2" t="n"/>
      <c r="C90" s="2" t="n"/>
      <c r="D90" s="17" t="n"/>
      <c r="E90" s="2" t="n"/>
    </row>
    <row r="91">
      <c r="A91" s="16" t="n"/>
      <c r="B91" s="2" t="n"/>
      <c r="C91" s="2" t="n"/>
      <c r="D91" s="17" t="n"/>
      <c r="E91" s="2" t="n"/>
    </row>
    <row r="92">
      <c r="A92" s="16" t="n"/>
      <c r="B92" s="2" t="n"/>
      <c r="C92" s="2" t="n"/>
      <c r="D92" s="17" t="n"/>
      <c r="E92" s="2" t="n"/>
    </row>
    <row r="93">
      <c r="A93" s="16" t="n"/>
      <c r="B93" s="2" t="n"/>
      <c r="C93" s="2" t="n"/>
      <c r="D93" s="17" t="n"/>
      <c r="E93" s="2" t="n"/>
    </row>
    <row r="94">
      <c r="A94" s="16" t="n"/>
      <c r="B94" s="2" t="n"/>
      <c r="C94" s="2" t="n"/>
      <c r="D94" s="17" t="n"/>
      <c r="E94" s="2" t="n"/>
    </row>
    <row r="95">
      <c r="A95" s="16" t="n"/>
      <c r="B95" s="2" t="n"/>
      <c r="C95" s="2" t="n"/>
      <c r="D95" s="17" t="n"/>
      <c r="E95" s="2" t="n"/>
    </row>
    <row r="96">
      <c r="A96" s="16" t="n"/>
      <c r="B96" s="2" t="n"/>
      <c r="C96" s="2" t="n"/>
      <c r="D96" s="17" t="n"/>
      <c r="E96" s="2" t="n"/>
    </row>
    <row r="97">
      <c r="A97" s="16" t="n"/>
      <c r="B97" s="2" t="n"/>
      <c r="C97" s="2" t="n"/>
      <c r="D97" s="17" t="n"/>
      <c r="E97" s="2" t="n"/>
    </row>
    <row r="98">
      <c r="A98" s="16" t="n"/>
      <c r="B98" s="2" t="n"/>
      <c r="C98" s="2" t="n"/>
      <c r="D98" s="17" t="n"/>
      <c r="E98" s="2" t="n"/>
    </row>
    <row r="99">
      <c r="A99" s="16" t="n"/>
      <c r="B99" s="2" t="n"/>
      <c r="C99" s="2" t="n"/>
      <c r="D99" s="17" t="n"/>
      <c r="E99" s="2" t="n"/>
    </row>
    <row r="100">
      <c r="A100" s="16" t="n"/>
      <c r="B100" s="2" t="n"/>
      <c r="C100" s="2" t="n"/>
      <c r="D100" s="17" t="n"/>
      <c r="E100" s="2" t="n"/>
    </row>
    <row r="101">
      <c r="A101" s="16" t="n"/>
      <c r="B101" s="2" t="n"/>
      <c r="C101" s="2" t="n"/>
      <c r="D101" s="17" t="n"/>
      <c r="E101" s="2" t="n"/>
    </row>
    <row r="102">
      <c r="A102" s="16" t="n"/>
      <c r="B102" s="2" t="n"/>
      <c r="C102" s="2" t="n"/>
      <c r="D102" s="17" t="n"/>
      <c r="E102" s="2" t="n"/>
    </row>
    <row r="103">
      <c r="A103" s="16" t="n"/>
      <c r="B103" s="2" t="n"/>
      <c r="C103" s="2" t="n"/>
      <c r="D103" s="17" t="n"/>
      <c r="E103" s="2" t="n"/>
    </row>
    <row r="104">
      <c r="A104" s="16" t="n"/>
      <c r="B104" s="2" t="n"/>
      <c r="C104" s="2" t="n"/>
      <c r="D104" s="17" t="n"/>
      <c r="E104" s="2" t="n"/>
    </row>
    <row r="105">
      <c r="A105" s="16" t="n"/>
      <c r="B105" s="2" t="n"/>
      <c r="C105" s="2" t="n"/>
      <c r="D105" s="17" t="n"/>
      <c r="E105" s="2" t="n"/>
    </row>
    <row r="106">
      <c r="A106" s="16" t="n"/>
      <c r="B106" s="2" t="n"/>
      <c r="C106" s="2" t="n"/>
      <c r="D106" s="17" t="n"/>
      <c r="E106" s="2" t="n"/>
    </row>
    <row r="107">
      <c r="A107" s="16" t="n"/>
      <c r="B107" s="2" t="n"/>
      <c r="C107" s="2" t="n"/>
      <c r="D107" s="17" t="n"/>
      <c r="E107" s="2" t="n"/>
    </row>
    <row r="108">
      <c r="A108" s="16" t="n"/>
      <c r="B108" s="2" t="n"/>
      <c r="C108" s="2" t="n"/>
      <c r="D108" s="17" t="n"/>
      <c r="E108" s="2" t="n"/>
    </row>
    <row r="109">
      <c r="A109" s="16" t="n"/>
      <c r="B109" s="2" t="n"/>
      <c r="C109" s="2" t="n"/>
      <c r="D109" s="17" t="n"/>
      <c r="E109" s="2" t="n"/>
    </row>
    <row r="110">
      <c r="A110" s="16" t="n"/>
      <c r="B110" s="2" t="n"/>
      <c r="C110" s="2" t="n"/>
      <c r="D110" s="17" t="n"/>
      <c r="E110" s="2" t="n"/>
    </row>
    <row r="111">
      <c r="A111" s="16" t="n"/>
      <c r="B111" s="2" t="n"/>
      <c r="C111" s="2" t="n"/>
      <c r="D111" s="17" t="n"/>
      <c r="E111" s="2" t="n"/>
    </row>
    <row r="112">
      <c r="A112" s="16" t="n"/>
      <c r="B112" s="2" t="n"/>
      <c r="C112" s="2" t="n"/>
      <c r="D112" s="17" t="n"/>
      <c r="E112" s="2" t="n"/>
    </row>
    <row r="113">
      <c r="A113" s="16" t="n"/>
      <c r="B113" s="2" t="n"/>
      <c r="C113" s="2" t="n"/>
      <c r="D113" s="17" t="n"/>
      <c r="E113" s="2" t="n"/>
    </row>
    <row r="114">
      <c r="A114" s="16" t="n"/>
      <c r="B114" s="2" t="n"/>
      <c r="C114" s="2" t="n"/>
      <c r="D114" s="17" t="n"/>
      <c r="E114" s="2" t="n"/>
    </row>
    <row r="115">
      <c r="A115" s="16" t="n"/>
      <c r="B115" s="2" t="n"/>
      <c r="C115" s="2" t="n"/>
      <c r="D115" s="17" t="n"/>
      <c r="E115" s="2" t="n"/>
    </row>
    <row r="116">
      <c r="A116" s="16" t="n"/>
      <c r="B116" s="2" t="n"/>
      <c r="C116" s="2" t="n"/>
      <c r="D116" s="17" t="n"/>
      <c r="E116" s="2" t="n"/>
    </row>
    <row r="117">
      <c r="A117" s="16" t="n"/>
      <c r="B117" s="2" t="n"/>
      <c r="C117" s="2" t="n"/>
      <c r="D117" s="17" t="n"/>
      <c r="E117" s="2" t="n"/>
    </row>
    <row r="118">
      <c r="A118" s="16" t="n"/>
      <c r="B118" s="2" t="n"/>
      <c r="C118" s="2" t="n"/>
      <c r="D118" s="17" t="n"/>
      <c r="E118" s="2" t="n"/>
    </row>
    <row r="119">
      <c r="A119" s="16" t="n"/>
      <c r="B119" s="2" t="n"/>
      <c r="C119" s="2" t="n"/>
      <c r="D119" s="17" t="n"/>
      <c r="E119" s="2" t="n"/>
    </row>
    <row r="120">
      <c r="A120" s="16" t="n"/>
      <c r="B120" s="2" t="n"/>
      <c r="C120" s="2" t="n"/>
      <c r="D120" s="17" t="n"/>
      <c r="E120" s="2" t="n"/>
    </row>
    <row r="121">
      <c r="A121" s="16" t="n"/>
      <c r="B121" s="2" t="n"/>
      <c r="C121" s="2" t="n"/>
      <c r="D121" s="17" t="n"/>
      <c r="E121" s="2" t="n"/>
    </row>
    <row r="122">
      <c r="A122" s="16" t="n"/>
      <c r="B122" s="2" t="n"/>
      <c r="C122" s="2" t="n"/>
      <c r="D122" s="17" t="n"/>
      <c r="E122" s="2" t="n"/>
    </row>
    <row r="123">
      <c r="A123" s="16" t="n"/>
      <c r="B123" s="2" t="n"/>
      <c r="C123" s="2" t="n"/>
      <c r="D123" s="17" t="n"/>
      <c r="E123" s="2" t="n"/>
    </row>
    <row r="124">
      <c r="A124" s="16" t="n"/>
      <c r="B124" s="2" t="n"/>
      <c r="C124" s="2" t="n"/>
      <c r="D124" s="17" t="n"/>
      <c r="E124" s="2" t="n"/>
    </row>
    <row r="125">
      <c r="A125" s="16" t="n"/>
      <c r="B125" s="2" t="n"/>
      <c r="C125" s="2" t="n"/>
      <c r="D125" s="17" t="n"/>
      <c r="E125" s="2" t="n"/>
    </row>
    <row r="126">
      <c r="A126" s="16" t="n"/>
      <c r="B126" s="2" t="n"/>
      <c r="C126" s="2" t="n"/>
      <c r="D126" s="17" t="n"/>
      <c r="E126" s="2" t="n"/>
    </row>
    <row r="127">
      <c r="A127" s="16" t="n"/>
      <c r="B127" s="2" t="n"/>
      <c r="C127" s="2" t="n"/>
      <c r="D127" s="17" t="n"/>
      <c r="E127" s="2" t="n"/>
    </row>
    <row r="128">
      <c r="A128" s="16" t="n"/>
      <c r="B128" s="2" t="n"/>
      <c r="C128" s="2" t="n"/>
      <c r="D128" s="17" t="n"/>
      <c r="E128" s="2" t="n"/>
    </row>
    <row r="129">
      <c r="A129" s="16" t="n"/>
      <c r="B129" s="2" t="n"/>
      <c r="C129" s="2" t="n"/>
      <c r="D129" s="17" t="n"/>
      <c r="E129" s="2" t="n"/>
    </row>
    <row r="130">
      <c r="A130" s="16" t="n"/>
      <c r="B130" s="2" t="n"/>
      <c r="C130" s="2" t="n"/>
      <c r="D130" s="17" t="n"/>
      <c r="E130" s="2" t="n"/>
    </row>
    <row r="131">
      <c r="A131" s="16" t="n"/>
      <c r="B131" s="2" t="n"/>
      <c r="C131" s="2" t="n"/>
      <c r="D131" s="17" t="n"/>
      <c r="E131" s="2" t="n"/>
    </row>
    <row r="132">
      <c r="A132" s="16" t="n"/>
      <c r="B132" s="2" t="n"/>
      <c r="C132" s="2" t="n"/>
      <c r="D132" s="17" t="n"/>
      <c r="E132" s="2" t="n"/>
    </row>
    <row r="133">
      <c r="A133" s="16" t="n"/>
      <c r="B133" s="2" t="n"/>
      <c r="C133" s="2" t="n"/>
      <c r="D133" s="17" t="n"/>
      <c r="E133" s="2" t="n"/>
    </row>
    <row r="134">
      <c r="A134" s="16" t="n"/>
      <c r="B134" s="2" t="n"/>
      <c r="C134" s="2" t="n"/>
      <c r="D134" s="17" t="n"/>
      <c r="E134" s="2" t="n"/>
    </row>
    <row r="135">
      <c r="A135" s="16" t="n"/>
      <c r="B135" s="2" t="n"/>
      <c r="C135" s="2" t="n"/>
      <c r="D135" s="17" t="n"/>
      <c r="E135" s="2" t="n"/>
    </row>
    <row r="136">
      <c r="A136" s="16" t="n"/>
      <c r="B136" s="2" t="n"/>
      <c r="C136" s="2" t="n"/>
      <c r="D136" s="17" t="n"/>
      <c r="E136" s="2" t="n"/>
    </row>
    <row r="137">
      <c r="A137" s="16" t="n"/>
      <c r="B137" s="2" t="n"/>
      <c r="C137" s="2" t="n"/>
      <c r="D137" s="17" t="n"/>
      <c r="E137" s="2" t="n"/>
    </row>
    <row r="138">
      <c r="A138" s="16" t="n"/>
      <c r="B138" s="2" t="n"/>
      <c r="C138" s="2" t="n"/>
      <c r="D138" s="17" t="n"/>
      <c r="E138" s="2" t="n"/>
    </row>
    <row r="139">
      <c r="A139" s="16" t="n"/>
      <c r="B139" s="2" t="n"/>
      <c r="C139" s="2" t="n"/>
      <c r="D139" s="17" t="n"/>
      <c r="E139" s="2" t="n"/>
    </row>
    <row r="140">
      <c r="A140" s="16" t="n"/>
      <c r="B140" s="2" t="n"/>
      <c r="C140" s="2" t="n"/>
      <c r="D140" s="17" t="n"/>
      <c r="E140" s="2" t="n"/>
    </row>
    <row r="141">
      <c r="A141" s="16" t="n"/>
      <c r="B141" s="2" t="n"/>
      <c r="C141" s="2" t="n"/>
      <c r="D141" s="17" t="n"/>
      <c r="E141" s="2" t="n"/>
    </row>
    <row r="142">
      <c r="A142" s="16" t="n"/>
      <c r="B142" s="2" t="n"/>
      <c r="C142" s="2" t="n"/>
      <c r="D142" s="17" t="n"/>
      <c r="E142" s="2" t="n"/>
    </row>
    <row r="143">
      <c r="A143" s="16" t="n"/>
      <c r="B143" s="2" t="n"/>
      <c r="C143" s="2" t="n"/>
      <c r="D143" s="17" t="n"/>
      <c r="E143" s="2" t="n"/>
    </row>
    <row r="144">
      <c r="A144" s="16" t="n"/>
      <c r="B144" s="2" t="n"/>
      <c r="C144" s="2" t="n"/>
      <c r="D144" s="17" t="n"/>
      <c r="E144" s="2" t="n"/>
    </row>
    <row r="145">
      <c r="A145" s="16" t="n"/>
      <c r="B145" s="2" t="n"/>
      <c r="C145" s="2" t="n"/>
      <c r="D145" s="17" t="n"/>
      <c r="E145" s="2" t="n"/>
    </row>
    <row r="146">
      <c r="A146" s="16" t="n"/>
      <c r="B146" s="2" t="n"/>
      <c r="C146" s="2" t="n"/>
      <c r="D146" s="17" t="n"/>
      <c r="E146" s="2" t="n"/>
    </row>
    <row r="147">
      <c r="A147" s="16" t="n"/>
      <c r="B147" s="2" t="n"/>
      <c r="C147" s="2" t="n"/>
      <c r="D147" s="17" t="n"/>
      <c r="E147" s="2" t="n"/>
    </row>
    <row r="148">
      <c r="A148" s="16" t="n"/>
      <c r="B148" s="2" t="n"/>
      <c r="C148" s="2" t="n"/>
      <c r="D148" s="17" t="n"/>
      <c r="E148" s="2" t="n"/>
    </row>
    <row r="149">
      <c r="A149" s="16" t="n"/>
      <c r="B149" s="2" t="n"/>
      <c r="C149" s="2" t="n"/>
      <c r="D149" s="17" t="n"/>
      <c r="E149" s="2" t="n"/>
    </row>
    <row r="150">
      <c r="A150" s="16" t="n"/>
      <c r="B150" s="2" t="n"/>
      <c r="C150" s="2" t="n"/>
      <c r="D150" s="17" t="n"/>
      <c r="E150" s="2" t="n"/>
    </row>
    <row r="151">
      <c r="A151" s="16" t="n"/>
      <c r="B151" s="2" t="n"/>
      <c r="C151" s="2" t="n"/>
      <c r="D151" s="17" t="n"/>
      <c r="E151" s="2" t="n"/>
    </row>
    <row r="152">
      <c r="A152" s="16" t="n"/>
      <c r="B152" s="2" t="n"/>
      <c r="C152" s="2" t="n"/>
      <c r="D152" s="17" t="n"/>
      <c r="E152" s="2" t="n"/>
    </row>
    <row r="153">
      <c r="A153" s="16" t="n"/>
      <c r="B153" s="2" t="n"/>
      <c r="C153" s="2" t="n"/>
      <c r="D153" s="17" t="n"/>
      <c r="E153" s="2" t="n"/>
    </row>
    <row r="154">
      <c r="A154" s="16" t="n"/>
      <c r="B154" s="2" t="n"/>
      <c r="C154" s="2" t="n"/>
      <c r="D154" s="17" t="n"/>
      <c r="E154" s="2" t="n"/>
    </row>
    <row r="155">
      <c r="A155" s="16" t="n"/>
      <c r="B155" s="2" t="n"/>
      <c r="C155" s="2" t="n"/>
      <c r="D155" s="17" t="n"/>
      <c r="E155" s="2" t="n"/>
    </row>
    <row r="156">
      <c r="A156" s="16" t="n"/>
      <c r="B156" s="2" t="n"/>
      <c r="C156" s="2" t="n"/>
      <c r="D156" s="17" t="n"/>
      <c r="E156" s="2" t="n"/>
    </row>
    <row r="157">
      <c r="A157" s="16" t="n"/>
      <c r="B157" s="2" t="n"/>
      <c r="C157" s="2" t="n"/>
      <c r="D157" s="17" t="n"/>
      <c r="E157" s="2" t="n"/>
    </row>
    <row r="158">
      <c r="A158" s="16" t="n"/>
      <c r="B158" s="2" t="n"/>
      <c r="C158" s="2" t="n"/>
      <c r="D158" s="17" t="n"/>
      <c r="E158" s="2" t="n"/>
    </row>
    <row r="159">
      <c r="A159" s="16" t="n"/>
      <c r="B159" s="2" t="n"/>
      <c r="C159" s="2" t="n"/>
      <c r="D159" s="17" t="n"/>
      <c r="E159" s="2" t="n"/>
    </row>
    <row r="160">
      <c r="A160" s="16" t="n"/>
      <c r="B160" s="2" t="n"/>
      <c r="C160" s="2" t="n"/>
      <c r="D160" s="17" t="n"/>
      <c r="E160" s="2" t="n"/>
    </row>
    <row r="161">
      <c r="A161" s="16" t="n"/>
      <c r="B161" s="2" t="n"/>
      <c r="C161" s="2" t="n"/>
      <c r="D161" s="17" t="n"/>
      <c r="E161" s="2" t="n"/>
    </row>
    <row r="162">
      <c r="A162" s="16" t="n"/>
      <c r="B162" s="2" t="n"/>
      <c r="C162" s="2" t="n"/>
      <c r="D162" s="17" t="n"/>
      <c r="E162" s="2" t="n"/>
    </row>
    <row r="163">
      <c r="A163" s="16" t="n"/>
      <c r="B163" s="2" t="n"/>
      <c r="C163" s="2" t="n"/>
      <c r="D163" s="17" t="n"/>
      <c r="E163" s="2" t="n"/>
    </row>
    <row r="164">
      <c r="A164" s="16" t="n"/>
      <c r="B164" s="2" t="n"/>
      <c r="C164" s="2" t="n"/>
      <c r="D164" s="17" t="n"/>
      <c r="E164" s="2" t="n"/>
    </row>
    <row r="165">
      <c r="A165" s="16" t="n"/>
      <c r="B165" s="2" t="n"/>
      <c r="C165" s="2" t="n"/>
      <c r="D165" s="17" t="n"/>
      <c r="E165" s="2" t="n"/>
    </row>
    <row r="166">
      <c r="A166" s="16" t="n"/>
      <c r="B166" s="2" t="n"/>
      <c r="C166" s="2" t="n"/>
      <c r="D166" s="17" t="n"/>
      <c r="E166" s="2" t="n"/>
    </row>
    <row r="167">
      <c r="A167" s="16" t="n"/>
      <c r="B167" s="2" t="n"/>
      <c r="C167" s="2" t="n"/>
      <c r="D167" s="17" t="n"/>
      <c r="E167" s="2" t="n"/>
    </row>
    <row r="168">
      <c r="A168" s="16" t="n"/>
      <c r="B168" s="2" t="n"/>
      <c r="C168" s="2" t="n"/>
      <c r="D168" s="17" t="n"/>
      <c r="E168" s="2" t="n"/>
    </row>
    <row r="169">
      <c r="A169" s="16" t="n"/>
      <c r="B169" s="2" t="n"/>
      <c r="C169" s="2" t="n"/>
      <c r="D169" s="17" t="n"/>
      <c r="E169" s="2" t="n"/>
    </row>
    <row r="170">
      <c r="A170" s="16" t="n"/>
      <c r="B170" s="2" t="n"/>
      <c r="C170" s="2" t="n"/>
      <c r="D170" s="17" t="n"/>
      <c r="E170" s="2" t="n"/>
    </row>
    <row r="171">
      <c r="A171" s="16" t="n"/>
      <c r="B171" s="2" t="n"/>
      <c r="C171" s="2" t="n"/>
      <c r="D171" s="17" t="n"/>
      <c r="E171" s="2" t="n"/>
    </row>
    <row r="172">
      <c r="A172" s="16" t="n"/>
      <c r="B172" s="2" t="n"/>
      <c r="C172" s="2" t="n"/>
      <c r="D172" s="17" t="n"/>
      <c r="E172" s="2" t="n"/>
    </row>
    <row r="173">
      <c r="A173" s="16" t="n"/>
      <c r="B173" s="2" t="n"/>
      <c r="C173" s="2" t="n"/>
      <c r="D173" s="17" t="n"/>
      <c r="E173" s="2" t="n"/>
    </row>
    <row r="174">
      <c r="A174" s="16" t="n"/>
      <c r="B174" s="2" t="n"/>
      <c r="C174" s="2" t="n"/>
      <c r="D174" s="17" t="n"/>
      <c r="E174" s="2" t="n"/>
    </row>
    <row r="175">
      <c r="A175" s="16" t="n"/>
      <c r="B175" s="2" t="n"/>
      <c r="C175" s="2" t="n"/>
      <c r="D175" s="17" t="n"/>
      <c r="E175" s="2" t="n"/>
    </row>
    <row r="176">
      <c r="A176" s="16" t="n"/>
      <c r="B176" s="2" t="n"/>
      <c r="C176" s="2" t="n"/>
      <c r="D176" s="17" t="n"/>
      <c r="E176" s="2" t="n"/>
    </row>
    <row r="177">
      <c r="A177" s="16" t="n"/>
      <c r="B177" s="2" t="n"/>
      <c r="C177" s="2" t="n"/>
      <c r="D177" s="17" t="n"/>
      <c r="E177" s="2" t="n"/>
    </row>
    <row r="178">
      <c r="A178" s="16" t="n"/>
      <c r="B178" s="2" t="n"/>
      <c r="C178" s="2" t="n"/>
      <c r="D178" s="17" t="n"/>
      <c r="E178" s="2" t="n"/>
    </row>
    <row r="179">
      <c r="A179" s="16" t="n"/>
      <c r="B179" s="2" t="n"/>
      <c r="C179" s="2" t="n"/>
      <c r="D179" s="17" t="n"/>
      <c r="E179" s="2" t="n"/>
    </row>
    <row r="180">
      <c r="A180" s="16" t="n"/>
      <c r="B180" s="2" t="n"/>
      <c r="C180" s="2" t="n"/>
      <c r="D180" s="17" t="n"/>
      <c r="E180" s="2" t="n"/>
    </row>
    <row r="181">
      <c r="A181" s="16" t="n"/>
      <c r="B181" s="2" t="n"/>
      <c r="C181" s="2" t="n"/>
      <c r="D181" s="17" t="n"/>
      <c r="E181" s="2" t="n"/>
    </row>
    <row r="182">
      <c r="A182" s="16" t="n"/>
      <c r="B182" s="2" t="n"/>
      <c r="C182" s="2" t="n"/>
      <c r="D182" s="17" t="n"/>
      <c r="E182" s="2" t="n"/>
    </row>
    <row r="183">
      <c r="A183" s="16" t="n"/>
      <c r="B183" s="2" t="n"/>
      <c r="C183" s="2" t="n"/>
      <c r="D183" s="17" t="n"/>
      <c r="E183" s="2" t="n"/>
    </row>
    <row r="184">
      <c r="A184" s="16" t="n"/>
      <c r="B184" s="2" t="n"/>
      <c r="C184" s="2" t="n"/>
      <c r="D184" s="17" t="n"/>
      <c r="E184" s="2" t="n"/>
    </row>
    <row r="185">
      <c r="A185" s="16" t="n"/>
      <c r="B185" s="2" t="n"/>
      <c r="C185" s="2" t="n"/>
      <c r="D185" s="17" t="n"/>
      <c r="E185" s="2" t="n"/>
    </row>
    <row r="186">
      <c r="A186" s="16" t="n"/>
      <c r="B186" s="2" t="n"/>
      <c r="C186" s="2" t="n"/>
      <c r="D186" s="17" t="n"/>
      <c r="E186" s="2" t="n"/>
    </row>
    <row r="187">
      <c r="A187" s="16" t="n"/>
      <c r="B187" s="2" t="n"/>
      <c r="C187" s="2" t="n"/>
      <c r="D187" s="17" t="n"/>
      <c r="E187" s="2" t="n"/>
    </row>
    <row r="188">
      <c r="A188" s="16" t="n"/>
      <c r="B188" s="2" t="n"/>
      <c r="C188" s="2" t="n"/>
      <c r="D188" s="17" t="n"/>
      <c r="E188" s="2" t="n"/>
    </row>
    <row r="189">
      <c r="A189" s="16" t="n"/>
      <c r="B189" s="2" t="n"/>
      <c r="C189" s="2" t="n"/>
      <c r="D189" s="17" t="n"/>
      <c r="E189" s="2" t="n"/>
    </row>
    <row r="190">
      <c r="A190" s="16" t="n"/>
      <c r="B190" s="2" t="n"/>
      <c r="C190" s="2" t="n"/>
      <c r="D190" s="17" t="n"/>
      <c r="E190" s="2" t="n"/>
    </row>
    <row r="191">
      <c r="A191" s="16" t="n"/>
      <c r="B191" s="2" t="n"/>
      <c r="C191" s="2" t="n"/>
      <c r="D191" s="17" t="n"/>
      <c r="E191" s="2" t="n"/>
    </row>
    <row r="192">
      <c r="A192" s="16" t="n"/>
      <c r="B192" s="2" t="n"/>
      <c r="C192" s="2" t="n"/>
      <c r="D192" s="17" t="n"/>
      <c r="E192" s="2" t="n"/>
    </row>
    <row r="193">
      <c r="A193" s="16" t="n"/>
      <c r="B193" s="2" t="n"/>
      <c r="C193" s="2" t="n"/>
      <c r="D193" s="17" t="n"/>
      <c r="E193" s="2" t="n"/>
    </row>
    <row r="194">
      <c r="A194" s="16" t="n"/>
      <c r="B194" s="2" t="n"/>
      <c r="C194" s="2" t="n"/>
      <c r="D194" s="17" t="n"/>
      <c r="E194" s="2" t="n"/>
    </row>
    <row r="195">
      <c r="A195" s="16" t="n"/>
      <c r="B195" s="2" t="n"/>
      <c r="C195" s="2" t="n"/>
      <c r="D195" s="17" t="n"/>
      <c r="E195" s="2" t="n"/>
    </row>
    <row r="196">
      <c r="A196" s="16" t="n"/>
      <c r="B196" s="2" t="n"/>
      <c r="C196" s="2" t="n"/>
      <c r="D196" s="17" t="n"/>
      <c r="E196" s="2" t="n"/>
    </row>
    <row r="197">
      <c r="A197" s="16" t="n"/>
      <c r="B197" s="2" t="n"/>
      <c r="C197" s="2" t="n"/>
      <c r="D197" s="17" t="n"/>
      <c r="E197" s="2" t="n"/>
    </row>
    <row r="198">
      <c r="A198" s="16" t="n"/>
      <c r="B198" s="2" t="n"/>
      <c r="C198" s="2" t="n"/>
      <c r="D198" s="17" t="n"/>
      <c r="E198" s="2" t="n"/>
    </row>
    <row r="199">
      <c r="A199" s="16" t="n"/>
      <c r="B199" s="2" t="n"/>
      <c r="C199" s="2" t="n"/>
      <c r="D199" s="17" t="n"/>
      <c r="E199" s="2" t="n"/>
    </row>
    <row r="200">
      <c r="A200" s="16" t="n"/>
      <c r="B200" s="2" t="n"/>
      <c r="C200" s="2" t="n"/>
      <c r="D200" s="17" t="n"/>
      <c r="E200" s="2" t="n"/>
    </row>
    <row r="201">
      <c r="A201" s="16" t="n"/>
      <c r="B201" s="2" t="n"/>
      <c r="C201" s="19" t="n"/>
      <c r="D201" s="18" t="n"/>
      <c r="E201" s="2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07692307692308" customWidth="1" min="1" max="1"/>
    <col width="14.76923076923077" customWidth="1" min="2" max="2"/>
    <col width="14.76923076923077" customWidth="1" min="3" max="3"/>
    <col width="14.76923076923077" customWidth="1" min="4" max="4"/>
    <col width="12.92307692307692" customWidth="1" min="5" max="5"/>
    <col width="11.07692307692308" customWidth="1" min="6" max="6"/>
  </cols>
  <sheetData>
    <row r="1">
      <c r="A1" s="1" t="inlineStr">
        <is>
          <t>Salaires — Le Yellow Jack</t>
        </is>
      </c>
      <c r="B1" s="2" t="n"/>
      <c r="C1" s="2" t="n"/>
      <c r="D1" s="2" t="n"/>
      <c r="E1" s="2" t="n"/>
      <c r="F1" s="2" t="n"/>
    </row>
    <row r="2">
      <c r="A2" s="3" t="inlineStr">
        <is>
          <t>Paye du personnel (barman, videur, gerant...)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1" t="inlineStr">
        <is>
          <t>Date</t>
        </is>
      </c>
      <c r="B4" s="11" t="inlineStr">
        <is>
          <t>Employe</t>
        </is>
      </c>
      <c r="C4" s="11" t="inlineStr">
        <is>
          <t>Poste</t>
        </is>
      </c>
      <c r="D4" s="11" t="inlineStr">
        <is>
          <t>Heures travaillees</t>
        </is>
      </c>
      <c r="E4" s="11" t="inlineStr">
        <is>
          <t>Taux horaire</t>
        </is>
      </c>
      <c r="F4" s="11" t="inlineStr">
        <is>
          <t>Total</t>
        </is>
      </c>
    </row>
    <row r="5">
      <c r="A5" s="12" t="inlineStr">
        <is>
          <t>X</t>
        </is>
      </c>
      <c r="B5" s="13" t="inlineStr">
        <is>
          <t>X</t>
        </is>
      </c>
      <c r="C5" s="13" t="inlineStr">
        <is>
          <t>Barman</t>
        </is>
      </c>
      <c r="D5" s="13" t="inlineStr">
        <is>
          <t>X</t>
        </is>
      </c>
      <c r="E5" s="14" t="inlineStr">
        <is>
          <t>X</t>
        </is>
      </c>
      <c r="F5" s="15">
        <f>IFERROR(IF(D5="","",D5*E5),"")</f>
        <v/>
      </c>
    </row>
    <row r="6">
      <c r="A6" s="12" t="inlineStr">
        <is>
          <t>X</t>
        </is>
      </c>
      <c r="B6" s="13" t="inlineStr">
        <is>
          <t>X</t>
        </is>
      </c>
      <c r="C6" s="13" t="inlineStr">
        <is>
          <t>Videur</t>
        </is>
      </c>
      <c r="D6" s="13" t="inlineStr">
        <is>
          <t>X</t>
        </is>
      </c>
      <c r="E6" s="14" t="inlineStr">
        <is>
          <t>X</t>
        </is>
      </c>
      <c r="F6" s="15">
        <f>IFERROR(IF(D6="","",D6*E6),"")</f>
        <v/>
      </c>
    </row>
    <row r="7">
      <c r="A7" s="16" t="n"/>
      <c r="B7" s="2" t="n"/>
      <c r="C7" s="2" t="n"/>
      <c r="D7" s="2" t="n"/>
      <c r="E7" s="17" t="n"/>
      <c r="F7" s="17">
        <f>IFERROR(IF(D7="","",D7*E7),"")</f>
        <v/>
      </c>
    </row>
    <row r="8">
      <c r="A8" s="16" t="n"/>
      <c r="B8" s="2" t="n"/>
      <c r="C8" s="2" t="n"/>
      <c r="D8" s="2" t="n"/>
      <c r="E8" s="17" t="n"/>
      <c r="F8" s="17">
        <f>IFERROR(IF(D8="","",D8*E8),"")</f>
        <v/>
      </c>
    </row>
    <row r="9">
      <c r="A9" s="16" t="n"/>
      <c r="B9" s="2" t="n"/>
      <c r="C9" s="2" t="n"/>
      <c r="D9" s="2" t="n"/>
      <c r="E9" s="17" t="n"/>
      <c r="F9" s="17">
        <f>IFERROR(IF(D9="","",D9*E9),"")</f>
        <v/>
      </c>
    </row>
    <row r="10">
      <c r="A10" s="16" t="n"/>
      <c r="B10" s="2" t="n"/>
      <c r="C10" s="2" t="n"/>
      <c r="D10" s="2" t="n"/>
      <c r="E10" s="17" t="n"/>
      <c r="F10" s="17">
        <f>IFERROR(IF(D10="","",D10*E10),"")</f>
        <v/>
      </c>
    </row>
    <row r="11">
      <c r="A11" s="16" t="n"/>
      <c r="B11" s="2" t="n"/>
      <c r="C11" s="2" t="n"/>
      <c r="D11" s="2" t="n"/>
      <c r="E11" s="17" t="n"/>
      <c r="F11" s="17">
        <f>IFERROR(IF(D11="","",D11*E11),"")</f>
        <v/>
      </c>
    </row>
    <row r="12">
      <c r="A12" s="16" t="n"/>
      <c r="B12" s="2" t="n"/>
      <c r="C12" s="2" t="n"/>
      <c r="D12" s="2" t="n"/>
      <c r="E12" s="17" t="n"/>
      <c r="F12" s="17">
        <f>IFERROR(IF(D12="","",D12*E12),"")</f>
        <v/>
      </c>
    </row>
    <row r="13">
      <c r="A13" s="16" t="n"/>
      <c r="B13" s="2" t="n"/>
      <c r="C13" s="2" t="n"/>
      <c r="D13" s="2" t="n"/>
      <c r="E13" s="17" t="n"/>
      <c r="F13" s="17">
        <f>IFERROR(IF(D13="","",D13*E13),"")</f>
        <v/>
      </c>
    </row>
    <row r="14">
      <c r="A14" s="16" t="n"/>
      <c r="B14" s="2" t="n"/>
      <c r="C14" s="2" t="n"/>
      <c r="D14" s="2" t="n"/>
      <c r="E14" s="17" t="n"/>
      <c r="F14" s="17">
        <f>IFERROR(IF(D14="","",D14*E14),"")</f>
        <v/>
      </c>
    </row>
    <row r="15">
      <c r="A15" s="16" t="n"/>
      <c r="B15" s="2" t="n"/>
      <c r="C15" s="2" t="n"/>
      <c r="D15" s="2" t="n"/>
      <c r="E15" s="17" t="n"/>
      <c r="F15" s="17">
        <f>IFERROR(IF(D15="","",D15*E15),"")</f>
        <v/>
      </c>
    </row>
    <row r="16">
      <c r="A16" s="16" t="n"/>
      <c r="B16" s="2" t="n"/>
      <c r="C16" s="2" t="n"/>
      <c r="D16" s="2" t="n"/>
      <c r="E16" s="17" t="n"/>
      <c r="F16" s="17">
        <f>IFERROR(IF(D16="","",D16*E16),"")</f>
        <v/>
      </c>
    </row>
    <row r="17">
      <c r="A17" s="16" t="n"/>
      <c r="B17" s="2" t="n"/>
      <c r="C17" s="2" t="n"/>
      <c r="D17" s="2" t="n"/>
      <c r="E17" s="17" t="n"/>
      <c r="F17" s="17">
        <f>IFERROR(IF(D17="","",D17*E17),"")</f>
        <v/>
      </c>
    </row>
    <row r="18">
      <c r="A18" s="16" t="n"/>
      <c r="B18" s="2" t="n"/>
      <c r="C18" s="2" t="n"/>
      <c r="D18" s="2" t="n"/>
      <c r="E18" s="17" t="n"/>
      <c r="F18" s="17">
        <f>IFERROR(IF(D18="","",D18*E18),"")</f>
        <v/>
      </c>
    </row>
    <row r="19">
      <c r="A19" s="16" t="n"/>
      <c r="B19" s="2" t="n"/>
      <c r="C19" s="2" t="n"/>
      <c r="D19" s="2" t="n"/>
      <c r="E19" s="17" t="n"/>
      <c r="F19" s="17">
        <f>IFERROR(IF(D19="","",D19*E19),"")</f>
        <v/>
      </c>
    </row>
    <row r="20">
      <c r="A20" s="16" t="n"/>
      <c r="B20" s="2" t="n"/>
      <c r="C20" s="2" t="n"/>
      <c r="D20" s="2" t="n"/>
      <c r="E20" s="17" t="n"/>
      <c r="F20" s="17">
        <f>IFERROR(IF(D20="","",D20*E20),"")</f>
        <v/>
      </c>
    </row>
    <row r="21">
      <c r="A21" s="16" t="n"/>
      <c r="B21" s="2" t="n"/>
      <c r="C21" s="2" t="n"/>
      <c r="D21" s="2" t="n"/>
      <c r="E21" s="17" t="n"/>
      <c r="F21" s="17">
        <f>IFERROR(IF(D21="","",D21*E21),"")</f>
        <v/>
      </c>
    </row>
    <row r="22">
      <c r="A22" s="16" t="n"/>
      <c r="B22" s="2" t="n"/>
      <c r="C22" s="2" t="n"/>
      <c r="D22" s="2" t="n"/>
      <c r="E22" s="17" t="n"/>
      <c r="F22" s="17">
        <f>IFERROR(IF(D22="","",D22*E22),"")</f>
        <v/>
      </c>
    </row>
    <row r="23">
      <c r="A23" s="16" t="n"/>
      <c r="B23" s="2" t="n"/>
      <c r="C23" s="2" t="n"/>
      <c r="D23" s="2" t="n"/>
      <c r="E23" s="17" t="n"/>
      <c r="F23" s="17">
        <f>IFERROR(IF(D23="","",D23*E23),"")</f>
        <v/>
      </c>
    </row>
    <row r="24">
      <c r="A24" s="16" t="n"/>
      <c r="B24" s="2" t="n"/>
      <c r="C24" s="2" t="n"/>
      <c r="D24" s="2" t="n"/>
      <c r="E24" s="17" t="n"/>
      <c r="F24" s="17">
        <f>IFERROR(IF(D24="","",D24*E24),"")</f>
        <v/>
      </c>
    </row>
    <row r="25">
      <c r="A25" s="16" t="n"/>
      <c r="B25" s="2" t="n"/>
      <c r="C25" s="2" t="n"/>
      <c r="D25" s="2" t="n"/>
      <c r="E25" s="17" t="n"/>
      <c r="F25" s="17">
        <f>IFERROR(IF(D25="","",D25*E25),"")</f>
        <v/>
      </c>
    </row>
    <row r="26">
      <c r="A26" s="16" t="n"/>
      <c r="B26" s="2" t="n"/>
      <c r="C26" s="2" t="n"/>
      <c r="D26" s="2" t="n"/>
      <c r="E26" s="17" t="n"/>
      <c r="F26" s="17">
        <f>IFERROR(IF(D26="","",D26*E26),"")</f>
        <v/>
      </c>
    </row>
    <row r="27">
      <c r="A27" s="16" t="n"/>
      <c r="B27" s="2" t="n"/>
      <c r="C27" s="2" t="n"/>
      <c r="D27" s="2" t="n"/>
      <c r="E27" s="17" t="n"/>
      <c r="F27" s="17">
        <f>IFERROR(IF(D27="","",D27*E27),"")</f>
        <v/>
      </c>
    </row>
    <row r="28">
      <c r="A28" s="16" t="n"/>
      <c r="B28" s="2" t="n"/>
      <c r="C28" s="2" t="n"/>
      <c r="D28" s="2" t="n"/>
      <c r="E28" s="17" t="n"/>
      <c r="F28" s="17">
        <f>IFERROR(IF(D28="","",D28*E28),"")</f>
        <v/>
      </c>
    </row>
    <row r="29">
      <c r="A29" s="16" t="n"/>
      <c r="B29" s="2" t="n"/>
      <c r="C29" s="2" t="n"/>
      <c r="D29" s="2" t="n"/>
      <c r="E29" s="17" t="n"/>
      <c r="F29" s="17">
        <f>IFERROR(IF(D29="","",D29*E29),"")</f>
        <v/>
      </c>
    </row>
    <row r="30">
      <c r="A30" s="16" t="n"/>
      <c r="B30" s="2" t="n"/>
      <c r="C30" s="2" t="n"/>
      <c r="D30" s="2" t="n"/>
      <c r="E30" s="17" t="n"/>
      <c r="F30" s="17">
        <f>IFERROR(IF(D30="","",D30*E30),"")</f>
        <v/>
      </c>
    </row>
    <row r="31">
      <c r="A31" s="16" t="n"/>
      <c r="B31" s="2" t="n"/>
      <c r="C31" s="2" t="n"/>
      <c r="D31" s="2" t="n"/>
      <c r="E31" s="17" t="n"/>
      <c r="F31" s="17">
        <f>IFERROR(IF(D31="","",D31*E31),"")</f>
        <v/>
      </c>
    </row>
    <row r="32">
      <c r="A32" s="16" t="n"/>
      <c r="B32" s="2" t="n"/>
      <c r="C32" s="2" t="n"/>
      <c r="D32" s="2" t="n"/>
      <c r="E32" s="17" t="n"/>
      <c r="F32" s="17">
        <f>IFERROR(IF(D32="","",D32*E32),"")</f>
        <v/>
      </c>
    </row>
    <row r="33">
      <c r="A33" s="16" t="n"/>
      <c r="B33" s="2" t="n"/>
      <c r="C33" s="2" t="n"/>
      <c r="D33" s="2" t="n"/>
      <c r="E33" s="17" t="n"/>
      <c r="F33" s="17">
        <f>IFERROR(IF(D33="","",D33*E33),"")</f>
        <v/>
      </c>
    </row>
    <row r="34">
      <c r="A34" s="16" t="n"/>
      <c r="B34" s="2" t="n"/>
      <c r="C34" s="2" t="n"/>
      <c r="D34" s="2" t="n"/>
      <c r="E34" s="17" t="n"/>
      <c r="F34" s="17">
        <f>IFERROR(IF(D34="","",D34*E34),"")</f>
        <v/>
      </c>
    </row>
    <row r="35">
      <c r="A35" s="16" t="n"/>
      <c r="B35" s="2" t="n"/>
      <c r="C35" s="2" t="n"/>
      <c r="D35" s="2" t="n"/>
      <c r="E35" s="17" t="n"/>
      <c r="F35" s="17">
        <f>IFERROR(IF(D35="","",D35*E35),"")</f>
        <v/>
      </c>
    </row>
    <row r="36">
      <c r="A36" s="16" t="n"/>
      <c r="B36" s="2" t="n"/>
      <c r="C36" s="2" t="n"/>
      <c r="D36" s="2" t="n"/>
      <c r="E36" s="17" t="n"/>
      <c r="F36" s="17">
        <f>IFERROR(IF(D36="","",D36*E36),"")</f>
        <v/>
      </c>
    </row>
    <row r="37">
      <c r="A37" s="16" t="n"/>
      <c r="B37" s="2" t="n"/>
      <c r="C37" s="2" t="n"/>
      <c r="D37" s="2" t="n"/>
      <c r="E37" s="17" t="n"/>
      <c r="F37" s="17">
        <f>IFERROR(IF(D37="","",D37*E37),"")</f>
        <v/>
      </c>
    </row>
    <row r="38">
      <c r="A38" s="16" t="n"/>
      <c r="B38" s="2" t="n"/>
      <c r="C38" s="2" t="n"/>
      <c r="D38" s="2" t="n"/>
      <c r="E38" s="17" t="n"/>
      <c r="F38" s="17">
        <f>IFERROR(IF(D38="","",D38*E38),"")</f>
        <v/>
      </c>
    </row>
    <row r="39">
      <c r="A39" s="16" t="n"/>
      <c r="B39" s="2" t="n"/>
      <c r="C39" s="2" t="n"/>
      <c r="D39" s="2" t="n"/>
      <c r="E39" s="17" t="n"/>
      <c r="F39" s="17">
        <f>IFERROR(IF(D39="","",D39*E39),"")</f>
        <v/>
      </c>
    </row>
    <row r="40">
      <c r="A40" s="16" t="n"/>
      <c r="B40" s="2" t="n"/>
      <c r="C40" s="2" t="n"/>
      <c r="D40" s="2" t="n"/>
      <c r="E40" s="17" t="n"/>
      <c r="F40" s="17">
        <f>IFERROR(IF(D40="","",D40*E40),"")</f>
        <v/>
      </c>
    </row>
    <row r="41">
      <c r="A41" s="16" t="n"/>
      <c r="B41" s="2" t="n"/>
      <c r="C41" s="2" t="n"/>
      <c r="D41" s="2" t="n"/>
      <c r="E41" s="17" t="n"/>
      <c r="F41" s="17">
        <f>IFERROR(IF(D41="","",D41*E41),"")</f>
        <v/>
      </c>
    </row>
    <row r="42">
      <c r="A42" s="16" t="n"/>
      <c r="B42" s="2" t="n"/>
      <c r="C42" s="2" t="n"/>
      <c r="D42" s="2" t="n"/>
      <c r="E42" s="17" t="n"/>
      <c r="F42" s="17">
        <f>IFERROR(IF(D42="","",D42*E42),"")</f>
        <v/>
      </c>
    </row>
    <row r="43">
      <c r="A43" s="16" t="n"/>
      <c r="B43" s="2" t="n"/>
      <c r="C43" s="2" t="n"/>
      <c r="D43" s="2" t="n"/>
      <c r="E43" s="17" t="n"/>
      <c r="F43" s="17">
        <f>IFERROR(IF(D43="","",D43*E43),"")</f>
        <v/>
      </c>
    </row>
    <row r="44">
      <c r="A44" s="16" t="n"/>
      <c r="B44" s="2" t="n"/>
      <c r="C44" s="2" t="n"/>
      <c r="D44" s="2" t="n"/>
      <c r="E44" s="17" t="n"/>
      <c r="F44" s="17">
        <f>IFERROR(IF(D44="","",D44*E44),"")</f>
        <v/>
      </c>
    </row>
    <row r="45">
      <c r="A45" s="16" t="n"/>
      <c r="B45" s="2" t="n"/>
      <c r="C45" s="2" t="n"/>
      <c r="D45" s="2" t="n"/>
      <c r="E45" s="17" t="n"/>
      <c r="F45" s="17">
        <f>IFERROR(IF(D45="","",D45*E45),"")</f>
        <v/>
      </c>
    </row>
    <row r="46">
      <c r="A46" s="16" t="n"/>
      <c r="B46" s="2" t="n"/>
      <c r="C46" s="2" t="n"/>
      <c r="D46" s="2" t="n"/>
      <c r="E46" s="17" t="n"/>
      <c r="F46" s="17">
        <f>IFERROR(IF(D46="","",D46*E46),"")</f>
        <v/>
      </c>
    </row>
    <row r="47">
      <c r="A47" s="16" t="n"/>
      <c r="B47" s="2" t="n"/>
      <c r="C47" s="2" t="n"/>
      <c r="D47" s="2" t="n"/>
      <c r="E47" s="17" t="n"/>
      <c r="F47" s="17">
        <f>IFERROR(IF(D47="","",D47*E47),"")</f>
        <v/>
      </c>
    </row>
    <row r="48">
      <c r="A48" s="16" t="n"/>
      <c r="B48" s="2" t="n"/>
      <c r="C48" s="2" t="n"/>
      <c r="D48" s="2" t="n"/>
      <c r="E48" s="17" t="n"/>
      <c r="F48" s="17">
        <f>IFERROR(IF(D48="","",D48*E48),"")</f>
        <v/>
      </c>
    </row>
    <row r="49">
      <c r="A49" s="16" t="n"/>
      <c r="B49" s="2" t="n"/>
      <c r="C49" s="2" t="n"/>
      <c r="D49" s="2" t="n"/>
      <c r="E49" s="17" t="n"/>
      <c r="F49" s="17">
        <f>IFERROR(IF(D49="","",D49*E49),"")</f>
        <v/>
      </c>
    </row>
    <row r="50">
      <c r="A50" s="16" t="n"/>
      <c r="B50" s="2" t="n"/>
      <c r="C50" s="2" t="n"/>
      <c r="D50" s="2" t="n"/>
      <c r="E50" s="17" t="n"/>
      <c r="F50" s="17">
        <f>IFERROR(IF(D50="","",D50*E50),"")</f>
        <v/>
      </c>
    </row>
    <row r="51">
      <c r="A51" s="16" t="n"/>
      <c r="B51" s="2" t="n"/>
      <c r="C51" s="2" t="n"/>
      <c r="D51" s="2" t="n"/>
      <c r="E51" s="17" t="n"/>
      <c r="F51" s="17">
        <f>IFERROR(IF(D51="","",D51*E51),"")</f>
        <v/>
      </c>
    </row>
    <row r="52">
      <c r="A52" s="16" t="n"/>
      <c r="B52" s="2" t="n"/>
      <c r="C52" s="2" t="n"/>
      <c r="D52" s="2" t="n"/>
      <c r="E52" s="17" t="n"/>
      <c r="F52" s="17">
        <f>IFERROR(IF(D52="","",D52*E52),"")</f>
        <v/>
      </c>
    </row>
    <row r="53">
      <c r="A53" s="16" t="n"/>
      <c r="B53" s="2" t="n"/>
      <c r="C53" s="2" t="n"/>
      <c r="D53" s="2" t="n"/>
      <c r="E53" s="17" t="n"/>
      <c r="F53" s="17">
        <f>IFERROR(IF(D53="","",D53*E53),"")</f>
        <v/>
      </c>
    </row>
    <row r="54">
      <c r="A54" s="16" t="n"/>
      <c r="B54" s="2" t="n"/>
      <c r="C54" s="2" t="n"/>
      <c r="D54" s="2" t="n"/>
      <c r="E54" s="17" t="n"/>
      <c r="F54" s="17">
        <f>IFERROR(IF(D54="","",D54*E54),"")</f>
        <v/>
      </c>
    </row>
    <row r="55">
      <c r="A55" s="16" t="n"/>
      <c r="B55" s="2" t="n"/>
      <c r="C55" s="2" t="n"/>
      <c r="D55" s="2" t="n"/>
      <c r="E55" s="17" t="n"/>
      <c r="F55" s="17">
        <f>IFERROR(IF(D55="","",D55*E55),"")</f>
        <v/>
      </c>
    </row>
    <row r="56">
      <c r="A56" s="16" t="n"/>
      <c r="B56" s="2" t="n"/>
      <c r="C56" s="2" t="n"/>
      <c r="D56" s="2" t="n"/>
      <c r="E56" s="17" t="n"/>
      <c r="F56" s="17">
        <f>IFERROR(IF(D56="","",D56*E56),"")</f>
        <v/>
      </c>
    </row>
    <row r="57">
      <c r="A57" s="16" t="n"/>
      <c r="B57" s="2" t="n"/>
      <c r="C57" s="2" t="n"/>
      <c r="D57" s="2" t="n"/>
      <c r="E57" s="17" t="n"/>
      <c r="F57" s="17">
        <f>IFERROR(IF(D57="","",D57*E57),"")</f>
        <v/>
      </c>
    </row>
    <row r="58">
      <c r="A58" s="16" t="n"/>
      <c r="B58" s="2" t="n"/>
      <c r="C58" s="2" t="n"/>
      <c r="D58" s="2" t="n"/>
      <c r="E58" s="17" t="n"/>
      <c r="F58" s="17">
        <f>IFERROR(IF(D58="","",D58*E58),"")</f>
        <v/>
      </c>
    </row>
    <row r="59">
      <c r="A59" s="16" t="n"/>
      <c r="B59" s="2" t="n"/>
      <c r="C59" s="2" t="n"/>
      <c r="D59" s="2" t="n"/>
      <c r="E59" s="17" t="n"/>
      <c r="F59" s="17">
        <f>IFERROR(IF(D59="","",D59*E59),"")</f>
        <v/>
      </c>
    </row>
    <row r="60">
      <c r="A60" s="16" t="n"/>
      <c r="B60" s="2" t="n"/>
      <c r="C60" s="2" t="n"/>
      <c r="D60" s="2" t="n"/>
      <c r="E60" s="17" t="n"/>
      <c r="F60" s="17">
        <f>IFERROR(IF(D60="","",D60*E60),"")</f>
        <v/>
      </c>
    </row>
    <row r="61">
      <c r="A61" s="16" t="n"/>
      <c r="B61" s="2" t="n"/>
      <c r="C61" s="2" t="n"/>
      <c r="D61" s="2" t="n"/>
      <c r="E61" s="17" t="n"/>
      <c r="F61" s="17">
        <f>IFERROR(IF(D61="","",D61*E61),"")</f>
        <v/>
      </c>
    </row>
    <row r="62">
      <c r="A62" s="16" t="n"/>
      <c r="B62" s="2" t="n"/>
      <c r="C62" s="2" t="n"/>
      <c r="D62" s="2" t="n"/>
      <c r="E62" s="17" t="n"/>
      <c r="F62" s="17">
        <f>IFERROR(IF(D62="","",D62*E62),"")</f>
        <v/>
      </c>
    </row>
    <row r="63">
      <c r="A63" s="16" t="n"/>
      <c r="B63" s="2" t="n"/>
      <c r="C63" s="2" t="n"/>
      <c r="D63" s="2" t="n"/>
      <c r="E63" s="17" t="n"/>
      <c r="F63" s="17">
        <f>IFERROR(IF(D63="","",D63*E63),"")</f>
        <v/>
      </c>
    </row>
    <row r="64">
      <c r="A64" s="16" t="n"/>
      <c r="B64" s="2" t="n"/>
      <c r="C64" s="2" t="n"/>
      <c r="D64" s="2" t="n"/>
      <c r="E64" s="17" t="n"/>
      <c r="F64" s="17">
        <f>IFERROR(IF(D64="","",D64*E64),"")</f>
        <v/>
      </c>
    </row>
    <row r="65">
      <c r="A65" s="16" t="n"/>
      <c r="B65" s="2" t="n"/>
      <c r="C65" s="2" t="n"/>
      <c r="D65" s="2" t="n"/>
      <c r="E65" s="17" t="n"/>
      <c r="F65" s="17">
        <f>IFERROR(IF(D65="","",D65*E65),"")</f>
        <v/>
      </c>
    </row>
    <row r="66">
      <c r="A66" s="16" t="n"/>
      <c r="B66" s="2" t="n"/>
      <c r="C66" s="2" t="n"/>
      <c r="D66" s="2" t="n"/>
      <c r="E66" s="17" t="n"/>
      <c r="F66" s="17">
        <f>IFERROR(IF(D66="","",D66*E66),"")</f>
        <v/>
      </c>
    </row>
    <row r="67">
      <c r="A67" s="16" t="n"/>
      <c r="B67" s="2" t="n"/>
      <c r="C67" s="2" t="n"/>
      <c r="D67" s="2" t="n"/>
      <c r="E67" s="17" t="n"/>
      <c r="F67" s="17">
        <f>IFERROR(IF(D67="","",D67*E67),"")</f>
        <v/>
      </c>
    </row>
    <row r="68">
      <c r="A68" s="16" t="n"/>
      <c r="B68" s="2" t="n"/>
      <c r="C68" s="2" t="n"/>
      <c r="D68" s="2" t="n"/>
      <c r="E68" s="17" t="n"/>
      <c r="F68" s="17">
        <f>IFERROR(IF(D68="","",D68*E68),"")</f>
        <v/>
      </c>
    </row>
    <row r="69">
      <c r="A69" s="16" t="n"/>
      <c r="B69" s="2" t="n"/>
      <c r="C69" s="2" t="n"/>
      <c r="D69" s="2" t="n"/>
      <c r="E69" s="17" t="n"/>
      <c r="F69" s="17">
        <f>IFERROR(IF(D69="","",D69*E69),"")</f>
        <v/>
      </c>
    </row>
    <row r="70">
      <c r="A70" s="16" t="n"/>
      <c r="B70" s="2" t="n"/>
      <c r="C70" s="2" t="n"/>
      <c r="D70" s="2" t="n"/>
      <c r="E70" s="17" t="n"/>
      <c r="F70" s="17">
        <f>IFERROR(IF(D70="","",D70*E70),"")</f>
        <v/>
      </c>
    </row>
    <row r="71">
      <c r="A71" s="16" t="n"/>
      <c r="B71" s="2" t="n"/>
      <c r="C71" s="2" t="n"/>
      <c r="D71" s="2" t="n"/>
      <c r="E71" s="17" t="n"/>
      <c r="F71" s="17">
        <f>IFERROR(IF(D71="","",D71*E71),"")</f>
        <v/>
      </c>
    </row>
    <row r="72">
      <c r="A72" s="16" t="n"/>
      <c r="B72" s="2" t="n"/>
      <c r="C72" s="2" t="n"/>
      <c r="D72" s="2" t="n"/>
      <c r="E72" s="17" t="n"/>
      <c r="F72" s="17">
        <f>IFERROR(IF(D72="","",D72*E72),"")</f>
        <v/>
      </c>
    </row>
    <row r="73">
      <c r="A73" s="16" t="n"/>
      <c r="B73" s="2" t="n"/>
      <c r="C73" s="2" t="n"/>
      <c r="D73" s="2" t="n"/>
      <c r="E73" s="17" t="n"/>
      <c r="F73" s="17">
        <f>IFERROR(IF(D73="","",D73*E73),"")</f>
        <v/>
      </c>
    </row>
    <row r="74">
      <c r="A74" s="16" t="n"/>
      <c r="B74" s="2" t="n"/>
      <c r="C74" s="2" t="n"/>
      <c r="D74" s="2" t="n"/>
      <c r="E74" s="17" t="n"/>
      <c r="F74" s="17">
        <f>IFERROR(IF(D74="","",D74*E74),"")</f>
        <v/>
      </c>
    </row>
    <row r="75">
      <c r="A75" s="16" t="n"/>
      <c r="B75" s="2" t="n"/>
      <c r="C75" s="2" t="n"/>
      <c r="D75" s="2" t="n"/>
      <c r="E75" s="17" t="n"/>
      <c r="F75" s="17">
        <f>IFERROR(IF(D75="","",D75*E75),"")</f>
        <v/>
      </c>
    </row>
    <row r="76">
      <c r="A76" s="16" t="n"/>
      <c r="B76" s="2" t="n"/>
      <c r="C76" s="2" t="n"/>
      <c r="D76" s="2" t="n"/>
      <c r="E76" s="17" t="n"/>
      <c r="F76" s="17">
        <f>IFERROR(IF(D76="","",D76*E76),"")</f>
        <v/>
      </c>
    </row>
    <row r="77">
      <c r="A77" s="16" t="n"/>
      <c r="B77" s="2" t="n"/>
      <c r="C77" s="2" t="n"/>
      <c r="D77" s="2" t="n"/>
      <c r="E77" s="17" t="n"/>
      <c r="F77" s="17">
        <f>IFERROR(IF(D77="","",D77*E77),"")</f>
        <v/>
      </c>
    </row>
    <row r="78">
      <c r="A78" s="16" t="n"/>
      <c r="B78" s="2" t="n"/>
      <c r="C78" s="2" t="n"/>
      <c r="D78" s="2" t="n"/>
      <c r="E78" s="17" t="n"/>
      <c r="F78" s="17">
        <f>IFERROR(IF(D78="","",D78*E78),"")</f>
        <v/>
      </c>
    </row>
    <row r="79">
      <c r="A79" s="16" t="n"/>
      <c r="B79" s="2" t="n"/>
      <c r="C79" s="2" t="n"/>
      <c r="D79" s="2" t="n"/>
      <c r="E79" s="17" t="n"/>
      <c r="F79" s="17">
        <f>IFERROR(IF(D79="","",D79*E79),"")</f>
        <v/>
      </c>
    </row>
    <row r="80">
      <c r="A80" s="16" t="n"/>
      <c r="B80" s="2" t="n"/>
      <c r="C80" s="2" t="n"/>
      <c r="D80" s="2" t="n"/>
      <c r="E80" s="17" t="n"/>
      <c r="F80" s="17">
        <f>IFERROR(IF(D80="","",D80*E80),"")</f>
        <v/>
      </c>
    </row>
    <row r="81">
      <c r="A81" s="16" t="n"/>
      <c r="B81" s="2" t="n"/>
      <c r="C81" s="2" t="n"/>
      <c r="D81" s="2" t="n"/>
      <c r="E81" s="17" t="n"/>
      <c r="F81" s="17">
        <f>IFERROR(IF(D81="","",D81*E81),"")</f>
        <v/>
      </c>
    </row>
    <row r="82">
      <c r="A82" s="16" t="n"/>
      <c r="B82" s="2" t="n"/>
      <c r="C82" s="2" t="n"/>
      <c r="D82" s="2" t="n"/>
      <c r="E82" s="17" t="n"/>
      <c r="F82" s="17">
        <f>IFERROR(IF(D82="","",D82*E82),"")</f>
        <v/>
      </c>
    </row>
    <row r="83">
      <c r="A83" s="16" t="n"/>
      <c r="B83" s="2" t="n"/>
      <c r="C83" s="2" t="n"/>
      <c r="D83" s="2" t="n"/>
      <c r="E83" s="17" t="n"/>
      <c r="F83" s="17">
        <f>IFERROR(IF(D83="","",D83*E83),"")</f>
        <v/>
      </c>
    </row>
    <row r="84">
      <c r="A84" s="16" t="n"/>
      <c r="B84" s="2" t="n"/>
      <c r="C84" s="2" t="n"/>
      <c r="D84" s="2" t="n"/>
      <c r="E84" s="17" t="n"/>
      <c r="F84" s="17">
        <f>IFERROR(IF(D84="","",D84*E84),"")</f>
        <v/>
      </c>
    </row>
    <row r="85">
      <c r="A85" s="16" t="n"/>
      <c r="B85" s="2" t="n"/>
      <c r="C85" s="2" t="n"/>
      <c r="D85" s="2" t="n"/>
      <c r="E85" s="17" t="n"/>
      <c r="F85" s="17">
        <f>IFERROR(IF(D85="","",D85*E85),"")</f>
        <v/>
      </c>
    </row>
    <row r="86">
      <c r="A86" s="16" t="n"/>
      <c r="B86" s="2" t="n"/>
      <c r="C86" s="2" t="n"/>
      <c r="D86" s="2" t="n"/>
      <c r="E86" s="17" t="n"/>
      <c r="F86" s="17">
        <f>IFERROR(IF(D86="","",D86*E86),"")</f>
        <v/>
      </c>
    </row>
    <row r="87">
      <c r="A87" s="16" t="n"/>
      <c r="B87" s="2" t="n"/>
      <c r="C87" s="2" t="n"/>
      <c r="D87" s="2" t="n"/>
      <c r="E87" s="17" t="n"/>
      <c r="F87" s="17">
        <f>IFERROR(IF(D87="","",D87*E87),"")</f>
        <v/>
      </c>
    </row>
    <row r="88">
      <c r="A88" s="16" t="n"/>
      <c r="B88" s="2" t="n"/>
      <c r="C88" s="2" t="n"/>
      <c r="D88" s="2" t="n"/>
      <c r="E88" s="17" t="n"/>
      <c r="F88" s="17">
        <f>IFERROR(IF(D88="","",D88*E88),"")</f>
        <v/>
      </c>
    </row>
    <row r="89">
      <c r="A89" s="16" t="n"/>
      <c r="B89" s="2" t="n"/>
      <c r="C89" s="2" t="n"/>
      <c r="D89" s="2" t="n"/>
      <c r="E89" s="17" t="n"/>
      <c r="F89" s="17">
        <f>IFERROR(IF(D89="","",D89*E89),"")</f>
        <v/>
      </c>
    </row>
    <row r="90">
      <c r="A90" s="16" t="n"/>
      <c r="B90" s="2" t="n"/>
      <c r="C90" s="2" t="n"/>
      <c r="D90" s="2" t="n"/>
      <c r="E90" s="17" t="n"/>
      <c r="F90" s="17">
        <f>IFERROR(IF(D90="","",D90*E90),"")</f>
        <v/>
      </c>
    </row>
    <row r="91">
      <c r="A91" s="16" t="n"/>
      <c r="B91" s="2" t="n"/>
      <c r="C91" s="2" t="n"/>
      <c r="D91" s="2" t="n"/>
      <c r="E91" s="17" t="n"/>
      <c r="F91" s="17">
        <f>IFERROR(IF(D91="","",D91*E91),"")</f>
        <v/>
      </c>
    </row>
    <row r="92">
      <c r="A92" s="16" t="n"/>
      <c r="B92" s="2" t="n"/>
      <c r="C92" s="2" t="n"/>
      <c r="D92" s="2" t="n"/>
      <c r="E92" s="17" t="n"/>
      <c r="F92" s="17">
        <f>IFERROR(IF(D92="","",D92*E92),"")</f>
        <v/>
      </c>
    </row>
    <row r="93">
      <c r="A93" s="16" t="n"/>
      <c r="B93" s="2" t="n"/>
      <c r="C93" s="2" t="n"/>
      <c r="D93" s="2" t="n"/>
      <c r="E93" s="17" t="n"/>
      <c r="F93" s="17">
        <f>IFERROR(IF(D93="","",D93*E93),"")</f>
        <v/>
      </c>
    </row>
    <row r="94">
      <c r="A94" s="16" t="n"/>
      <c r="B94" s="2" t="n"/>
      <c r="C94" s="2" t="n"/>
      <c r="D94" s="2" t="n"/>
      <c r="E94" s="17" t="n"/>
      <c r="F94" s="17">
        <f>IFERROR(IF(D94="","",D94*E94),"")</f>
        <v/>
      </c>
    </row>
    <row r="95">
      <c r="A95" s="16" t="n"/>
      <c r="B95" s="2" t="n"/>
      <c r="C95" s="2" t="n"/>
      <c r="D95" s="2" t="n"/>
      <c r="E95" s="17" t="n"/>
      <c r="F95" s="17">
        <f>IFERROR(IF(D95="","",D95*E95),"")</f>
        <v/>
      </c>
    </row>
    <row r="96">
      <c r="A96" s="16" t="n"/>
      <c r="B96" s="2" t="n"/>
      <c r="C96" s="2" t="n"/>
      <c r="D96" s="2" t="n"/>
      <c r="E96" s="17" t="n"/>
      <c r="F96" s="17">
        <f>IFERROR(IF(D96="","",D96*E96),"")</f>
        <v/>
      </c>
    </row>
    <row r="97">
      <c r="A97" s="16" t="n"/>
      <c r="B97" s="2" t="n"/>
      <c r="C97" s="2" t="n"/>
      <c r="D97" s="2" t="n"/>
      <c r="E97" s="17" t="n"/>
      <c r="F97" s="17">
        <f>IFERROR(IF(D97="","",D97*E97),"")</f>
        <v/>
      </c>
    </row>
    <row r="98">
      <c r="A98" s="16" t="n"/>
      <c r="B98" s="2" t="n"/>
      <c r="C98" s="2" t="n"/>
      <c r="D98" s="2" t="n"/>
      <c r="E98" s="17" t="n"/>
      <c r="F98" s="17">
        <f>IFERROR(IF(D98="","",D98*E98),"")</f>
        <v/>
      </c>
    </row>
    <row r="99">
      <c r="A99" s="16" t="n"/>
      <c r="B99" s="2" t="n"/>
      <c r="C99" s="2" t="n"/>
      <c r="D99" s="2" t="n"/>
      <c r="E99" s="17" t="n"/>
      <c r="F99" s="17">
        <f>IFERROR(IF(D99="","",D99*E99),"")</f>
        <v/>
      </c>
    </row>
    <row r="100">
      <c r="A100" s="16" t="n"/>
      <c r="B100" s="2" t="n"/>
      <c r="C100" s="2" t="n"/>
      <c r="D100" s="2" t="n"/>
      <c r="E100" s="17" t="n"/>
      <c r="F100" s="17">
        <f>IFERROR(IF(D100="","",D100*E100),"")</f>
        <v/>
      </c>
    </row>
    <row r="101">
      <c r="A101" s="16" t="n"/>
      <c r="B101" s="2" t="n"/>
      <c r="C101" s="2" t="n"/>
      <c r="D101" s="2" t="n"/>
      <c r="E101" s="17" t="n"/>
      <c r="F101" s="17">
        <f>IFERROR(IF(D101="","",D101*E101),"")</f>
        <v/>
      </c>
    </row>
    <row r="102">
      <c r="A102" s="16" t="n"/>
      <c r="B102" s="2" t="n"/>
      <c r="C102" s="2" t="n"/>
      <c r="D102" s="2" t="n"/>
      <c r="E102" s="17" t="n"/>
      <c r="F102" s="17">
        <f>IFERROR(IF(D102="","",D102*E102),"")</f>
        <v/>
      </c>
    </row>
    <row r="103">
      <c r="A103" s="16" t="n"/>
      <c r="B103" s="2" t="n"/>
      <c r="C103" s="2" t="n"/>
      <c r="D103" s="2" t="n"/>
      <c r="E103" s="17" t="n"/>
      <c r="F103" s="17">
        <f>IFERROR(IF(D103="","",D103*E103),"")</f>
        <v/>
      </c>
    </row>
    <row r="104">
      <c r="A104" s="16" t="n"/>
      <c r="B104" s="2" t="n"/>
      <c r="C104" s="2" t="n"/>
      <c r="D104" s="2" t="n"/>
      <c r="E104" s="17" t="n"/>
      <c r="F104" s="17">
        <f>IFERROR(IF(D104="","",D104*E104),"")</f>
        <v/>
      </c>
    </row>
    <row r="105">
      <c r="A105" s="16" t="n"/>
      <c r="B105" s="2" t="n"/>
      <c r="C105" s="2" t="n"/>
      <c r="D105" s="2" t="n"/>
      <c r="E105" s="17" t="n"/>
      <c r="F105" s="17">
        <f>IFERROR(IF(D105="","",D105*E105),"")</f>
        <v/>
      </c>
    </row>
    <row r="106">
      <c r="A106" s="16" t="n"/>
      <c r="B106" s="2" t="n"/>
      <c r="C106" s="2" t="n"/>
      <c r="D106" s="2" t="n"/>
      <c r="E106" s="17" t="n"/>
      <c r="F106" s="17">
        <f>IFERROR(IF(D106="","",D106*E106),"")</f>
        <v/>
      </c>
    </row>
    <row r="107">
      <c r="A107" s="16" t="n"/>
      <c r="B107" s="2" t="n"/>
      <c r="C107" s="2" t="n"/>
      <c r="D107" s="2" t="n"/>
      <c r="E107" s="17" t="n"/>
      <c r="F107" s="17">
        <f>IFERROR(IF(D107="","",D107*E107),"")</f>
        <v/>
      </c>
    </row>
    <row r="108">
      <c r="A108" s="16" t="n"/>
      <c r="B108" s="2" t="n"/>
      <c r="C108" s="2" t="n"/>
      <c r="D108" s="2" t="n"/>
      <c r="E108" s="17" t="n"/>
      <c r="F108" s="17">
        <f>IFERROR(IF(D108="","",D108*E108),"")</f>
        <v/>
      </c>
    </row>
    <row r="109">
      <c r="A109" s="16" t="n"/>
      <c r="B109" s="2" t="n"/>
      <c r="C109" s="2" t="n"/>
      <c r="D109" s="2" t="n"/>
      <c r="E109" s="17" t="n"/>
      <c r="F109" s="17">
        <f>IFERROR(IF(D109="","",D109*E109),"")</f>
        <v/>
      </c>
    </row>
    <row r="110">
      <c r="A110" s="16" t="n"/>
      <c r="B110" s="2" t="n"/>
      <c r="C110" s="2" t="n"/>
      <c r="D110" s="2" t="n"/>
      <c r="E110" s="17" t="n"/>
      <c r="F110" s="17">
        <f>IFERROR(IF(D110="","",D110*E110),"")</f>
        <v/>
      </c>
    </row>
    <row r="111">
      <c r="A111" s="16" t="n"/>
      <c r="B111" s="2" t="n"/>
      <c r="C111" s="2" t="n"/>
      <c r="D111" s="2" t="n"/>
      <c r="E111" s="17" t="n"/>
      <c r="F111" s="17">
        <f>IFERROR(IF(D111="","",D111*E111),"")</f>
        <v/>
      </c>
    </row>
    <row r="112">
      <c r="A112" s="16" t="n"/>
      <c r="B112" s="2" t="n"/>
      <c r="C112" s="2" t="n"/>
      <c r="D112" s="2" t="n"/>
      <c r="E112" s="17" t="n"/>
      <c r="F112" s="17">
        <f>IFERROR(IF(D112="","",D112*E112),"")</f>
        <v/>
      </c>
    </row>
    <row r="113">
      <c r="A113" s="16" t="n"/>
      <c r="B113" s="2" t="n"/>
      <c r="C113" s="2" t="n"/>
      <c r="D113" s="2" t="n"/>
      <c r="E113" s="17" t="n"/>
      <c r="F113" s="17">
        <f>IFERROR(IF(D113="","",D113*E113),"")</f>
        <v/>
      </c>
    </row>
    <row r="114">
      <c r="A114" s="16" t="n"/>
      <c r="B114" s="2" t="n"/>
      <c r="C114" s="2" t="n"/>
      <c r="D114" s="2" t="n"/>
      <c r="E114" s="17" t="n"/>
      <c r="F114" s="17">
        <f>IFERROR(IF(D114="","",D114*E114),"")</f>
        <v/>
      </c>
    </row>
    <row r="115">
      <c r="A115" s="16" t="n"/>
      <c r="B115" s="2" t="n"/>
      <c r="C115" s="2" t="n"/>
      <c r="D115" s="2" t="n"/>
      <c r="E115" s="17" t="n"/>
      <c r="F115" s="17">
        <f>IFERROR(IF(D115="","",D115*E115),"")</f>
        <v/>
      </c>
    </row>
    <row r="116">
      <c r="A116" s="16" t="n"/>
      <c r="B116" s="2" t="n"/>
      <c r="C116" s="2" t="n"/>
      <c r="D116" s="2" t="n"/>
      <c r="E116" s="17" t="n"/>
      <c r="F116" s="17">
        <f>IFERROR(IF(D116="","",D116*E116),"")</f>
        <v/>
      </c>
    </row>
    <row r="117">
      <c r="A117" s="16" t="n"/>
      <c r="B117" s="2" t="n"/>
      <c r="C117" s="2" t="n"/>
      <c r="D117" s="2" t="n"/>
      <c r="E117" s="17" t="n"/>
      <c r="F117" s="17">
        <f>IFERROR(IF(D117="","",D117*E117),"")</f>
        <v/>
      </c>
    </row>
    <row r="118">
      <c r="A118" s="16" t="n"/>
      <c r="B118" s="2" t="n"/>
      <c r="C118" s="2" t="n"/>
      <c r="D118" s="2" t="n"/>
      <c r="E118" s="17" t="n"/>
      <c r="F118" s="17">
        <f>IFERROR(IF(D118="","",D118*E118),"")</f>
        <v/>
      </c>
    </row>
    <row r="119">
      <c r="A119" s="16" t="n"/>
      <c r="B119" s="2" t="n"/>
      <c r="C119" s="2" t="n"/>
      <c r="D119" s="2" t="n"/>
      <c r="E119" s="17" t="n"/>
      <c r="F119" s="17">
        <f>IFERROR(IF(D119="","",D119*E119),"")</f>
        <v/>
      </c>
    </row>
    <row r="120">
      <c r="A120" s="16" t="n"/>
      <c r="B120" s="2" t="n"/>
      <c r="C120" s="2" t="n"/>
      <c r="D120" s="2" t="n"/>
      <c r="E120" s="17" t="n"/>
      <c r="F120" s="17">
        <f>IFERROR(IF(D120="","",D120*E120),"")</f>
        <v/>
      </c>
    </row>
    <row r="121">
      <c r="A121" s="16" t="n"/>
      <c r="B121" s="2" t="n"/>
      <c r="C121" s="2" t="n"/>
      <c r="D121" s="2" t="n"/>
      <c r="E121" s="17" t="n"/>
      <c r="F121" s="17">
        <f>IFERROR(IF(D121="","",D121*E121),"")</f>
        <v/>
      </c>
    </row>
    <row r="122">
      <c r="A122" s="16" t="n"/>
      <c r="B122" s="2" t="n"/>
      <c r="C122" s="2" t="n"/>
      <c r="D122" s="2" t="n"/>
      <c r="E122" s="17" t="n"/>
      <c r="F122" s="17">
        <f>IFERROR(IF(D122="","",D122*E122),"")</f>
        <v/>
      </c>
    </row>
    <row r="123">
      <c r="A123" s="16" t="n"/>
      <c r="B123" s="2" t="n"/>
      <c r="C123" s="2" t="n"/>
      <c r="D123" s="2" t="n"/>
      <c r="E123" s="17" t="n"/>
      <c r="F123" s="17">
        <f>IFERROR(IF(D123="","",D123*E123),"")</f>
        <v/>
      </c>
    </row>
    <row r="124">
      <c r="A124" s="16" t="n"/>
      <c r="B124" s="2" t="n"/>
      <c r="C124" s="2" t="n"/>
      <c r="D124" s="2" t="n"/>
      <c r="E124" s="17" t="n"/>
      <c r="F124" s="17">
        <f>IFERROR(IF(D124="","",D124*E124),"")</f>
        <v/>
      </c>
    </row>
    <row r="125">
      <c r="A125" s="16" t="n"/>
      <c r="B125" s="2" t="n"/>
      <c r="C125" s="2" t="n"/>
      <c r="D125" s="2" t="n"/>
      <c r="E125" s="17" t="n"/>
      <c r="F125" s="17">
        <f>IFERROR(IF(D125="","",D125*E125),"")</f>
        <v/>
      </c>
    </row>
    <row r="126">
      <c r="A126" s="16" t="n"/>
      <c r="B126" s="2" t="n"/>
      <c r="C126" s="2" t="n"/>
      <c r="D126" s="2" t="n"/>
      <c r="E126" s="17" t="n"/>
      <c r="F126" s="17">
        <f>IFERROR(IF(D126="","",D126*E126),"")</f>
        <v/>
      </c>
    </row>
    <row r="127">
      <c r="A127" s="16" t="n"/>
      <c r="B127" s="2" t="n"/>
      <c r="C127" s="2" t="n"/>
      <c r="D127" s="2" t="n"/>
      <c r="E127" s="17" t="n"/>
      <c r="F127" s="17">
        <f>IFERROR(IF(D127="","",D127*E127),"")</f>
        <v/>
      </c>
    </row>
    <row r="128">
      <c r="A128" s="16" t="n"/>
      <c r="B128" s="2" t="n"/>
      <c r="C128" s="2" t="n"/>
      <c r="D128" s="2" t="n"/>
      <c r="E128" s="17" t="n"/>
      <c r="F128" s="17">
        <f>IFERROR(IF(D128="","",D128*E128),"")</f>
        <v/>
      </c>
    </row>
    <row r="129">
      <c r="A129" s="16" t="n"/>
      <c r="B129" s="2" t="n"/>
      <c r="C129" s="2" t="n"/>
      <c r="D129" s="2" t="n"/>
      <c r="E129" s="17" t="n"/>
      <c r="F129" s="17">
        <f>IFERROR(IF(D129="","",D129*E129),"")</f>
        <v/>
      </c>
    </row>
    <row r="130">
      <c r="A130" s="16" t="n"/>
      <c r="B130" s="2" t="n"/>
      <c r="C130" s="2" t="n"/>
      <c r="D130" s="2" t="n"/>
      <c r="E130" s="17" t="n"/>
      <c r="F130" s="17">
        <f>IFERROR(IF(D130="","",D130*E130),"")</f>
        <v/>
      </c>
    </row>
    <row r="131">
      <c r="A131" s="16" t="n"/>
      <c r="B131" s="2" t="n"/>
      <c r="C131" s="2" t="n"/>
      <c r="D131" s="2" t="n"/>
      <c r="E131" s="17" t="n"/>
      <c r="F131" s="17">
        <f>IFERROR(IF(D131="","",D131*E131),"")</f>
        <v/>
      </c>
    </row>
    <row r="132">
      <c r="A132" s="16" t="n"/>
      <c r="B132" s="2" t="n"/>
      <c r="C132" s="2" t="n"/>
      <c r="D132" s="2" t="n"/>
      <c r="E132" s="17" t="n"/>
      <c r="F132" s="17">
        <f>IFERROR(IF(D132="","",D132*E132),"")</f>
        <v/>
      </c>
    </row>
    <row r="133">
      <c r="A133" s="16" t="n"/>
      <c r="B133" s="2" t="n"/>
      <c r="C133" s="2" t="n"/>
      <c r="D133" s="2" t="n"/>
      <c r="E133" s="17" t="n"/>
      <c r="F133" s="17">
        <f>IFERROR(IF(D133="","",D133*E133),"")</f>
        <v/>
      </c>
    </row>
    <row r="134">
      <c r="A134" s="16" t="n"/>
      <c r="B134" s="2" t="n"/>
      <c r="C134" s="2" t="n"/>
      <c r="D134" s="2" t="n"/>
      <c r="E134" s="17" t="n"/>
      <c r="F134" s="17">
        <f>IFERROR(IF(D134="","",D134*E134),"")</f>
        <v/>
      </c>
    </row>
    <row r="135">
      <c r="A135" s="16" t="n"/>
      <c r="B135" s="2" t="n"/>
      <c r="C135" s="2" t="n"/>
      <c r="D135" s="2" t="n"/>
      <c r="E135" s="17" t="n"/>
      <c r="F135" s="17">
        <f>IFERROR(IF(D135="","",D135*E135),"")</f>
        <v/>
      </c>
    </row>
    <row r="136">
      <c r="A136" s="16" t="n"/>
      <c r="B136" s="2" t="n"/>
      <c r="C136" s="2" t="n"/>
      <c r="D136" s="2" t="n"/>
      <c r="E136" s="17" t="n"/>
      <c r="F136" s="17">
        <f>IFERROR(IF(D136="","",D136*E136),"")</f>
        <v/>
      </c>
    </row>
    <row r="137">
      <c r="A137" s="16" t="n"/>
      <c r="B137" s="2" t="n"/>
      <c r="C137" s="2" t="n"/>
      <c r="D137" s="2" t="n"/>
      <c r="E137" s="17" t="n"/>
      <c r="F137" s="17">
        <f>IFERROR(IF(D137="","",D137*E137),"")</f>
        <v/>
      </c>
    </row>
    <row r="138">
      <c r="A138" s="16" t="n"/>
      <c r="B138" s="2" t="n"/>
      <c r="C138" s="2" t="n"/>
      <c r="D138" s="2" t="n"/>
      <c r="E138" s="17" t="n"/>
      <c r="F138" s="17">
        <f>IFERROR(IF(D138="","",D138*E138),"")</f>
        <v/>
      </c>
    </row>
    <row r="139">
      <c r="A139" s="16" t="n"/>
      <c r="B139" s="2" t="n"/>
      <c r="C139" s="2" t="n"/>
      <c r="D139" s="2" t="n"/>
      <c r="E139" s="17" t="n"/>
      <c r="F139" s="17">
        <f>IFERROR(IF(D139="","",D139*E139),"")</f>
        <v/>
      </c>
    </row>
    <row r="140">
      <c r="A140" s="16" t="n"/>
      <c r="B140" s="2" t="n"/>
      <c r="C140" s="2" t="n"/>
      <c r="D140" s="2" t="n"/>
      <c r="E140" s="17" t="n"/>
      <c r="F140" s="17">
        <f>IFERROR(IF(D140="","",D140*E140),"")</f>
        <v/>
      </c>
    </row>
    <row r="141">
      <c r="A141" s="16" t="n"/>
      <c r="B141" s="2" t="n"/>
      <c r="C141" s="2" t="n"/>
      <c r="D141" s="2" t="n"/>
      <c r="E141" s="17" t="n"/>
      <c r="F141" s="17">
        <f>IFERROR(IF(D141="","",D141*E141),"")</f>
        <v/>
      </c>
    </row>
    <row r="142">
      <c r="A142" s="16" t="n"/>
      <c r="B142" s="2" t="n"/>
      <c r="C142" s="2" t="n"/>
      <c r="D142" s="2" t="n"/>
      <c r="E142" s="17" t="n"/>
      <c r="F142" s="17">
        <f>IFERROR(IF(D142="","",D142*E142),"")</f>
        <v/>
      </c>
    </row>
    <row r="143">
      <c r="A143" s="16" t="n"/>
      <c r="B143" s="2" t="n"/>
      <c r="C143" s="2" t="n"/>
      <c r="D143" s="2" t="n"/>
      <c r="E143" s="17" t="n"/>
      <c r="F143" s="17">
        <f>IFERROR(IF(D143="","",D143*E143),"")</f>
        <v/>
      </c>
    </row>
    <row r="144">
      <c r="A144" s="16" t="n"/>
      <c r="B144" s="2" t="n"/>
      <c r="C144" s="2" t="n"/>
      <c r="D144" s="2" t="n"/>
      <c r="E144" s="17" t="n"/>
      <c r="F144" s="17">
        <f>IFERROR(IF(D144="","",D144*E144),"")</f>
        <v/>
      </c>
    </row>
    <row r="145">
      <c r="A145" s="16" t="n"/>
      <c r="B145" s="2" t="n"/>
      <c r="C145" s="2" t="n"/>
      <c r="D145" s="2" t="n"/>
      <c r="E145" s="17" t="n"/>
      <c r="F145" s="17">
        <f>IFERROR(IF(D145="","",D145*E145),"")</f>
        <v/>
      </c>
    </row>
    <row r="146">
      <c r="A146" s="16" t="n"/>
      <c r="B146" s="2" t="n"/>
      <c r="C146" s="2" t="n"/>
      <c r="D146" s="2" t="n"/>
      <c r="E146" s="17" t="n"/>
      <c r="F146" s="17">
        <f>IFERROR(IF(D146="","",D146*E146),"")</f>
        <v/>
      </c>
    </row>
    <row r="147">
      <c r="A147" s="16" t="n"/>
      <c r="B147" s="2" t="n"/>
      <c r="C147" s="2" t="n"/>
      <c r="D147" s="2" t="n"/>
      <c r="E147" s="17" t="n"/>
      <c r="F147" s="17">
        <f>IFERROR(IF(D147="","",D147*E147),"")</f>
        <v/>
      </c>
    </row>
    <row r="148">
      <c r="A148" s="16" t="n"/>
      <c r="B148" s="2" t="n"/>
      <c r="C148" s="2" t="n"/>
      <c r="D148" s="2" t="n"/>
      <c r="E148" s="17" t="n"/>
      <c r="F148" s="17">
        <f>IFERROR(IF(D148="","",D148*E148),"")</f>
        <v/>
      </c>
    </row>
    <row r="149">
      <c r="A149" s="16" t="n"/>
      <c r="B149" s="2" t="n"/>
      <c r="C149" s="2" t="n"/>
      <c r="D149" s="2" t="n"/>
      <c r="E149" s="17" t="n"/>
      <c r="F149" s="17">
        <f>IFERROR(IF(D149="","",D149*E149),"")</f>
        <v/>
      </c>
    </row>
    <row r="150">
      <c r="A150" s="16" t="n"/>
      <c r="B150" s="2" t="n"/>
      <c r="C150" s="2" t="n"/>
      <c r="D150" s="2" t="n"/>
      <c r="E150" s="17" t="n"/>
      <c r="F150" s="17">
        <f>IFERROR(IF(D150="","",D150*E150),"")</f>
        <v/>
      </c>
    </row>
    <row r="151">
      <c r="A151" s="16" t="n"/>
      <c r="B151" s="2" t="n"/>
      <c r="C151" s="2" t="n"/>
      <c r="D151" s="2" t="n"/>
      <c r="E151" s="17" t="n"/>
      <c r="F151" s="17">
        <f>IFERROR(IF(D151="","",D151*E151),"")</f>
        <v/>
      </c>
    </row>
    <row r="152">
      <c r="A152" s="16" t="n"/>
      <c r="B152" s="2" t="n"/>
      <c r="C152" s="2" t="n"/>
      <c r="D152" s="2" t="n"/>
      <c r="E152" s="17" t="n"/>
      <c r="F152" s="17">
        <f>IFERROR(IF(D152="","",D152*E152),"")</f>
        <v/>
      </c>
    </row>
    <row r="153">
      <c r="A153" s="16" t="n"/>
      <c r="B153" s="2" t="n"/>
      <c r="C153" s="2" t="n"/>
      <c r="D153" s="2" t="n"/>
      <c r="E153" s="17" t="n"/>
      <c r="F153" s="17">
        <f>IFERROR(IF(D153="","",D153*E153),"")</f>
        <v/>
      </c>
    </row>
    <row r="154">
      <c r="A154" s="16" t="n"/>
      <c r="B154" s="2" t="n"/>
      <c r="C154" s="2" t="n"/>
      <c r="D154" s="2" t="n"/>
      <c r="E154" s="17" t="n"/>
      <c r="F154" s="17">
        <f>IFERROR(IF(D154="","",D154*E154),"")</f>
        <v/>
      </c>
    </row>
    <row r="155">
      <c r="A155" s="16" t="n"/>
      <c r="B155" s="2" t="n"/>
      <c r="C155" s="2" t="n"/>
      <c r="D155" s="2" t="n"/>
      <c r="E155" s="17" t="n"/>
      <c r="F155" s="17">
        <f>IFERROR(IF(D155="","",D155*E155),"")</f>
        <v/>
      </c>
    </row>
    <row r="156">
      <c r="A156" s="16" t="n"/>
      <c r="B156" s="2" t="n"/>
      <c r="C156" s="2" t="n"/>
      <c r="D156" s="2" t="n"/>
      <c r="E156" s="17" t="n"/>
      <c r="F156" s="17">
        <f>IFERROR(IF(D156="","",D156*E156),"")</f>
        <v/>
      </c>
    </row>
    <row r="157">
      <c r="A157" s="16" t="n"/>
      <c r="B157" s="2" t="n"/>
      <c r="C157" s="2" t="n"/>
      <c r="D157" s="2" t="n"/>
      <c r="E157" s="17" t="n"/>
      <c r="F157" s="17">
        <f>IFERROR(IF(D157="","",D157*E157),"")</f>
        <v/>
      </c>
    </row>
    <row r="158">
      <c r="A158" s="16" t="n"/>
      <c r="B158" s="2" t="n"/>
      <c r="C158" s="2" t="n"/>
      <c r="D158" s="2" t="n"/>
      <c r="E158" s="17" t="n"/>
      <c r="F158" s="17">
        <f>IFERROR(IF(D158="","",D158*E158),"")</f>
        <v/>
      </c>
    </row>
    <row r="159">
      <c r="A159" s="16" t="n"/>
      <c r="B159" s="2" t="n"/>
      <c r="C159" s="2" t="n"/>
      <c r="D159" s="2" t="n"/>
      <c r="E159" s="17" t="n"/>
      <c r="F159" s="17">
        <f>IFERROR(IF(D159="","",D159*E159),"")</f>
        <v/>
      </c>
    </row>
    <row r="160">
      <c r="A160" s="16" t="n"/>
      <c r="B160" s="2" t="n"/>
      <c r="C160" s="2" t="n"/>
      <c r="D160" s="2" t="n"/>
      <c r="E160" s="17" t="n"/>
      <c r="F160" s="17">
        <f>IFERROR(IF(D160="","",D160*E160),"")</f>
        <v/>
      </c>
    </row>
    <row r="161">
      <c r="A161" s="16" t="n"/>
      <c r="B161" s="2" t="n"/>
      <c r="C161" s="2" t="n"/>
      <c r="D161" s="2" t="n"/>
      <c r="E161" s="17" t="n"/>
      <c r="F161" s="17">
        <f>IFERROR(IF(D161="","",D161*E161),"")</f>
        <v/>
      </c>
    </row>
    <row r="162">
      <c r="A162" s="16" t="n"/>
      <c r="B162" s="2" t="n"/>
      <c r="C162" s="2" t="n"/>
      <c r="D162" s="2" t="n"/>
      <c r="E162" s="17" t="n"/>
      <c r="F162" s="17">
        <f>IFERROR(IF(D162="","",D162*E162),"")</f>
        <v/>
      </c>
    </row>
    <row r="163">
      <c r="A163" s="16" t="n"/>
      <c r="B163" s="2" t="n"/>
      <c r="C163" s="2" t="n"/>
      <c r="D163" s="2" t="n"/>
      <c r="E163" s="17" t="n"/>
      <c r="F163" s="17">
        <f>IFERROR(IF(D163="","",D163*E163),"")</f>
        <v/>
      </c>
    </row>
    <row r="164">
      <c r="A164" s="16" t="n"/>
      <c r="B164" s="2" t="n"/>
      <c r="C164" s="2" t="n"/>
      <c r="D164" s="2" t="n"/>
      <c r="E164" s="17" t="n"/>
      <c r="F164" s="17">
        <f>IFERROR(IF(D164="","",D164*E164),"")</f>
        <v/>
      </c>
    </row>
    <row r="165">
      <c r="A165" s="16" t="n"/>
      <c r="B165" s="2" t="n"/>
      <c r="C165" s="2" t="n"/>
      <c r="D165" s="2" t="n"/>
      <c r="E165" s="17" t="n"/>
      <c r="F165" s="17">
        <f>IFERROR(IF(D165="","",D165*E165),"")</f>
        <v/>
      </c>
    </row>
    <row r="166">
      <c r="A166" s="16" t="n"/>
      <c r="B166" s="2" t="n"/>
      <c r="C166" s="2" t="n"/>
      <c r="D166" s="2" t="n"/>
      <c r="E166" s="17" t="n"/>
      <c r="F166" s="17">
        <f>IFERROR(IF(D166="","",D166*E166),"")</f>
        <v/>
      </c>
    </row>
    <row r="167">
      <c r="A167" s="16" t="n"/>
      <c r="B167" s="2" t="n"/>
      <c r="C167" s="2" t="n"/>
      <c r="D167" s="2" t="n"/>
      <c r="E167" s="17" t="n"/>
      <c r="F167" s="17">
        <f>IFERROR(IF(D167="","",D167*E167),"")</f>
        <v/>
      </c>
    </row>
    <row r="168">
      <c r="A168" s="16" t="n"/>
      <c r="B168" s="2" t="n"/>
      <c r="C168" s="2" t="n"/>
      <c r="D168" s="2" t="n"/>
      <c r="E168" s="17" t="n"/>
      <c r="F168" s="17">
        <f>IFERROR(IF(D168="","",D168*E168),"")</f>
        <v/>
      </c>
    </row>
    <row r="169">
      <c r="A169" s="16" t="n"/>
      <c r="B169" s="2" t="n"/>
      <c r="C169" s="2" t="n"/>
      <c r="D169" s="2" t="n"/>
      <c r="E169" s="17" t="n"/>
      <c r="F169" s="17">
        <f>IFERROR(IF(D169="","",D169*E169),"")</f>
        <v/>
      </c>
    </row>
    <row r="170">
      <c r="A170" s="16" t="n"/>
      <c r="B170" s="2" t="n"/>
      <c r="C170" s="2" t="n"/>
      <c r="D170" s="2" t="n"/>
      <c r="E170" s="17" t="n"/>
      <c r="F170" s="17">
        <f>IFERROR(IF(D170="","",D170*E170),"")</f>
        <v/>
      </c>
    </row>
    <row r="171">
      <c r="A171" s="16" t="n"/>
      <c r="B171" s="2" t="n"/>
      <c r="C171" s="2" t="n"/>
      <c r="D171" s="2" t="n"/>
      <c r="E171" s="17" t="n"/>
      <c r="F171" s="17">
        <f>IFERROR(IF(D171="","",D171*E171),"")</f>
        <v/>
      </c>
    </row>
    <row r="172">
      <c r="A172" s="16" t="n"/>
      <c r="B172" s="2" t="n"/>
      <c r="C172" s="2" t="n"/>
      <c r="D172" s="2" t="n"/>
      <c r="E172" s="17" t="n"/>
      <c r="F172" s="17">
        <f>IFERROR(IF(D172="","",D172*E172),"")</f>
        <v/>
      </c>
    </row>
    <row r="173">
      <c r="A173" s="16" t="n"/>
      <c r="B173" s="2" t="n"/>
      <c r="C173" s="2" t="n"/>
      <c r="D173" s="2" t="n"/>
      <c r="E173" s="17" t="n"/>
      <c r="F173" s="17">
        <f>IFERROR(IF(D173="","",D173*E173),"")</f>
        <v/>
      </c>
    </row>
    <row r="174">
      <c r="A174" s="16" t="n"/>
      <c r="B174" s="2" t="n"/>
      <c r="C174" s="2" t="n"/>
      <c r="D174" s="2" t="n"/>
      <c r="E174" s="17" t="n"/>
      <c r="F174" s="17">
        <f>IFERROR(IF(D174="","",D174*E174),"")</f>
        <v/>
      </c>
    </row>
    <row r="175">
      <c r="A175" s="16" t="n"/>
      <c r="B175" s="2" t="n"/>
      <c r="C175" s="2" t="n"/>
      <c r="D175" s="2" t="n"/>
      <c r="E175" s="17" t="n"/>
      <c r="F175" s="17">
        <f>IFERROR(IF(D175="","",D175*E175),"")</f>
        <v/>
      </c>
    </row>
    <row r="176">
      <c r="A176" s="16" t="n"/>
      <c r="B176" s="2" t="n"/>
      <c r="C176" s="2" t="n"/>
      <c r="D176" s="2" t="n"/>
      <c r="E176" s="17" t="n"/>
      <c r="F176" s="17">
        <f>IFERROR(IF(D176="","",D176*E176),"")</f>
        <v/>
      </c>
    </row>
    <row r="177">
      <c r="A177" s="16" t="n"/>
      <c r="B177" s="2" t="n"/>
      <c r="C177" s="2" t="n"/>
      <c r="D177" s="2" t="n"/>
      <c r="E177" s="17" t="n"/>
      <c r="F177" s="17">
        <f>IFERROR(IF(D177="","",D177*E177),"")</f>
        <v/>
      </c>
    </row>
    <row r="178">
      <c r="A178" s="16" t="n"/>
      <c r="B178" s="2" t="n"/>
      <c r="C178" s="2" t="n"/>
      <c r="D178" s="2" t="n"/>
      <c r="E178" s="17" t="n"/>
      <c r="F178" s="17">
        <f>IFERROR(IF(D178="","",D178*E178),"")</f>
        <v/>
      </c>
    </row>
    <row r="179">
      <c r="A179" s="16" t="n"/>
      <c r="B179" s="2" t="n"/>
      <c r="C179" s="2" t="n"/>
      <c r="D179" s="2" t="n"/>
      <c r="E179" s="17" t="n"/>
      <c r="F179" s="17">
        <f>IFERROR(IF(D179="","",D179*E179),"")</f>
        <v/>
      </c>
    </row>
    <row r="180">
      <c r="A180" s="16" t="n"/>
      <c r="B180" s="2" t="n"/>
      <c r="C180" s="2" t="n"/>
      <c r="D180" s="2" t="n"/>
      <c r="E180" s="17" t="n"/>
      <c r="F180" s="17">
        <f>IFERROR(IF(D180="","",D180*E180),"")</f>
        <v/>
      </c>
    </row>
    <row r="181">
      <c r="A181" s="16" t="n"/>
      <c r="B181" s="2" t="n"/>
      <c r="C181" s="2" t="n"/>
      <c r="D181" s="2" t="n"/>
      <c r="E181" s="17" t="n"/>
      <c r="F181" s="17">
        <f>IFERROR(IF(D181="","",D181*E181),"")</f>
        <v/>
      </c>
    </row>
    <row r="182">
      <c r="A182" s="16" t="n"/>
      <c r="B182" s="2" t="n"/>
      <c r="C182" s="2" t="n"/>
      <c r="D182" s="2" t="n"/>
      <c r="E182" s="17" t="n"/>
      <c r="F182" s="17">
        <f>IFERROR(IF(D182="","",D182*E182),"")</f>
        <v/>
      </c>
    </row>
    <row r="183">
      <c r="A183" s="16" t="n"/>
      <c r="B183" s="2" t="n"/>
      <c r="C183" s="2" t="n"/>
      <c r="D183" s="2" t="n"/>
      <c r="E183" s="17" t="n"/>
      <c r="F183" s="17">
        <f>IFERROR(IF(D183="","",D183*E183),"")</f>
        <v/>
      </c>
    </row>
    <row r="184">
      <c r="A184" s="16" t="n"/>
      <c r="B184" s="2" t="n"/>
      <c r="C184" s="2" t="n"/>
      <c r="D184" s="2" t="n"/>
      <c r="E184" s="17" t="n"/>
      <c r="F184" s="17">
        <f>IFERROR(IF(D184="","",D184*E184),"")</f>
        <v/>
      </c>
    </row>
    <row r="185">
      <c r="A185" s="16" t="n"/>
      <c r="B185" s="2" t="n"/>
      <c r="C185" s="2" t="n"/>
      <c r="D185" s="2" t="n"/>
      <c r="E185" s="17" t="n"/>
      <c r="F185" s="17">
        <f>IFERROR(IF(D185="","",D185*E185),"")</f>
        <v/>
      </c>
    </row>
    <row r="186">
      <c r="A186" s="16" t="n"/>
      <c r="B186" s="2" t="n"/>
      <c r="C186" s="2" t="n"/>
      <c r="D186" s="2" t="n"/>
      <c r="E186" s="17" t="n"/>
      <c r="F186" s="17">
        <f>IFERROR(IF(D186="","",D186*E186),"")</f>
        <v/>
      </c>
    </row>
    <row r="187">
      <c r="A187" s="16" t="n"/>
      <c r="B187" s="2" t="n"/>
      <c r="C187" s="2" t="n"/>
      <c r="D187" s="2" t="n"/>
      <c r="E187" s="17" t="n"/>
      <c r="F187" s="17">
        <f>IFERROR(IF(D187="","",D187*E187),"")</f>
        <v/>
      </c>
    </row>
    <row r="188">
      <c r="A188" s="16" t="n"/>
      <c r="B188" s="2" t="n"/>
      <c r="C188" s="2" t="n"/>
      <c r="D188" s="2" t="n"/>
      <c r="E188" s="17" t="n"/>
      <c r="F188" s="17">
        <f>IFERROR(IF(D188="","",D188*E188),"")</f>
        <v/>
      </c>
    </row>
    <row r="189">
      <c r="A189" s="16" t="n"/>
      <c r="B189" s="2" t="n"/>
      <c r="C189" s="2" t="n"/>
      <c r="D189" s="2" t="n"/>
      <c r="E189" s="17" t="n"/>
      <c r="F189" s="17">
        <f>IFERROR(IF(D189="","",D189*E189),"")</f>
        <v/>
      </c>
    </row>
    <row r="190">
      <c r="A190" s="16" t="n"/>
      <c r="B190" s="2" t="n"/>
      <c r="C190" s="2" t="n"/>
      <c r="D190" s="2" t="n"/>
      <c r="E190" s="17" t="n"/>
      <c r="F190" s="17">
        <f>IFERROR(IF(D190="","",D190*E190),"")</f>
        <v/>
      </c>
    </row>
    <row r="191">
      <c r="A191" s="16" t="n"/>
      <c r="B191" s="2" t="n"/>
      <c r="C191" s="2" t="n"/>
      <c r="D191" s="2" t="n"/>
      <c r="E191" s="17" t="n"/>
      <c r="F191" s="17">
        <f>IFERROR(IF(D191="","",D191*E191),"")</f>
        <v/>
      </c>
    </row>
    <row r="192">
      <c r="A192" s="16" t="n"/>
      <c r="B192" s="2" t="n"/>
      <c r="C192" s="2" t="n"/>
      <c r="D192" s="2" t="n"/>
      <c r="E192" s="17" t="n"/>
      <c r="F192" s="17">
        <f>IFERROR(IF(D192="","",D192*E192),"")</f>
        <v/>
      </c>
    </row>
    <row r="193">
      <c r="A193" s="16" t="n"/>
      <c r="B193" s="2" t="n"/>
      <c r="C193" s="2" t="n"/>
      <c r="D193" s="2" t="n"/>
      <c r="E193" s="17" t="n"/>
      <c r="F193" s="17">
        <f>IFERROR(IF(D193="","",D193*E193),"")</f>
        <v/>
      </c>
    </row>
    <row r="194">
      <c r="A194" s="16" t="n"/>
      <c r="B194" s="2" t="n"/>
      <c r="C194" s="2" t="n"/>
      <c r="D194" s="2" t="n"/>
      <c r="E194" s="17" t="n"/>
      <c r="F194" s="17">
        <f>IFERROR(IF(D194="","",D194*E194),"")</f>
        <v/>
      </c>
    </row>
    <row r="195">
      <c r="A195" s="16" t="n"/>
      <c r="B195" s="2" t="n"/>
      <c r="C195" s="2" t="n"/>
      <c r="D195" s="2" t="n"/>
      <c r="E195" s="17" t="n"/>
      <c r="F195" s="17">
        <f>IFERROR(IF(D195="","",D195*E195),"")</f>
        <v/>
      </c>
    </row>
    <row r="196">
      <c r="A196" s="16" t="n"/>
      <c r="B196" s="2" t="n"/>
      <c r="C196" s="2" t="n"/>
      <c r="D196" s="2" t="n"/>
      <c r="E196" s="17" t="n"/>
      <c r="F196" s="17">
        <f>IFERROR(IF(D196="","",D196*E196),"")</f>
        <v/>
      </c>
    </row>
    <row r="197">
      <c r="A197" s="16" t="n"/>
      <c r="B197" s="2" t="n"/>
      <c r="C197" s="2" t="n"/>
      <c r="D197" s="2" t="n"/>
      <c r="E197" s="17" t="n"/>
      <c r="F197" s="17">
        <f>IFERROR(IF(D197="","",D197*E197),"")</f>
        <v/>
      </c>
    </row>
    <row r="198">
      <c r="A198" s="16" t="n"/>
      <c r="B198" s="2" t="n"/>
      <c r="C198" s="2" t="n"/>
      <c r="D198" s="2" t="n"/>
      <c r="E198" s="17" t="n"/>
      <c r="F198" s="17">
        <f>IFERROR(IF(D198="","",D198*E198),"")</f>
        <v/>
      </c>
    </row>
    <row r="199">
      <c r="A199" s="16" t="n"/>
      <c r="B199" s="2" t="n"/>
      <c r="C199" s="2" t="n"/>
      <c r="D199" s="2" t="n"/>
      <c r="E199" s="17" t="n"/>
      <c r="F199" s="17">
        <f>IFERROR(IF(D199="","",D199*E199),"")</f>
        <v/>
      </c>
    </row>
    <row r="200">
      <c r="A200" s="16" t="n"/>
      <c r="B200" s="2" t="n"/>
      <c r="C200" s="2" t="n"/>
      <c r="D200" s="2" t="n"/>
      <c r="E200" s="17" t="n"/>
      <c r="F200" s="17">
        <f>IFERROR(IF(D200="","",D200*E200),"")</f>
        <v/>
      </c>
    </row>
    <row r="201">
      <c r="A201" s="16" t="n"/>
      <c r="B201" s="2" t="n"/>
      <c r="C201" s="2" t="n"/>
      <c r="D201" s="2" t="n"/>
      <c r="E201" s="20" t="inlineStr">
        <is>
          <t>TOTAL</t>
        </is>
      </c>
      <c r="F201" s="20">
        <f>SUM(F5:F200)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30769230769231" customWidth="1" min="1" max="1"/>
    <col width="14.76923076923077" customWidth="1" min="2" max="2"/>
    <col width="12.92307692307692" customWidth="1" min="3" max="3"/>
    <col width="12.92307692307692" customWidth="1" min="4" max="4"/>
    <col width="12.92307692307692" customWidth="1" min="5" max="5"/>
    <col width="12.92307692307692" customWidth="1" min="6" max="6"/>
    <col width="12.92307692307692" customWidth="1" min="7" max="7"/>
  </cols>
  <sheetData>
    <row r="1">
      <c r="A1" s="1" t="inlineStr">
        <is>
          <t>Stock — Le Yellow Jack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Inventaire des articles vendus au bar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1" t="inlineStr">
        <is>
          <t>Article</t>
        </is>
      </c>
      <c r="B4" s="11" t="inlineStr">
        <is>
          <t>Categorie</t>
        </is>
      </c>
      <c r="C4" s="11" t="inlineStr">
        <is>
          <t>Stock actuel</t>
        </is>
      </c>
      <c r="D4" s="11" t="inlineStr">
        <is>
          <t>Seuil alerte</t>
        </is>
      </c>
      <c r="E4" s="11" t="inlineStr">
        <is>
          <t>Prix d'achat</t>
        </is>
      </c>
      <c r="F4" s="11" t="inlineStr">
        <is>
          <t>Prix de vente</t>
        </is>
      </c>
      <c r="G4" s="11" t="inlineStr">
        <is>
          <t>Marge / unite</t>
        </is>
      </c>
    </row>
    <row r="5">
      <c r="A5" s="13" t="inlineStr">
        <is>
          <t>Orange</t>
        </is>
      </c>
      <c r="B5" s="13" t="inlineStr">
        <is>
          <t>Boisson</t>
        </is>
      </c>
      <c r="C5" s="13" t="inlineStr">
        <is>
          <t>X</t>
        </is>
      </c>
      <c r="D5" s="13" t="inlineStr">
        <is>
          <t>X</t>
        </is>
      </c>
      <c r="E5" s="14" t="n">
        <v>10</v>
      </c>
      <c r="F5" s="14" t="inlineStr">
        <is>
          <t>X</t>
        </is>
      </c>
      <c r="G5" s="15">
        <f>IFERROR(IF(A5="","",F5-E5),"")</f>
        <v/>
      </c>
    </row>
    <row r="6">
      <c r="A6" s="13" t="inlineStr">
        <is>
          <t>Whisky</t>
        </is>
      </c>
      <c r="B6" s="13" t="inlineStr">
        <is>
          <t>Boisson</t>
        </is>
      </c>
      <c r="C6" s="13" t="inlineStr">
        <is>
          <t>X</t>
        </is>
      </c>
      <c r="D6" s="13" t="inlineStr">
        <is>
          <t>X</t>
        </is>
      </c>
      <c r="E6" s="14" t="inlineStr">
        <is>
          <t>X</t>
        </is>
      </c>
      <c r="F6" s="14" t="inlineStr">
        <is>
          <t>X</t>
        </is>
      </c>
      <c r="G6" s="15">
        <f>IFERROR(IF(A6="","",F6-E6),"")</f>
        <v/>
      </c>
    </row>
    <row r="7">
      <c r="A7" s="2" t="n"/>
      <c r="B7" s="2" t="n"/>
      <c r="C7" s="2" t="n"/>
      <c r="D7" s="2" t="n"/>
      <c r="E7" s="17" t="n"/>
      <c r="F7" s="17" t="n"/>
      <c r="G7" s="17">
        <f>IFERROR(IF(A7="","",F7-E7),"")</f>
        <v/>
      </c>
    </row>
    <row r="8">
      <c r="A8" s="2" t="n"/>
      <c r="B8" s="2" t="n"/>
      <c r="C8" s="2" t="n"/>
      <c r="D8" s="2" t="n"/>
      <c r="E8" s="17" t="n"/>
      <c r="F8" s="17" t="n"/>
      <c r="G8" s="17">
        <f>IFERROR(IF(A8="","",F8-E8),"")</f>
        <v/>
      </c>
    </row>
    <row r="9">
      <c r="A9" s="2" t="n"/>
      <c r="B9" s="2" t="n"/>
      <c r="C9" s="2" t="n"/>
      <c r="D9" s="2" t="n"/>
      <c r="E9" s="17" t="n"/>
      <c r="F9" s="17" t="n"/>
      <c r="G9" s="17">
        <f>IFERROR(IF(A9="","",F9-E9),"")</f>
        <v/>
      </c>
    </row>
    <row r="10">
      <c r="A10" s="2" t="n"/>
      <c r="B10" s="2" t="n"/>
      <c r="C10" s="2" t="n"/>
      <c r="D10" s="2" t="n"/>
      <c r="E10" s="17" t="n"/>
      <c r="F10" s="17" t="n"/>
      <c r="G10" s="17">
        <f>IFERROR(IF(A10="","",F10-E10),"")</f>
        <v/>
      </c>
    </row>
    <row r="11">
      <c r="A11" s="2" t="n"/>
      <c r="B11" s="2" t="n"/>
      <c r="C11" s="2" t="n"/>
      <c r="D11" s="2" t="n"/>
      <c r="E11" s="17" t="n"/>
      <c r="F11" s="17" t="n"/>
      <c r="G11" s="17">
        <f>IFERROR(IF(A11="","",F11-E11),"")</f>
        <v/>
      </c>
    </row>
    <row r="12">
      <c r="A12" s="2" t="n"/>
      <c r="B12" s="2" t="n"/>
      <c r="C12" s="2" t="n"/>
      <c r="D12" s="2" t="n"/>
      <c r="E12" s="17" t="n"/>
      <c r="F12" s="17" t="n"/>
      <c r="G12" s="17">
        <f>IFERROR(IF(A12="","",F12-E12),"")</f>
        <v/>
      </c>
    </row>
    <row r="13">
      <c r="A13" s="2" t="n"/>
      <c r="B13" s="2" t="n"/>
      <c r="C13" s="2" t="n"/>
      <c r="D13" s="2" t="n"/>
      <c r="E13" s="17" t="n"/>
      <c r="F13" s="17" t="n"/>
      <c r="G13" s="17">
        <f>IFERROR(IF(A13="","",F13-E13),"")</f>
        <v/>
      </c>
    </row>
    <row r="14">
      <c r="A14" s="2" t="n"/>
      <c r="B14" s="2" t="n"/>
      <c r="C14" s="2" t="n"/>
      <c r="D14" s="2" t="n"/>
      <c r="E14" s="17" t="n"/>
      <c r="F14" s="17" t="n"/>
      <c r="G14" s="17">
        <f>IFERROR(IF(A14="","",F14-E14),"")</f>
        <v/>
      </c>
    </row>
    <row r="15">
      <c r="A15" s="2" t="n"/>
      <c r="B15" s="2" t="n"/>
      <c r="C15" s="2" t="n"/>
      <c r="D15" s="2" t="n"/>
      <c r="E15" s="17" t="n"/>
      <c r="F15" s="17" t="n"/>
      <c r="G15" s="17">
        <f>IFERROR(IF(A15="","",F15-E15),"")</f>
        <v/>
      </c>
    </row>
    <row r="16">
      <c r="A16" s="2" t="n"/>
      <c r="B16" s="2" t="n"/>
      <c r="C16" s="2" t="n"/>
      <c r="D16" s="2" t="n"/>
      <c r="E16" s="17" t="n"/>
      <c r="F16" s="17" t="n"/>
      <c r="G16" s="17">
        <f>IFERROR(IF(A16="","",F16-E16),"")</f>
        <v/>
      </c>
    </row>
    <row r="17">
      <c r="A17" s="2" t="n"/>
      <c r="B17" s="2" t="n"/>
      <c r="C17" s="2" t="n"/>
      <c r="D17" s="2" t="n"/>
      <c r="E17" s="17" t="n"/>
      <c r="F17" s="17" t="n"/>
      <c r="G17" s="17">
        <f>IFERROR(IF(A17="","",F17-E17),"")</f>
        <v/>
      </c>
    </row>
    <row r="18">
      <c r="A18" s="2" t="n"/>
      <c r="B18" s="2" t="n"/>
      <c r="C18" s="2" t="n"/>
      <c r="D18" s="2" t="n"/>
      <c r="E18" s="17" t="n"/>
      <c r="F18" s="17" t="n"/>
      <c r="G18" s="17">
        <f>IFERROR(IF(A18="","",F18-E18),"")</f>
        <v/>
      </c>
    </row>
    <row r="19">
      <c r="A19" s="2" t="n"/>
      <c r="B19" s="2" t="n"/>
      <c r="C19" s="2" t="n"/>
      <c r="D19" s="2" t="n"/>
      <c r="E19" s="17" t="n"/>
      <c r="F19" s="17" t="n"/>
      <c r="G19" s="17">
        <f>IFERROR(IF(A19="","",F19-E19),"")</f>
        <v/>
      </c>
    </row>
    <row r="20">
      <c r="A20" s="2" t="n"/>
      <c r="B20" s="2" t="n"/>
      <c r="C20" s="2" t="n"/>
      <c r="D20" s="2" t="n"/>
      <c r="E20" s="17" t="n"/>
      <c r="F20" s="17" t="n"/>
      <c r="G20" s="17">
        <f>IFERROR(IF(A20="","",F20-E20),"")</f>
        <v/>
      </c>
    </row>
    <row r="21">
      <c r="A21" s="2" t="n"/>
      <c r="B21" s="2" t="n"/>
      <c r="C21" s="2" t="n"/>
      <c r="D21" s="2" t="n"/>
      <c r="E21" s="17" t="n"/>
      <c r="F21" s="17" t="n"/>
      <c r="G21" s="17">
        <f>IFERROR(IF(A21="","",F21-E21),"")</f>
        <v/>
      </c>
    </row>
    <row r="22">
      <c r="A22" s="2" t="n"/>
      <c r="B22" s="2" t="n"/>
      <c r="C22" s="2" t="n"/>
      <c r="D22" s="2" t="n"/>
      <c r="E22" s="17" t="n"/>
      <c r="F22" s="17" t="n"/>
      <c r="G22" s="17">
        <f>IFERROR(IF(A22="","",F22-E22),"")</f>
        <v/>
      </c>
    </row>
    <row r="23">
      <c r="A23" s="2" t="n"/>
      <c r="B23" s="2" t="n"/>
      <c r="C23" s="2" t="n"/>
      <c r="D23" s="2" t="n"/>
      <c r="E23" s="17" t="n"/>
      <c r="F23" s="17" t="n"/>
      <c r="G23" s="17">
        <f>IFERROR(IF(A23="","",F23-E23),"")</f>
        <v/>
      </c>
    </row>
    <row r="24">
      <c r="A24" s="2" t="n"/>
      <c r="B24" s="2" t="n"/>
      <c r="C24" s="2" t="n"/>
      <c r="D24" s="2" t="n"/>
      <c r="E24" s="17" t="n"/>
      <c r="F24" s="17" t="n"/>
      <c r="G24" s="17">
        <f>IFERROR(IF(A24="","",F24-E24),"")</f>
        <v/>
      </c>
    </row>
    <row r="25">
      <c r="A25" s="2" t="n"/>
      <c r="B25" s="2" t="n"/>
      <c r="C25" s="2" t="n"/>
      <c r="D25" s="2" t="n"/>
      <c r="E25" s="17" t="n"/>
      <c r="F25" s="17" t="n"/>
      <c r="G25" s="17">
        <f>IFERROR(IF(A25="","",F25-E25),"")</f>
        <v/>
      </c>
    </row>
    <row r="26">
      <c r="A26" s="2" t="n"/>
      <c r="B26" s="2" t="n"/>
      <c r="C26" s="2" t="n"/>
      <c r="D26" s="2" t="n"/>
      <c r="E26" s="17" t="n"/>
      <c r="F26" s="17" t="n"/>
      <c r="G26" s="17">
        <f>IFERROR(IF(A26="","",F26-E26),"")</f>
        <v/>
      </c>
    </row>
    <row r="27">
      <c r="A27" s="2" t="n"/>
      <c r="B27" s="2" t="n"/>
      <c r="C27" s="2" t="n"/>
      <c r="D27" s="2" t="n"/>
      <c r="E27" s="17" t="n"/>
      <c r="F27" s="17" t="n"/>
      <c r="G27" s="17">
        <f>IFERROR(IF(A27="","",F27-E27),"")</f>
        <v/>
      </c>
    </row>
    <row r="28">
      <c r="A28" s="2" t="n"/>
      <c r="B28" s="2" t="n"/>
      <c r="C28" s="2" t="n"/>
      <c r="D28" s="2" t="n"/>
      <c r="E28" s="17" t="n"/>
      <c r="F28" s="17" t="n"/>
      <c r="G28" s="17">
        <f>IFERROR(IF(A28="","",F28-E28),"")</f>
        <v/>
      </c>
    </row>
    <row r="29">
      <c r="A29" s="2" t="n"/>
      <c r="B29" s="2" t="n"/>
      <c r="C29" s="2" t="n"/>
      <c r="D29" s="2" t="n"/>
      <c r="E29" s="17" t="n"/>
      <c r="F29" s="17" t="n"/>
      <c r="G29" s="17">
        <f>IFERROR(IF(A29="","",F29-E29),"")</f>
        <v/>
      </c>
    </row>
    <row r="30">
      <c r="A30" s="2" t="n"/>
      <c r="B30" s="2" t="n"/>
      <c r="C30" s="2" t="n"/>
      <c r="D30" s="2" t="n"/>
      <c r="E30" s="17" t="n"/>
      <c r="F30" s="17" t="n"/>
      <c r="G30" s="17">
        <f>IFERROR(IF(A30="","",F30-E30),"")</f>
        <v/>
      </c>
    </row>
    <row r="31">
      <c r="A31" s="2" t="n"/>
      <c r="B31" s="2" t="n"/>
      <c r="C31" s="2" t="n"/>
      <c r="D31" s="2" t="n"/>
      <c r="E31" s="17" t="n"/>
      <c r="F31" s="17" t="n"/>
      <c r="G31" s="17">
        <f>IFERROR(IF(A31="","",F31-E31),"")</f>
        <v/>
      </c>
    </row>
    <row r="32">
      <c r="A32" s="2" t="n"/>
      <c r="B32" s="2" t="n"/>
      <c r="C32" s="2" t="n"/>
      <c r="D32" s="2" t="n"/>
      <c r="E32" s="17" t="n"/>
      <c r="F32" s="17" t="n"/>
      <c r="G32" s="17">
        <f>IFERROR(IF(A32="","",F32-E32),"")</f>
        <v/>
      </c>
    </row>
    <row r="33">
      <c r="A33" s="2" t="n"/>
      <c r="B33" s="2" t="n"/>
      <c r="C33" s="2" t="n"/>
      <c r="D33" s="2" t="n"/>
      <c r="E33" s="17" t="n"/>
      <c r="F33" s="17" t="n"/>
      <c r="G33" s="17">
        <f>IFERROR(IF(A33="","",F33-E33),"")</f>
        <v/>
      </c>
    </row>
    <row r="34">
      <c r="A34" s="2" t="n"/>
      <c r="B34" s="2" t="n"/>
      <c r="C34" s="2" t="n"/>
      <c r="D34" s="2" t="n"/>
      <c r="E34" s="17" t="n"/>
      <c r="F34" s="17" t="n"/>
      <c r="G34" s="17">
        <f>IFERROR(IF(A34="","",F34-E34),"")</f>
        <v/>
      </c>
    </row>
    <row r="35">
      <c r="A35" s="2" t="n"/>
      <c r="B35" s="2" t="n"/>
      <c r="C35" s="2" t="n"/>
      <c r="D35" s="2" t="n"/>
      <c r="E35" s="17" t="n"/>
      <c r="F35" s="17" t="n"/>
      <c r="G35" s="17">
        <f>IFERROR(IF(A35="","",F35-E35),"")</f>
        <v/>
      </c>
    </row>
    <row r="36">
      <c r="A36" s="2" t="n"/>
      <c r="B36" s="2" t="n"/>
      <c r="C36" s="2" t="n"/>
      <c r="D36" s="2" t="n"/>
      <c r="E36" s="17" t="n"/>
      <c r="F36" s="17" t="n"/>
      <c r="G36" s="17">
        <f>IFERROR(IF(A36="","",F36-E36),"")</f>
        <v/>
      </c>
    </row>
    <row r="37">
      <c r="A37" s="2" t="n"/>
      <c r="B37" s="2" t="n"/>
      <c r="C37" s="2" t="n"/>
      <c r="D37" s="2" t="n"/>
      <c r="E37" s="17" t="n"/>
      <c r="F37" s="17" t="n"/>
      <c r="G37" s="17">
        <f>IFERROR(IF(A37="","",F37-E37),"")</f>
        <v/>
      </c>
    </row>
    <row r="38">
      <c r="A38" s="2" t="n"/>
      <c r="B38" s="2" t="n"/>
      <c r="C38" s="2" t="n"/>
      <c r="D38" s="2" t="n"/>
      <c r="E38" s="17" t="n"/>
      <c r="F38" s="17" t="n"/>
      <c r="G38" s="17">
        <f>IFERROR(IF(A38="","",F38-E38),"")</f>
        <v/>
      </c>
    </row>
    <row r="39">
      <c r="A39" s="2" t="n"/>
      <c r="B39" s="2" t="n"/>
      <c r="C39" s="2" t="n"/>
      <c r="D39" s="2" t="n"/>
      <c r="E39" s="17" t="n"/>
      <c r="F39" s="17" t="n"/>
      <c r="G39" s="17">
        <f>IFERROR(IF(A39="","",F39-E39),"")</f>
        <v/>
      </c>
    </row>
    <row r="40">
      <c r="A40" s="2" t="n"/>
      <c r="B40" s="2" t="n"/>
      <c r="C40" s="2" t="n"/>
      <c r="D40" s="2" t="n"/>
      <c r="E40" s="17" t="n"/>
      <c r="F40" s="17" t="n"/>
      <c r="G40" s="17">
        <f>IFERROR(IF(A40="","",F40-E40),"")</f>
        <v/>
      </c>
    </row>
    <row r="41">
      <c r="A41" s="2" t="n"/>
      <c r="B41" s="2" t="n"/>
      <c r="C41" s="2" t="n"/>
      <c r="D41" s="2" t="n"/>
      <c r="E41" s="17" t="n"/>
      <c r="F41" s="17" t="n"/>
      <c r="G41" s="17">
        <f>IFERROR(IF(A41="","",F41-E41),"")</f>
        <v/>
      </c>
    </row>
    <row r="42">
      <c r="A42" s="2" t="n"/>
      <c r="B42" s="2" t="n"/>
      <c r="C42" s="2" t="n"/>
      <c r="D42" s="2" t="n"/>
      <c r="E42" s="17" t="n"/>
      <c r="F42" s="17" t="n"/>
      <c r="G42" s="17">
        <f>IFERROR(IF(A42="","",F42-E42),"")</f>
        <v/>
      </c>
    </row>
    <row r="43">
      <c r="A43" s="2" t="n"/>
      <c r="B43" s="2" t="n"/>
      <c r="C43" s="2" t="n"/>
      <c r="D43" s="2" t="n"/>
      <c r="E43" s="17" t="n"/>
      <c r="F43" s="17" t="n"/>
      <c r="G43" s="17">
        <f>IFERROR(IF(A43="","",F43-E43),"")</f>
        <v/>
      </c>
    </row>
    <row r="44">
      <c r="A44" s="2" t="n"/>
      <c r="B44" s="2" t="n"/>
      <c r="C44" s="2" t="n"/>
      <c r="D44" s="2" t="n"/>
      <c r="E44" s="17" t="n"/>
      <c r="F44" s="17" t="n"/>
      <c r="G44" s="17">
        <f>IFERROR(IF(A44="","",F44-E44),"")</f>
        <v/>
      </c>
    </row>
    <row r="45">
      <c r="A45" s="2" t="n"/>
      <c r="B45" s="2" t="n"/>
      <c r="C45" s="2" t="n"/>
      <c r="D45" s="2" t="n"/>
      <c r="E45" s="17" t="n"/>
      <c r="F45" s="17" t="n"/>
      <c r="G45" s="17">
        <f>IFERROR(IF(A45="","",F45-E45),"")</f>
        <v/>
      </c>
    </row>
    <row r="46">
      <c r="A46" s="2" t="n"/>
      <c r="B46" s="2" t="n"/>
      <c r="C46" s="2" t="n"/>
      <c r="D46" s="2" t="n"/>
      <c r="E46" s="17" t="n"/>
      <c r="F46" s="17" t="n"/>
      <c r="G46" s="17">
        <f>IFERROR(IF(A46="","",F46-E46),"")</f>
        <v/>
      </c>
    </row>
    <row r="47">
      <c r="A47" s="2" t="n"/>
      <c r="B47" s="2" t="n"/>
      <c r="C47" s="2" t="n"/>
      <c r="D47" s="2" t="n"/>
      <c r="E47" s="17" t="n"/>
      <c r="F47" s="17" t="n"/>
      <c r="G47" s="17">
        <f>IFERROR(IF(A47="","",F47-E47),"")</f>
        <v/>
      </c>
    </row>
    <row r="48">
      <c r="A48" s="2" t="n"/>
      <c r="B48" s="2" t="n"/>
      <c r="C48" s="2" t="n"/>
      <c r="D48" s="2" t="n"/>
      <c r="E48" s="17" t="n"/>
      <c r="F48" s="17" t="n"/>
      <c r="G48" s="17">
        <f>IFERROR(IF(A48="","",F48-E48),"")</f>
        <v/>
      </c>
    </row>
    <row r="49">
      <c r="A49" s="2" t="n"/>
      <c r="B49" s="2" t="n"/>
      <c r="C49" s="2" t="n"/>
      <c r="D49" s="2" t="n"/>
      <c r="E49" s="17" t="n"/>
      <c r="F49" s="17" t="n"/>
      <c r="G49" s="17">
        <f>IFERROR(IF(A49="","",F49-E49),"")</f>
        <v/>
      </c>
    </row>
    <row r="50">
      <c r="A50" s="2" t="n"/>
      <c r="B50" s="2" t="n"/>
      <c r="C50" s="2" t="n"/>
      <c r="D50" s="2" t="n"/>
      <c r="E50" s="17" t="n"/>
      <c r="F50" s="17" t="n"/>
      <c r="G50" s="17">
        <f>IFERROR(IF(A50="","",F50-E50),"")</f>
        <v/>
      </c>
    </row>
    <row r="51">
      <c r="A51" s="2" t="n"/>
      <c r="B51" s="2" t="n"/>
      <c r="C51" s="2" t="n"/>
      <c r="D51" s="2" t="n"/>
      <c r="E51" s="17" t="n"/>
      <c r="F51" s="17" t="n"/>
      <c r="G51" s="17">
        <f>IFERROR(IF(A51="","",F51-E51),"")</f>
        <v/>
      </c>
    </row>
    <row r="52">
      <c r="A52" s="2" t="n"/>
      <c r="B52" s="2" t="n"/>
      <c r="C52" s="2" t="n"/>
      <c r="D52" s="2" t="n"/>
      <c r="E52" s="17" t="n"/>
      <c r="F52" s="17" t="n"/>
      <c r="G52" s="17">
        <f>IFERROR(IF(A52="","",F52-E52),"")</f>
        <v/>
      </c>
    </row>
    <row r="53">
      <c r="A53" s="2" t="n"/>
      <c r="B53" s="2" t="n"/>
      <c r="C53" s="2" t="n"/>
      <c r="D53" s="2" t="n"/>
      <c r="E53" s="17" t="n"/>
      <c r="F53" s="17" t="n"/>
      <c r="G53" s="17">
        <f>IFERROR(IF(A53="","",F53-E53),"")</f>
        <v/>
      </c>
    </row>
    <row r="54">
      <c r="A54" s="2" t="n"/>
      <c r="B54" s="2" t="n"/>
      <c r="C54" s="2" t="n"/>
      <c r="D54" s="2" t="n"/>
      <c r="E54" s="17" t="n"/>
      <c r="F54" s="17" t="n"/>
      <c r="G54" s="17">
        <f>IFERROR(IF(A54="","",F54-E54),"")</f>
        <v/>
      </c>
    </row>
    <row r="55">
      <c r="A55" s="2" t="n"/>
      <c r="B55" s="2" t="n"/>
      <c r="C55" s="2" t="n"/>
      <c r="D55" s="2" t="n"/>
      <c r="E55" s="17" t="n"/>
      <c r="F55" s="17" t="n"/>
      <c r="G55" s="17">
        <f>IFERROR(IF(A55="","",F55-E55),"")</f>
        <v/>
      </c>
    </row>
    <row r="56">
      <c r="A56" s="2" t="n"/>
      <c r="B56" s="2" t="n"/>
      <c r="C56" s="2" t="n"/>
      <c r="D56" s="2" t="n"/>
      <c r="E56" s="17" t="n"/>
      <c r="F56" s="17" t="n"/>
      <c r="G56" s="17">
        <f>IFERROR(IF(A56="","",F56-E56),"")</f>
        <v/>
      </c>
    </row>
    <row r="57">
      <c r="A57" s="2" t="n"/>
      <c r="B57" s="2" t="n"/>
      <c r="C57" s="2" t="n"/>
      <c r="D57" s="2" t="n"/>
      <c r="E57" s="17" t="n"/>
      <c r="F57" s="17" t="n"/>
      <c r="G57" s="17">
        <f>IFERROR(IF(A57="","",F57-E57),"")</f>
        <v/>
      </c>
    </row>
    <row r="58">
      <c r="A58" s="2" t="n"/>
      <c r="B58" s="2" t="n"/>
      <c r="C58" s="2" t="n"/>
      <c r="D58" s="2" t="n"/>
      <c r="E58" s="17" t="n"/>
      <c r="F58" s="17" t="n"/>
      <c r="G58" s="17">
        <f>IFERROR(IF(A58="","",F58-E58),"")</f>
        <v/>
      </c>
    </row>
    <row r="59">
      <c r="A59" s="2" t="n"/>
      <c r="B59" s="2" t="n"/>
      <c r="C59" s="2" t="n"/>
      <c r="D59" s="2" t="n"/>
      <c r="E59" s="17" t="n"/>
      <c r="F59" s="17" t="n"/>
      <c r="G59" s="17">
        <f>IFERROR(IF(A59="","",F59-E59),"")</f>
        <v/>
      </c>
    </row>
    <row r="60">
      <c r="A60" s="2" t="n"/>
      <c r="B60" s="2" t="n"/>
      <c r="C60" s="2" t="n"/>
      <c r="D60" s="2" t="n"/>
      <c r="E60" s="17" t="n"/>
      <c r="F60" s="17" t="n"/>
      <c r="G60" s="17">
        <f>IFERROR(IF(A60="","",F60-E60),"")</f>
        <v/>
      </c>
    </row>
    <row r="61">
      <c r="A61" s="2" t="n"/>
      <c r="B61" s="2" t="n"/>
      <c r="C61" s="2" t="n"/>
      <c r="D61" s="2" t="n"/>
      <c r="E61" s="17" t="n"/>
      <c r="F61" s="17" t="n"/>
      <c r="G61" s="17">
        <f>IFERROR(IF(A61="","",F61-E61),"")</f>
        <v/>
      </c>
    </row>
    <row r="62">
      <c r="A62" s="2" t="n"/>
      <c r="B62" s="2" t="n"/>
      <c r="C62" s="2" t="n"/>
      <c r="D62" s="2" t="n"/>
      <c r="E62" s="17" t="n"/>
      <c r="F62" s="17" t="n"/>
      <c r="G62" s="17">
        <f>IFERROR(IF(A62="","",F62-E62),"")</f>
        <v/>
      </c>
    </row>
    <row r="63">
      <c r="A63" s="2" t="n"/>
      <c r="B63" s="2" t="n"/>
      <c r="C63" s="2" t="n"/>
      <c r="D63" s="2" t="n"/>
      <c r="E63" s="17" t="n"/>
      <c r="F63" s="17" t="n"/>
      <c r="G63" s="17">
        <f>IFERROR(IF(A63="","",F63-E63),"")</f>
        <v/>
      </c>
    </row>
    <row r="64">
      <c r="A64" s="2" t="n"/>
      <c r="B64" s="2" t="n"/>
      <c r="C64" s="2" t="n"/>
      <c r="D64" s="2" t="n"/>
      <c r="E64" s="17" t="n"/>
      <c r="F64" s="17" t="n"/>
      <c r="G64" s="17">
        <f>IFERROR(IF(A64="","",F64-E64),"")</f>
        <v/>
      </c>
    </row>
    <row r="65">
      <c r="A65" s="2" t="n"/>
      <c r="B65" s="2" t="n"/>
      <c r="C65" s="2" t="n"/>
      <c r="D65" s="2" t="n"/>
      <c r="E65" s="17" t="n"/>
      <c r="F65" s="17" t="n"/>
      <c r="G65" s="17">
        <f>IFERROR(IF(A65="","",F65-E65),"")</f>
        <v/>
      </c>
    </row>
    <row r="66">
      <c r="A66" s="2" t="n"/>
      <c r="B66" s="2" t="n"/>
      <c r="C66" s="2" t="n"/>
      <c r="D66" s="2" t="n"/>
      <c r="E66" s="17" t="n"/>
      <c r="F66" s="17" t="n"/>
      <c r="G66" s="17">
        <f>IFERROR(IF(A66="","",F66-E66),"")</f>
        <v/>
      </c>
    </row>
    <row r="67">
      <c r="A67" s="2" t="n"/>
      <c r="B67" s="2" t="n"/>
      <c r="C67" s="2" t="n"/>
      <c r="D67" s="2" t="n"/>
      <c r="E67" s="17" t="n"/>
      <c r="F67" s="17" t="n"/>
      <c r="G67" s="17">
        <f>IFERROR(IF(A67="","",F67-E67),"")</f>
        <v/>
      </c>
    </row>
    <row r="68">
      <c r="A68" s="2" t="n"/>
      <c r="B68" s="2" t="n"/>
      <c r="C68" s="2" t="n"/>
      <c r="D68" s="2" t="n"/>
      <c r="E68" s="17" t="n"/>
      <c r="F68" s="17" t="n"/>
      <c r="G68" s="17">
        <f>IFERROR(IF(A68="","",F68-E68),"")</f>
        <v/>
      </c>
    </row>
    <row r="69">
      <c r="A69" s="2" t="n"/>
      <c r="B69" s="2" t="n"/>
      <c r="C69" s="2" t="n"/>
      <c r="D69" s="2" t="n"/>
      <c r="E69" s="17" t="n"/>
      <c r="F69" s="17" t="n"/>
      <c r="G69" s="17">
        <f>IFERROR(IF(A69="","",F69-E69),"")</f>
        <v/>
      </c>
    </row>
    <row r="70">
      <c r="A70" s="2" t="n"/>
      <c r="B70" s="2" t="n"/>
      <c r="C70" s="2" t="n"/>
      <c r="D70" s="2" t="n"/>
      <c r="E70" s="17" t="n"/>
      <c r="F70" s="17" t="n"/>
      <c r="G70" s="17">
        <f>IFERROR(IF(A70="","",F70-E70),"")</f>
        <v/>
      </c>
    </row>
    <row r="71">
      <c r="A71" s="2" t="n"/>
      <c r="B71" s="2" t="n"/>
      <c r="C71" s="2" t="n"/>
      <c r="D71" s="2" t="n"/>
      <c r="E71" s="17" t="n"/>
      <c r="F71" s="17" t="n"/>
      <c r="G71" s="17">
        <f>IFERROR(IF(A71="","",F71-E71),"")</f>
        <v/>
      </c>
    </row>
    <row r="72">
      <c r="A72" s="2" t="n"/>
      <c r="B72" s="2" t="n"/>
      <c r="C72" s="2" t="n"/>
      <c r="D72" s="2" t="n"/>
      <c r="E72" s="17" t="n"/>
      <c r="F72" s="17" t="n"/>
      <c r="G72" s="17">
        <f>IFERROR(IF(A72="","",F72-E72),"")</f>
        <v/>
      </c>
    </row>
    <row r="73">
      <c r="A73" s="2" t="n"/>
      <c r="B73" s="2" t="n"/>
      <c r="C73" s="2" t="n"/>
      <c r="D73" s="2" t="n"/>
      <c r="E73" s="17" t="n"/>
      <c r="F73" s="17" t="n"/>
      <c r="G73" s="17">
        <f>IFERROR(IF(A73="","",F73-E73),"")</f>
        <v/>
      </c>
    </row>
    <row r="74">
      <c r="A74" s="2" t="n"/>
      <c r="B74" s="2" t="n"/>
      <c r="C74" s="2" t="n"/>
      <c r="D74" s="2" t="n"/>
      <c r="E74" s="17" t="n"/>
      <c r="F74" s="17" t="n"/>
      <c r="G74" s="17">
        <f>IFERROR(IF(A74="","",F74-E74),"")</f>
        <v/>
      </c>
    </row>
    <row r="75">
      <c r="A75" s="2" t="n"/>
      <c r="B75" s="2" t="n"/>
      <c r="C75" s="2" t="n"/>
      <c r="D75" s="2" t="n"/>
      <c r="E75" s="17" t="n"/>
      <c r="F75" s="17" t="n"/>
      <c r="G75" s="17">
        <f>IFERROR(IF(A75="","",F75-E75),"")</f>
        <v/>
      </c>
    </row>
    <row r="76">
      <c r="A76" s="2" t="n"/>
      <c r="B76" s="2" t="n"/>
      <c r="C76" s="2" t="n"/>
      <c r="D76" s="2" t="n"/>
      <c r="E76" s="17" t="n"/>
      <c r="F76" s="17" t="n"/>
      <c r="G76" s="17">
        <f>IFERROR(IF(A76="","",F76-E76),"")</f>
        <v/>
      </c>
    </row>
    <row r="77">
      <c r="A77" s="2" t="n"/>
      <c r="B77" s="2" t="n"/>
      <c r="C77" s="2" t="n"/>
      <c r="D77" s="2" t="n"/>
      <c r="E77" s="17" t="n"/>
      <c r="F77" s="17" t="n"/>
      <c r="G77" s="17">
        <f>IFERROR(IF(A77="","",F77-E77),"")</f>
        <v/>
      </c>
    </row>
    <row r="78">
      <c r="A78" s="2" t="n"/>
      <c r="B78" s="2" t="n"/>
      <c r="C78" s="2" t="n"/>
      <c r="D78" s="2" t="n"/>
      <c r="E78" s="17" t="n"/>
      <c r="F78" s="17" t="n"/>
      <c r="G78" s="17">
        <f>IFERROR(IF(A78="","",F78-E78),"")</f>
        <v/>
      </c>
    </row>
    <row r="79">
      <c r="A79" s="2" t="n"/>
      <c r="B79" s="2" t="n"/>
      <c r="C79" s="2" t="n"/>
      <c r="D79" s="2" t="n"/>
      <c r="E79" s="17" t="n"/>
      <c r="F79" s="17" t="n"/>
      <c r="G79" s="17">
        <f>IFERROR(IF(A79="","",F79-E79),"")</f>
        <v/>
      </c>
    </row>
    <row r="80">
      <c r="A80" s="2" t="n"/>
      <c r="B80" s="2" t="n"/>
      <c r="C80" s="2" t="n"/>
      <c r="D80" s="2" t="n"/>
      <c r="E80" s="17" t="n"/>
      <c r="F80" s="17" t="n"/>
      <c r="G80" s="17">
        <f>IFERROR(IF(A80="","",F80-E80),"")</f>
        <v/>
      </c>
    </row>
    <row r="81">
      <c r="A81" s="2" t="n"/>
      <c r="B81" s="2" t="n"/>
      <c r="C81" s="2" t="n"/>
      <c r="D81" s="2" t="n"/>
      <c r="E81" s="17" t="n"/>
      <c r="F81" s="17" t="n"/>
      <c r="G81" s="17">
        <f>IFERROR(IF(A81="","",F81-E81),"")</f>
        <v/>
      </c>
    </row>
    <row r="82">
      <c r="A82" s="2" t="n"/>
      <c r="B82" s="2" t="n"/>
      <c r="C82" s="2" t="n"/>
      <c r="D82" s="2" t="n"/>
      <c r="E82" s="17" t="n"/>
      <c r="F82" s="17" t="n"/>
      <c r="G82" s="17">
        <f>IFERROR(IF(A82="","",F82-E82),"")</f>
        <v/>
      </c>
    </row>
    <row r="83">
      <c r="A83" s="2" t="n"/>
      <c r="B83" s="2" t="n"/>
      <c r="C83" s="2" t="n"/>
      <c r="D83" s="2" t="n"/>
      <c r="E83" s="17" t="n"/>
      <c r="F83" s="17" t="n"/>
      <c r="G83" s="17">
        <f>IFERROR(IF(A83="","",F83-E83),"")</f>
        <v/>
      </c>
    </row>
    <row r="84">
      <c r="A84" s="2" t="n"/>
      <c r="B84" s="2" t="n"/>
      <c r="C84" s="2" t="n"/>
      <c r="D84" s="2" t="n"/>
      <c r="E84" s="17" t="n"/>
      <c r="F84" s="17" t="n"/>
      <c r="G84" s="17">
        <f>IFERROR(IF(A84="","",F84-E84),"")</f>
        <v/>
      </c>
    </row>
    <row r="85">
      <c r="A85" s="2" t="n"/>
      <c r="B85" s="2" t="n"/>
      <c r="C85" s="2" t="n"/>
      <c r="D85" s="2" t="n"/>
      <c r="E85" s="17" t="n"/>
      <c r="F85" s="17" t="n"/>
      <c r="G85" s="17">
        <f>IFERROR(IF(A85="","",F85-E85),"")</f>
        <v/>
      </c>
    </row>
    <row r="86">
      <c r="A86" s="2" t="n"/>
      <c r="B86" s="2" t="n"/>
      <c r="C86" s="2" t="n"/>
      <c r="D86" s="2" t="n"/>
      <c r="E86" s="17" t="n"/>
      <c r="F86" s="17" t="n"/>
      <c r="G86" s="17">
        <f>IFERROR(IF(A86="","",F86-E86),"")</f>
        <v/>
      </c>
    </row>
    <row r="87">
      <c r="A87" s="2" t="n"/>
      <c r="B87" s="2" t="n"/>
      <c r="C87" s="2" t="n"/>
      <c r="D87" s="2" t="n"/>
      <c r="E87" s="17" t="n"/>
      <c r="F87" s="17" t="n"/>
      <c r="G87" s="17">
        <f>IFERROR(IF(A87="","",F87-E87),"")</f>
        <v/>
      </c>
    </row>
    <row r="88">
      <c r="A88" s="2" t="n"/>
      <c r="B88" s="2" t="n"/>
      <c r="C88" s="2" t="n"/>
      <c r="D88" s="2" t="n"/>
      <c r="E88" s="17" t="n"/>
      <c r="F88" s="17" t="n"/>
      <c r="G88" s="17">
        <f>IFERROR(IF(A88="","",F88-E88),"")</f>
        <v/>
      </c>
    </row>
    <row r="89">
      <c r="A89" s="2" t="n"/>
      <c r="B89" s="2" t="n"/>
      <c r="C89" s="2" t="n"/>
      <c r="D89" s="2" t="n"/>
      <c r="E89" s="17" t="n"/>
      <c r="F89" s="17" t="n"/>
      <c r="G89" s="17">
        <f>IFERROR(IF(A89="","",F89-E89),"")</f>
        <v/>
      </c>
    </row>
    <row r="90">
      <c r="A90" s="2" t="n"/>
      <c r="B90" s="2" t="n"/>
      <c r="C90" s="2" t="n"/>
      <c r="D90" s="2" t="n"/>
      <c r="E90" s="17" t="n"/>
      <c r="F90" s="17" t="n"/>
      <c r="G90" s="17">
        <f>IFERROR(IF(A90="","",F90-E90),"")</f>
        <v/>
      </c>
    </row>
    <row r="91">
      <c r="A91" s="2" t="n"/>
      <c r="B91" s="2" t="n"/>
      <c r="C91" s="2" t="n"/>
      <c r="D91" s="2" t="n"/>
      <c r="E91" s="17" t="n"/>
      <c r="F91" s="17" t="n"/>
      <c r="G91" s="17">
        <f>IFERROR(IF(A91="","",F91-E91),"")</f>
        <v/>
      </c>
    </row>
    <row r="92">
      <c r="A92" s="2" t="n"/>
      <c r="B92" s="2" t="n"/>
      <c r="C92" s="2" t="n"/>
      <c r="D92" s="2" t="n"/>
      <c r="E92" s="17" t="n"/>
      <c r="F92" s="17" t="n"/>
      <c r="G92" s="17">
        <f>IFERROR(IF(A92="","",F92-E92),"")</f>
        <v/>
      </c>
    </row>
    <row r="93">
      <c r="A93" s="2" t="n"/>
      <c r="B93" s="2" t="n"/>
      <c r="C93" s="2" t="n"/>
      <c r="D93" s="2" t="n"/>
      <c r="E93" s="17" t="n"/>
      <c r="F93" s="17" t="n"/>
      <c r="G93" s="17">
        <f>IFERROR(IF(A93="","",F93-E93),"")</f>
        <v/>
      </c>
    </row>
    <row r="94">
      <c r="A94" s="2" t="n"/>
      <c r="B94" s="2" t="n"/>
      <c r="C94" s="2" t="n"/>
      <c r="D94" s="2" t="n"/>
      <c r="E94" s="17" t="n"/>
      <c r="F94" s="17" t="n"/>
      <c r="G94" s="17">
        <f>IFERROR(IF(A94="","",F94-E94),"")</f>
        <v/>
      </c>
    </row>
    <row r="95">
      <c r="A95" s="2" t="n"/>
      <c r="B95" s="2" t="n"/>
      <c r="C95" s="2" t="n"/>
      <c r="D95" s="2" t="n"/>
      <c r="E95" s="17" t="n"/>
      <c r="F95" s="17" t="n"/>
      <c r="G95" s="17">
        <f>IFERROR(IF(A95="","",F95-E95),"")</f>
        <v/>
      </c>
    </row>
    <row r="96">
      <c r="A96" s="2" t="n"/>
      <c r="B96" s="2" t="n"/>
      <c r="C96" s="2" t="n"/>
      <c r="D96" s="2" t="n"/>
      <c r="E96" s="17" t="n"/>
      <c r="F96" s="17" t="n"/>
      <c r="G96" s="17">
        <f>IFERROR(IF(A96="","",F96-E96),"")</f>
        <v/>
      </c>
    </row>
    <row r="97">
      <c r="A97" s="2" t="n"/>
      <c r="B97" s="2" t="n"/>
      <c r="C97" s="2" t="n"/>
      <c r="D97" s="2" t="n"/>
      <c r="E97" s="17" t="n"/>
      <c r="F97" s="17" t="n"/>
      <c r="G97" s="17">
        <f>IFERROR(IF(A97="","",F97-E97),"")</f>
        <v/>
      </c>
    </row>
    <row r="98">
      <c r="A98" s="2" t="n"/>
      <c r="B98" s="2" t="n"/>
      <c r="C98" s="2" t="n"/>
      <c r="D98" s="2" t="n"/>
      <c r="E98" s="17" t="n"/>
      <c r="F98" s="17" t="n"/>
      <c r="G98" s="17">
        <f>IFERROR(IF(A98="","",F98-E98),"")</f>
        <v/>
      </c>
    </row>
    <row r="99">
      <c r="A99" s="2" t="n"/>
      <c r="B99" s="2" t="n"/>
      <c r="C99" s="2" t="n"/>
      <c r="D99" s="2" t="n"/>
      <c r="E99" s="17" t="n"/>
      <c r="F99" s="17" t="n"/>
      <c r="G99" s="17">
        <f>IFERROR(IF(A99="","",F99-E99),"")</f>
        <v/>
      </c>
    </row>
    <row r="100">
      <c r="A100" s="2" t="n"/>
      <c r="B100" s="2" t="n"/>
      <c r="C100" s="2" t="n"/>
      <c r="D100" s="2" t="n"/>
      <c r="E100" s="17" t="n"/>
      <c r="F100" s="17" t="n"/>
      <c r="G100" s="17">
        <f>IFERROR(IF(A100="","",F100-E100),"")</f>
        <v/>
      </c>
    </row>
    <row r="101">
      <c r="A101" s="2" t="n"/>
      <c r="B101" s="2" t="n"/>
      <c r="C101" s="2" t="n"/>
      <c r="D101" s="2" t="n"/>
      <c r="E101" s="17" t="n"/>
      <c r="F101" s="17" t="n"/>
      <c r="G101" s="17">
        <f>IFERROR(IF(A101="","",F101-E101),"")</f>
        <v/>
      </c>
    </row>
    <row r="102">
      <c r="A102" s="2" t="n"/>
      <c r="B102" s="2" t="n"/>
      <c r="C102" s="2" t="n"/>
      <c r="D102" s="2" t="n"/>
      <c r="E102" s="17" t="n"/>
      <c r="F102" s="17" t="n"/>
      <c r="G102" s="17">
        <f>IFERROR(IF(A102="","",F102-E102),"")</f>
        <v/>
      </c>
    </row>
    <row r="103">
      <c r="A103" s="2" t="n"/>
      <c r="B103" s="2" t="n"/>
      <c r="C103" s="2" t="n"/>
      <c r="D103" s="2" t="n"/>
      <c r="E103" s="17" t="n"/>
      <c r="F103" s="17" t="n"/>
      <c r="G103" s="17">
        <f>IFERROR(IF(A103="","",F103-E103),"")</f>
        <v/>
      </c>
    </row>
    <row r="104">
      <c r="A104" s="2" t="n"/>
      <c r="B104" s="2" t="n"/>
      <c r="C104" s="2" t="n"/>
      <c r="D104" s="2" t="n"/>
      <c r="E104" s="17" t="n"/>
      <c r="F104" s="17" t="n"/>
      <c r="G104" s="17">
        <f>IFERROR(IF(A104="","",F104-E104),"")</f>
        <v/>
      </c>
    </row>
    <row r="105">
      <c r="A105" s="2" t="n"/>
      <c r="B105" s="2" t="n"/>
      <c r="C105" s="2" t="n"/>
      <c r="D105" s="2" t="n"/>
      <c r="E105" s="17" t="n"/>
      <c r="F105" s="17" t="n"/>
      <c r="G105" s="17">
        <f>IFERROR(IF(A105="","",F105-E105),"")</f>
        <v/>
      </c>
    </row>
    <row r="106">
      <c r="A106" s="2" t="n"/>
      <c r="B106" s="2" t="n"/>
      <c r="C106" s="2" t="n"/>
      <c r="D106" s="2" t="n"/>
      <c r="E106" s="17" t="n"/>
      <c r="F106" s="17" t="n"/>
      <c r="G106" s="17">
        <f>IFERROR(IF(A106="","",F106-E106),"")</f>
        <v/>
      </c>
    </row>
    <row r="107">
      <c r="A107" s="2" t="n"/>
      <c r="B107" s="2" t="n"/>
      <c r="C107" s="2" t="n"/>
      <c r="D107" s="2" t="n"/>
      <c r="E107" s="17" t="n"/>
      <c r="F107" s="17" t="n"/>
      <c r="G107" s="17">
        <f>IFERROR(IF(A107="","",F107-E107),"")</f>
        <v/>
      </c>
    </row>
    <row r="108">
      <c r="A108" s="2" t="n"/>
      <c r="B108" s="2" t="n"/>
      <c r="C108" s="2" t="n"/>
      <c r="D108" s="2" t="n"/>
      <c r="E108" s="17" t="n"/>
      <c r="F108" s="17" t="n"/>
      <c r="G108" s="17">
        <f>IFERROR(IF(A108="","",F108-E108),"")</f>
        <v/>
      </c>
    </row>
    <row r="109">
      <c r="A109" s="2" t="n"/>
      <c r="B109" s="2" t="n"/>
      <c r="C109" s="2" t="n"/>
      <c r="D109" s="2" t="n"/>
      <c r="E109" s="17" t="n"/>
      <c r="F109" s="17" t="n"/>
      <c r="G109" s="17">
        <f>IFERROR(IF(A109="","",F109-E109),"")</f>
        <v/>
      </c>
    </row>
    <row r="110">
      <c r="A110" s="2" t="n"/>
      <c r="B110" s="2" t="n"/>
      <c r="C110" s="2" t="n"/>
      <c r="D110" s="2" t="n"/>
      <c r="E110" s="17" t="n"/>
      <c r="F110" s="17" t="n"/>
      <c r="G110" s="17">
        <f>IFERROR(IF(A110="","",F110-E110),"")</f>
        <v/>
      </c>
    </row>
    <row r="111">
      <c r="A111" s="2" t="n"/>
      <c r="B111" s="2" t="n"/>
      <c r="C111" s="2" t="n"/>
      <c r="D111" s="2" t="n"/>
      <c r="E111" s="17" t="n"/>
      <c r="F111" s="17" t="n"/>
      <c r="G111" s="17">
        <f>IFERROR(IF(A111="","",F111-E111),"")</f>
        <v/>
      </c>
    </row>
    <row r="112">
      <c r="A112" s="2" t="n"/>
      <c r="B112" s="2" t="n"/>
      <c r="C112" s="2" t="n"/>
      <c r="D112" s="2" t="n"/>
      <c r="E112" s="17" t="n"/>
      <c r="F112" s="17" t="n"/>
      <c r="G112" s="17">
        <f>IFERROR(IF(A112="","",F112-E112),"")</f>
        <v/>
      </c>
    </row>
    <row r="113">
      <c r="A113" s="2" t="n"/>
      <c r="B113" s="2" t="n"/>
      <c r="C113" s="2" t="n"/>
      <c r="D113" s="2" t="n"/>
      <c r="E113" s="17" t="n"/>
      <c r="F113" s="17" t="n"/>
      <c r="G113" s="17">
        <f>IFERROR(IF(A113="","",F113-E113),"")</f>
        <v/>
      </c>
    </row>
    <row r="114">
      <c r="A114" s="2" t="n"/>
      <c r="B114" s="2" t="n"/>
      <c r="C114" s="2" t="n"/>
      <c r="D114" s="2" t="n"/>
      <c r="E114" s="17" t="n"/>
      <c r="F114" s="17" t="n"/>
      <c r="G114" s="17">
        <f>IFERROR(IF(A114="","",F114-E114),"")</f>
        <v/>
      </c>
    </row>
    <row r="115">
      <c r="A115" s="2" t="n"/>
      <c r="B115" s="2" t="n"/>
      <c r="C115" s="2" t="n"/>
      <c r="D115" s="2" t="n"/>
      <c r="E115" s="17" t="n"/>
      <c r="F115" s="17" t="n"/>
      <c r="G115" s="17">
        <f>IFERROR(IF(A115="","",F115-E115),"")</f>
        <v/>
      </c>
    </row>
    <row r="116">
      <c r="A116" s="2" t="n"/>
      <c r="B116" s="2" t="n"/>
      <c r="C116" s="2" t="n"/>
      <c r="D116" s="2" t="n"/>
      <c r="E116" s="17" t="n"/>
      <c r="F116" s="17" t="n"/>
      <c r="G116" s="17">
        <f>IFERROR(IF(A116="","",F116-E116),"")</f>
        <v/>
      </c>
    </row>
    <row r="117">
      <c r="A117" s="2" t="n"/>
      <c r="B117" s="2" t="n"/>
      <c r="C117" s="2" t="n"/>
      <c r="D117" s="2" t="n"/>
      <c r="E117" s="17" t="n"/>
      <c r="F117" s="17" t="n"/>
      <c r="G117" s="17">
        <f>IFERROR(IF(A117="","",F117-E117),"")</f>
        <v/>
      </c>
    </row>
    <row r="118">
      <c r="A118" s="2" t="n"/>
      <c r="B118" s="2" t="n"/>
      <c r="C118" s="2" t="n"/>
      <c r="D118" s="2" t="n"/>
      <c r="E118" s="17" t="n"/>
      <c r="F118" s="17" t="n"/>
      <c r="G118" s="17">
        <f>IFERROR(IF(A118="","",F118-E118),"")</f>
        <v/>
      </c>
    </row>
    <row r="119">
      <c r="A119" s="2" t="n"/>
      <c r="B119" s="2" t="n"/>
      <c r="C119" s="2" t="n"/>
      <c r="D119" s="2" t="n"/>
      <c r="E119" s="17" t="n"/>
      <c r="F119" s="17" t="n"/>
      <c r="G119" s="17">
        <f>IFERROR(IF(A119="","",F119-E119),"")</f>
        <v/>
      </c>
    </row>
    <row r="120">
      <c r="A120" s="2" t="n"/>
      <c r="B120" s="2" t="n"/>
      <c r="C120" s="2" t="n"/>
      <c r="D120" s="2" t="n"/>
      <c r="E120" s="17" t="n"/>
      <c r="F120" s="17" t="n"/>
      <c r="G120" s="17">
        <f>IFERROR(IF(A120="","",F120-E120),"")</f>
        <v/>
      </c>
    </row>
    <row r="121">
      <c r="A121" s="2" t="n"/>
      <c r="B121" s="2" t="n"/>
      <c r="C121" s="2" t="n"/>
      <c r="D121" s="2" t="n"/>
      <c r="E121" s="17" t="n"/>
      <c r="F121" s="17" t="n"/>
      <c r="G121" s="17">
        <f>IFERROR(IF(A121="","",F121-E121),"")</f>
        <v/>
      </c>
    </row>
    <row r="122">
      <c r="A122" s="2" t="n"/>
      <c r="B122" s="2" t="n"/>
      <c r="C122" s="2" t="n"/>
      <c r="D122" s="2" t="n"/>
      <c r="E122" s="17" t="n"/>
      <c r="F122" s="17" t="n"/>
      <c r="G122" s="17">
        <f>IFERROR(IF(A122="","",F122-E122),"")</f>
        <v/>
      </c>
    </row>
    <row r="123">
      <c r="A123" s="2" t="n"/>
      <c r="B123" s="2" t="n"/>
      <c r="C123" s="2" t="n"/>
      <c r="D123" s="2" t="n"/>
      <c r="E123" s="17" t="n"/>
      <c r="F123" s="17" t="n"/>
      <c r="G123" s="17">
        <f>IFERROR(IF(A123="","",F123-E123),"")</f>
        <v/>
      </c>
    </row>
    <row r="124">
      <c r="A124" s="2" t="n"/>
      <c r="B124" s="2" t="n"/>
      <c r="C124" s="2" t="n"/>
      <c r="D124" s="2" t="n"/>
      <c r="E124" s="17" t="n"/>
      <c r="F124" s="17" t="n"/>
      <c r="G124" s="17">
        <f>IFERROR(IF(A124="","",F124-E124),"")</f>
        <v/>
      </c>
    </row>
    <row r="125">
      <c r="A125" s="2" t="n"/>
      <c r="B125" s="2" t="n"/>
      <c r="C125" s="2" t="n"/>
      <c r="D125" s="2" t="n"/>
      <c r="E125" s="17" t="n"/>
      <c r="F125" s="17" t="n"/>
      <c r="G125" s="17">
        <f>IFERROR(IF(A125="","",F125-E125),"")</f>
        <v/>
      </c>
    </row>
    <row r="126">
      <c r="A126" s="2" t="n"/>
      <c r="B126" s="2" t="n"/>
      <c r="C126" s="2" t="n"/>
      <c r="D126" s="2" t="n"/>
      <c r="E126" s="17" t="n"/>
      <c r="F126" s="17" t="n"/>
      <c r="G126" s="17">
        <f>IFERROR(IF(A126="","",F126-E126),"")</f>
        <v/>
      </c>
    </row>
    <row r="127">
      <c r="A127" s="2" t="n"/>
      <c r="B127" s="2" t="n"/>
      <c r="C127" s="2" t="n"/>
      <c r="D127" s="2" t="n"/>
      <c r="E127" s="17" t="n"/>
      <c r="F127" s="17" t="n"/>
      <c r="G127" s="17">
        <f>IFERROR(IF(A127="","",F127-E127),"")</f>
        <v/>
      </c>
    </row>
    <row r="128">
      <c r="A128" s="2" t="n"/>
      <c r="B128" s="2" t="n"/>
      <c r="C128" s="2" t="n"/>
      <c r="D128" s="2" t="n"/>
      <c r="E128" s="17" t="n"/>
      <c r="F128" s="17" t="n"/>
      <c r="G128" s="17">
        <f>IFERROR(IF(A128="","",F128-E128),"")</f>
        <v/>
      </c>
    </row>
    <row r="129">
      <c r="A129" s="2" t="n"/>
      <c r="B129" s="2" t="n"/>
      <c r="C129" s="2" t="n"/>
      <c r="D129" s="2" t="n"/>
      <c r="E129" s="17" t="n"/>
      <c r="F129" s="17" t="n"/>
      <c r="G129" s="17">
        <f>IFERROR(IF(A129="","",F129-E129),"")</f>
        <v/>
      </c>
    </row>
    <row r="130">
      <c r="A130" s="2" t="n"/>
      <c r="B130" s="2" t="n"/>
      <c r="C130" s="2" t="n"/>
      <c r="D130" s="2" t="n"/>
      <c r="E130" s="17" t="n"/>
      <c r="F130" s="17" t="n"/>
      <c r="G130" s="17">
        <f>IFERROR(IF(A130="","",F130-E130),"")</f>
        <v/>
      </c>
    </row>
    <row r="131">
      <c r="A131" s="2" t="n"/>
      <c r="B131" s="2" t="n"/>
      <c r="C131" s="2" t="n"/>
      <c r="D131" s="2" t="n"/>
      <c r="E131" s="17" t="n"/>
      <c r="F131" s="17" t="n"/>
      <c r="G131" s="17">
        <f>IFERROR(IF(A131="","",F131-E131),"")</f>
        <v/>
      </c>
    </row>
    <row r="132">
      <c r="A132" s="2" t="n"/>
      <c r="B132" s="2" t="n"/>
      <c r="C132" s="2" t="n"/>
      <c r="D132" s="2" t="n"/>
      <c r="E132" s="17" t="n"/>
      <c r="F132" s="17" t="n"/>
      <c r="G132" s="17">
        <f>IFERROR(IF(A132="","",F132-E132),"")</f>
        <v/>
      </c>
    </row>
    <row r="133">
      <c r="A133" s="2" t="n"/>
      <c r="B133" s="2" t="n"/>
      <c r="C133" s="2" t="n"/>
      <c r="D133" s="2" t="n"/>
      <c r="E133" s="17" t="n"/>
      <c r="F133" s="17" t="n"/>
      <c r="G133" s="17">
        <f>IFERROR(IF(A133="","",F133-E133),"")</f>
        <v/>
      </c>
    </row>
    <row r="134">
      <c r="A134" s="2" t="n"/>
      <c r="B134" s="2" t="n"/>
      <c r="C134" s="2" t="n"/>
      <c r="D134" s="2" t="n"/>
      <c r="E134" s="17" t="n"/>
      <c r="F134" s="17" t="n"/>
      <c r="G134" s="17">
        <f>IFERROR(IF(A134="","",F134-E134),"")</f>
        <v/>
      </c>
    </row>
    <row r="135">
      <c r="A135" s="2" t="n"/>
      <c r="B135" s="2" t="n"/>
      <c r="C135" s="2" t="n"/>
      <c r="D135" s="2" t="n"/>
      <c r="E135" s="17" t="n"/>
      <c r="F135" s="17" t="n"/>
      <c r="G135" s="17">
        <f>IFERROR(IF(A135="","",F135-E135),"")</f>
        <v/>
      </c>
    </row>
    <row r="136">
      <c r="A136" s="2" t="n"/>
      <c r="B136" s="2" t="n"/>
      <c r="C136" s="2" t="n"/>
      <c r="D136" s="2" t="n"/>
      <c r="E136" s="17" t="n"/>
      <c r="F136" s="17" t="n"/>
      <c r="G136" s="17">
        <f>IFERROR(IF(A136="","",F136-E136),"")</f>
        <v/>
      </c>
    </row>
    <row r="137">
      <c r="A137" s="2" t="n"/>
      <c r="B137" s="2" t="n"/>
      <c r="C137" s="2" t="n"/>
      <c r="D137" s="2" t="n"/>
      <c r="E137" s="17" t="n"/>
      <c r="F137" s="17" t="n"/>
      <c r="G137" s="17">
        <f>IFERROR(IF(A137="","",F137-E137),"")</f>
        <v/>
      </c>
    </row>
    <row r="138">
      <c r="A138" s="2" t="n"/>
      <c r="B138" s="2" t="n"/>
      <c r="C138" s="2" t="n"/>
      <c r="D138" s="2" t="n"/>
      <c r="E138" s="17" t="n"/>
      <c r="F138" s="17" t="n"/>
      <c r="G138" s="17">
        <f>IFERROR(IF(A138="","",F138-E138),"")</f>
        <v/>
      </c>
    </row>
    <row r="139">
      <c r="A139" s="2" t="n"/>
      <c r="B139" s="2" t="n"/>
      <c r="C139" s="2" t="n"/>
      <c r="D139" s="2" t="n"/>
      <c r="E139" s="17" t="n"/>
      <c r="F139" s="17" t="n"/>
      <c r="G139" s="17">
        <f>IFERROR(IF(A139="","",F139-E139),"")</f>
        <v/>
      </c>
    </row>
    <row r="140">
      <c r="A140" s="2" t="n"/>
      <c r="B140" s="2" t="n"/>
      <c r="C140" s="2" t="n"/>
      <c r="D140" s="2" t="n"/>
      <c r="E140" s="17" t="n"/>
      <c r="F140" s="17" t="n"/>
      <c r="G140" s="17">
        <f>IFERROR(IF(A140="","",F140-E140),"")</f>
        <v/>
      </c>
    </row>
    <row r="141">
      <c r="A141" s="2" t="n"/>
      <c r="B141" s="2" t="n"/>
      <c r="C141" s="2" t="n"/>
      <c r="D141" s="2" t="n"/>
      <c r="E141" s="17" t="n"/>
      <c r="F141" s="17" t="n"/>
      <c r="G141" s="17">
        <f>IFERROR(IF(A141="","",F141-E141),"")</f>
        <v/>
      </c>
    </row>
    <row r="142">
      <c r="A142" s="2" t="n"/>
      <c r="B142" s="2" t="n"/>
      <c r="C142" s="2" t="n"/>
      <c r="D142" s="2" t="n"/>
      <c r="E142" s="17" t="n"/>
      <c r="F142" s="17" t="n"/>
      <c r="G142" s="17">
        <f>IFERROR(IF(A142="","",F142-E142),"")</f>
        <v/>
      </c>
    </row>
    <row r="143">
      <c r="A143" s="2" t="n"/>
      <c r="B143" s="2" t="n"/>
      <c r="C143" s="2" t="n"/>
      <c r="D143" s="2" t="n"/>
      <c r="E143" s="17" t="n"/>
      <c r="F143" s="17" t="n"/>
      <c r="G143" s="17">
        <f>IFERROR(IF(A143="","",F143-E143),"")</f>
        <v/>
      </c>
    </row>
    <row r="144">
      <c r="A144" s="2" t="n"/>
      <c r="B144" s="2" t="n"/>
      <c r="C144" s="2" t="n"/>
      <c r="D144" s="2" t="n"/>
      <c r="E144" s="17" t="n"/>
      <c r="F144" s="17" t="n"/>
      <c r="G144" s="17">
        <f>IFERROR(IF(A144="","",F144-E144),"")</f>
        <v/>
      </c>
    </row>
    <row r="145">
      <c r="A145" s="2" t="n"/>
      <c r="B145" s="2" t="n"/>
      <c r="C145" s="2" t="n"/>
      <c r="D145" s="2" t="n"/>
      <c r="E145" s="17" t="n"/>
      <c r="F145" s="17" t="n"/>
      <c r="G145" s="17">
        <f>IFERROR(IF(A145="","",F145-E145),"")</f>
        <v/>
      </c>
    </row>
    <row r="146">
      <c r="A146" s="2" t="n"/>
      <c r="B146" s="2" t="n"/>
      <c r="C146" s="2" t="n"/>
      <c r="D146" s="2" t="n"/>
      <c r="E146" s="17" t="n"/>
      <c r="F146" s="17" t="n"/>
      <c r="G146" s="17">
        <f>IFERROR(IF(A146="","",F146-E146),"")</f>
        <v/>
      </c>
    </row>
    <row r="147">
      <c r="A147" s="2" t="n"/>
      <c r="B147" s="2" t="n"/>
      <c r="C147" s="2" t="n"/>
      <c r="D147" s="2" t="n"/>
      <c r="E147" s="17" t="n"/>
      <c r="F147" s="17" t="n"/>
      <c r="G147" s="17">
        <f>IFERROR(IF(A147="","",F147-E147),"")</f>
        <v/>
      </c>
    </row>
    <row r="148">
      <c r="A148" s="2" t="n"/>
      <c r="B148" s="2" t="n"/>
      <c r="C148" s="2" t="n"/>
      <c r="D148" s="2" t="n"/>
      <c r="E148" s="17" t="n"/>
      <c r="F148" s="17" t="n"/>
      <c r="G148" s="17">
        <f>IFERROR(IF(A148="","",F148-E148),"")</f>
        <v/>
      </c>
    </row>
    <row r="149">
      <c r="A149" s="2" t="n"/>
      <c r="B149" s="2" t="n"/>
      <c r="C149" s="2" t="n"/>
      <c r="D149" s="2" t="n"/>
      <c r="E149" s="17" t="n"/>
      <c r="F149" s="17" t="n"/>
      <c r="G149" s="17">
        <f>IFERROR(IF(A149="","",F149-E149),"")</f>
        <v/>
      </c>
    </row>
    <row r="150">
      <c r="A150" s="2" t="n"/>
      <c r="B150" s="2" t="n"/>
      <c r="C150" s="2" t="n"/>
      <c r="D150" s="2" t="n"/>
      <c r="E150" s="17" t="n"/>
      <c r="F150" s="17" t="n"/>
      <c r="G150" s="17">
        <f>IFERROR(IF(A150="","",F150-E150),"")</f>
        <v/>
      </c>
    </row>
    <row r="151">
      <c r="A151" s="2" t="n"/>
      <c r="B151" s="2" t="n"/>
      <c r="C151" s="2" t="n"/>
      <c r="D151" s="2" t="n"/>
      <c r="E151" s="17" t="n"/>
      <c r="F151" s="17" t="n"/>
      <c r="G151" s="17">
        <f>IFERROR(IF(A151="","",F151-E151),"")</f>
        <v/>
      </c>
    </row>
    <row r="152">
      <c r="A152" s="2" t="n"/>
      <c r="B152" s="2" t="n"/>
      <c r="C152" s="2" t="n"/>
      <c r="D152" s="2" t="n"/>
      <c r="E152" s="17" t="n"/>
      <c r="F152" s="17" t="n"/>
      <c r="G152" s="17">
        <f>IFERROR(IF(A152="","",F152-E152),"")</f>
        <v/>
      </c>
    </row>
    <row r="153">
      <c r="A153" s="2" t="n"/>
      <c r="B153" s="2" t="n"/>
      <c r="C153" s="2" t="n"/>
      <c r="D153" s="2" t="n"/>
      <c r="E153" s="17" t="n"/>
      <c r="F153" s="17" t="n"/>
      <c r="G153" s="17">
        <f>IFERROR(IF(A153="","",F153-E153),"")</f>
        <v/>
      </c>
    </row>
    <row r="154">
      <c r="A154" s="2" t="n"/>
      <c r="B154" s="2" t="n"/>
      <c r="C154" s="2" t="n"/>
      <c r="D154" s="2" t="n"/>
      <c r="E154" s="17" t="n"/>
      <c r="F154" s="17" t="n"/>
      <c r="G154" s="17">
        <f>IFERROR(IF(A154="","",F154-E154),"")</f>
        <v/>
      </c>
    </row>
    <row r="155">
      <c r="A155" s="2" t="n"/>
      <c r="B155" s="2" t="n"/>
      <c r="C155" s="2" t="n"/>
      <c r="D155" s="2" t="n"/>
      <c r="E155" s="17" t="n"/>
      <c r="F155" s="17" t="n"/>
      <c r="G155" s="17">
        <f>IFERROR(IF(A155="","",F155-E155),"")</f>
        <v/>
      </c>
    </row>
    <row r="156">
      <c r="A156" s="2" t="n"/>
      <c r="B156" s="2" t="n"/>
      <c r="C156" s="2" t="n"/>
      <c r="D156" s="2" t="n"/>
      <c r="E156" s="17" t="n"/>
      <c r="F156" s="17" t="n"/>
      <c r="G156" s="17">
        <f>IFERROR(IF(A156="","",F156-E156),"")</f>
        <v/>
      </c>
    </row>
    <row r="157">
      <c r="A157" s="2" t="n"/>
      <c r="B157" s="2" t="n"/>
      <c r="C157" s="2" t="n"/>
      <c r="D157" s="2" t="n"/>
      <c r="E157" s="17" t="n"/>
      <c r="F157" s="17" t="n"/>
      <c r="G157" s="17">
        <f>IFERROR(IF(A157="","",F157-E157),"")</f>
        <v/>
      </c>
    </row>
    <row r="158">
      <c r="A158" s="2" t="n"/>
      <c r="B158" s="2" t="n"/>
      <c r="C158" s="2" t="n"/>
      <c r="D158" s="2" t="n"/>
      <c r="E158" s="17" t="n"/>
      <c r="F158" s="17" t="n"/>
      <c r="G158" s="17">
        <f>IFERROR(IF(A158="","",F158-E158),"")</f>
        <v/>
      </c>
    </row>
    <row r="159">
      <c r="A159" s="2" t="n"/>
      <c r="B159" s="2" t="n"/>
      <c r="C159" s="2" t="n"/>
      <c r="D159" s="2" t="n"/>
      <c r="E159" s="17" t="n"/>
      <c r="F159" s="17" t="n"/>
      <c r="G159" s="17">
        <f>IFERROR(IF(A159="","",F159-E159),"")</f>
        <v/>
      </c>
    </row>
    <row r="160">
      <c r="A160" s="2" t="n"/>
      <c r="B160" s="2" t="n"/>
      <c r="C160" s="2" t="n"/>
      <c r="D160" s="2" t="n"/>
      <c r="E160" s="17" t="n"/>
      <c r="F160" s="17" t="n"/>
      <c r="G160" s="17">
        <f>IFERROR(IF(A160="","",F160-E160),"")</f>
        <v/>
      </c>
    </row>
    <row r="161">
      <c r="A161" s="2" t="n"/>
      <c r="B161" s="2" t="n"/>
      <c r="C161" s="2" t="n"/>
      <c r="D161" s="2" t="n"/>
      <c r="E161" s="17" t="n"/>
      <c r="F161" s="17" t="n"/>
      <c r="G161" s="17">
        <f>IFERROR(IF(A161="","",F161-E161),"")</f>
        <v/>
      </c>
    </row>
    <row r="162">
      <c r="A162" s="2" t="n"/>
      <c r="B162" s="2" t="n"/>
      <c r="C162" s="2" t="n"/>
      <c r="D162" s="2" t="n"/>
      <c r="E162" s="17" t="n"/>
      <c r="F162" s="17" t="n"/>
      <c r="G162" s="17">
        <f>IFERROR(IF(A162="","",F162-E162),"")</f>
        <v/>
      </c>
    </row>
    <row r="163">
      <c r="A163" s="2" t="n"/>
      <c r="B163" s="2" t="n"/>
      <c r="C163" s="2" t="n"/>
      <c r="D163" s="2" t="n"/>
      <c r="E163" s="17" t="n"/>
      <c r="F163" s="17" t="n"/>
      <c r="G163" s="17">
        <f>IFERROR(IF(A163="","",F163-E163),"")</f>
        <v/>
      </c>
    </row>
    <row r="164">
      <c r="A164" s="2" t="n"/>
      <c r="B164" s="2" t="n"/>
      <c r="C164" s="2" t="n"/>
      <c r="D164" s="2" t="n"/>
      <c r="E164" s="17" t="n"/>
      <c r="F164" s="17" t="n"/>
      <c r="G164" s="17">
        <f>IFERROR(IF(A164="","",F164-E164),"")</f>
        <v/>
      </c>
    </row>
    <row r="165">
      <c r="A165" s="2" t="n"/>
      <c r="B165" s="2" t="n"/>
      <c r="C165" s="2" t="n"/>
      <c r="D165" s="2" t="n"/>
      <c r="E165" s="17" t="n"/>
      <c r="F165" s="17" t="n"/>
      <c r="G165" s="17">
        <f>IFERROR(IF(A165="","",F165-E165),"")</f>
        <v/>
      </c>
    </row>
    <row r="166">
      <c r="A166" s="2" t="n"/>
      <c r="B166" s="2" t="n"/>
      <c r="C166" s="2" t="n"/>
      <c r="D166" s="2" t="n"/>
      <c r="E166" s="17" t="n"/>
      <c r="F166" s="17" t="n"/>
      <c r="G166" s="17">
        <f>IFERROR(IF(A166="","",F166-E166),"")</f>
        <v/>
      </c>
    </row>
    <row r="167">
      <c r="A167" s="2" t="n"/>
      <c r="B167" s="2" t="n"/>
      <c r="C167" s="2" t="n"/>
      <c r="D167" s="2" t="n"/>
      <c r="E167" s="17" t="n"/>
      <c r="F167" s="17" t="n"/>
      <c r="G167" s="17">
        <f>IFERROR(IF(A167="","",F167-E167),"")</f>
        <v/>
      </c>
    </row>
    <row r="168">
      <c r="A168" s="2" t="n"/>
      <c r="B168" s="2" t="n"/>
      <c r="C168" s="2" t="n"/>
      <c r="D168" s="2" t="n"/>
      <c r="E168" s="17" t="n"/>
      <c r="F168" s="17" t="n"/>
      <c r="G168" s="17">
        <f>IFERROR(IF(A168="","",F168-E168),"")</f>
        <v/>
      </c>
    </row>
    <row r="169">
      <c r="A169" s="2" t="n"/>
      <c r="B169" s="2" t="n"/>
      <c r="C169" s="2" t="n"/>
      <c r="D169" s="2" t="n"/>
      <c r="E169" s="17" t="n"/>
      <c r="F169" s="17" t="n"/>
      <c r="G169" s="17">
        <f>IFERROR(IF(A169="","",F169-E169),"")</f>
        <v/>
      </c>
    </row>
    <row r="170">
      <c r="A170" s="2" t="n"/>
      <c r="B170" s="2" t="n"/>
      <c r="C170" s="2" t="n"/>
      <c r="D170" s="2" t="n"/>
      <c r="E170" s="17" t="n"/>
      <c r="F170" s="17" t="n"/>
      <c r="G170" s="17">
        <f>IFERROR(IF(A170="","",F170-E170),"")</f>
        <v/>
      </c>
    </row>
    <row r="171">
      <c r="A171" s="2" t="n"/>
      <c r="B171" s="2" t="n"/>
      <c r="C171" s="2" t="n"/>
      <c r="D171" s="2" t="n"/>
      <c r="E171" s="17" t="n"/>
      <c r="F171" s="17" t="n"/>
      <c r="G171" s="17">
        <f>IFERROR(IF(A171="","",F171-E171),"")</f>
        <v/>
      </c>
    </row>
    <row r="172">
      <c r="A172" s="2" t="n"/>
      <c r="B172" s="2" t="n"/>
      <c r="C172" s="2" t="n"/>
      <c r="D172" s="2" t="n"/>
      <c r="E172" s="17" t="n"/>
      <c r="F172" s="17" t="n"/>
      <c r="G172" s="17">
        <f>IFERROR(IF(A172="","",F172-E172),"")</f>
        <v/>
      </c>
    </row>
    <row r="173">
      <c r="A173" s="2" t="n"/>
      <c r="B173" s="2" t="n"/>
      <c r="C173" s="2" t="n"/>
      <c r="D173" s="2" t="n"/>
      <c r="E173" s="17" t="n"/>
      <c r="F173" s="17" t="n"/>
      <c r="G173" s="17">
        <f>IFERROR(IF(A173="","",F173-E173),"")</f>
        <v/>
      </c>
    </row>
    <row r="174">
      <c r="A174" s="2" t="n"/>
      <c r="B174" s="2" t="n"/>
      <c r="C174" s="2" t="n"/>
      <c r="D174" s="2" t="n"/>
      <c r="E174" s="17" t="n"/>
      <c r="F174" s="17" t="n"/>
      <c r="G174" s="17">
        <f>IFERROR(IF(A174="","",F174-E174),"")</f>
        <v/>
      </c>
    </row>
    <row r="175">
      <c r="A175" s="2" t="n"/>
      <c r="B175" s="2" t="n"/>
      <c r="C175" s="2" t="n"/>
      <c r="D175" s="2" t="n"/>
      <c r="E175" s="17" t="n"/>
      <c r="F175" s="17" t="n"/>
      <c r="G175" s="17">
        <f>IFERROR(IF(A175="","",F175-E175),"")</f>
        <v/>
      </c>
    </row>
    <row r="176">
      <c r="A176" s="2" t="n"/>
      <c r="B176" s="2" t="n"/>
      <c r="C176" s="2" t="n"/>
      <c r="D176" s="2" t="n"/>
      <c r="E176" s="17" t="n"/>
      <c r="F176" s="17" t="n"/>
      <c r="G176" s="17">
        <f>IFERROR(IF(A176="","",F176-E176),"")</f>
        <v/>
      </c>
    </row>
    <row r="177">
      <c r="A177" s="2" t="n"/>
      <c r="B177" s="2" t="n"/>
      <c r="C177" s="2" t="n"/>
      <c r="D177" s="2" t="n"/>
      <c r="E177" s="17" t="n"/>
      <c r="F177" s="17" t="n"/>
      <c r="G177" s="17">
        <f>IFERROR(IF(A177="","",F177-E177),"")</f>
        <v/>
      </c>
    </row>
    <row r="178">
      <c r="A178" s="2" t="n"/>
      <c r="B178" s="2" t="n"/>
      <c r="C178" s="2" t="n"/>
      <c r="D178" s="2" t="n"/>
      <c r="E178" s="17" t="n"/>
      <c r="F178" s="17" t="n"/>
      <c r="G178" s="17">
        <f>IFERROR(IF(A178="","",F178-E178),"")</f>
        <v/>
      </c>
    </row>
    <row r="179">
      <c r="A179" s="2" t="n"/>
      <c r="B179" s="2" t="n"/>
      <c r="C179" s="2" t="n"/>
      <c r="D179" s="2" t="n"/>
      <c r="E179" s="17" t="n"/>
      <c r="F179" s="17" t="n"/>
      <c r="G179" s="17">
        <f>IFERROR(IF(A179="","",F179-E179),"")</f>
        <v/>
      </c>
    </row>
    <row r="180">
      <c r="A180" s="2" t="n"/>
      <c r="B180" s="2" t="n"/>
      <c r="C180" s="2" t="n"/>
      <c r="D180" s="2" t="n"/>
      <c r="E180" s="17" t="n"/>
      <c r="F180" s="17" t="n"/>
      <c r="G180" s="17">
        <f>IFERROR(IF(A180="","",F180-E180),"")</f>
        <v/>
      </c>
    </row>
    <row r="181">
      <c r="A181" s="2" t="n"/>
      <c r="B181" s="2" t="n"/>
      <c r="C181" s="2" t="n"/>
      <c r="D181" s="2" t="n"/>
      <c r="E181" s="17" t="n"/>
      <c r="F181" s="17" t="n"/>
      <c r="G181" s="17">
        <f>IFERROR(IF(A181="","",F181-E181),"")</f>
        <v/>
      </c>
    </row>
    <row r="182">
      <c r="A182" s="2" t="n"/>
      <c r="B182" s="2" t="n"/>
      <c r="C182" s="2" t="n"/>
      <c r="D182" s="2" t="n"/>
      <c r="E182" s="17" t="n"/>
      <c r="F182" s="17" t="n"/>
      <c r="G182" s="17">
        <f>IFERROR(IF(A182="","",F182-E182),"")</f>
        <v/>
      </c>
    </row>
    <row r="183">
      <c r="A183" s="2" t="n"/>
      <c r="B183" s="2" t="n"/>
      <c r="C183" s="2" t="n"/>
      <c r="D183" s="2" t="n"/>
      <c r="E183" s="17" t="n"/>
      <c r="F183" s="17" t="n"/>
      <c r="G183" s="17">
        <f>IFERROR(IF(A183="","",F183-E183),"")</f>
        <v/>
      </c>
    </row>
    <row r="184">
      <c r="A184" s="2" t="n"/>
      <c r="B184" s="2" t="n"/>
      <c r="C184" s="2" t="n"/>
      <c r="D184" s="2" t="n"/>
      <c r="E184" s="17" t="n"/>
      <c r="F184" s="17" t="n"/>
      <c r="G184" s="17">
        <f>IFERROR(IF(A184="","",F184-E184),"")</f>
        <v/>
      </c>
    </row>
    <row r="185">
      <c r="A185" s="2" t="n"/>
      <c r="B185" s="2" t="n"/>
      <c r="C185" s="2" t="n"/>
      <c r="D185" s="2" t="n"/>
      <c r="E185" s="17" t="n"/>
      <c r="F185" s="17" t="n"/>
      <c r="G185" s="17">
        <f>IFERROR(IF(A185="","",F185-E185),"")</f>
        <v/>
      </c>
    </row>
    <row r="186">
      <c r="A186" s="2" t="n"/>
      <c r="B186" s="2" t="n"/>
      <c r="C186" s="2" t="n"/>
      <c r="D186" s="2" t="n"/>
      <c r="E186" s="17" t="n"/>
      <c r="F186" s="17" t="n"/>
      <c r="G186" s="17">
        <f>IFERROR(IF(A186="","",F186-E186),"")</f>
        <v/>
      </c>
    </row>
    <row r="187">
      <c r="A187" s="2" t="n"/>
      <c r="B187" s="2" t="n"/>
      <c r="C187" s="2" t="n"/>
      <c r="D187" s="2" t="n"/>
      <c r="E187" s="17" t="n"/>
      <c r="F187" s="17" t="n"/>
      <c r="G187" s="17">
        <f>IFERROR(IF(A187="","",F187-E187),"")</f>
        <v/>
      </c>
    </row>
    <row r="188">
      <c r="A188" s="2" t="n"/>
      <c r="B188" s="2" t="n"/>
      <c r="C188" s="2" t="n"/>
      <c r="D188" s="2" t="n"/>
      <c r="E188" s="17" t="n"/>
      <c r="F188" s="17" t="n"/>
      <c r="G188" s="17">
        <f>IFERROR(IF(A188="","",F188-E188),"")</f>
        <v/>
      </c>
    </row>
    <row r="189">
      <c r="A189" s="2" t="n"/>
      <c r="B189" s="2" t="n"/>
      <c r="C189" s="2" t="n"/>
      <c r="D189" s="2" t="n"/>
      <c r="E189" s="17" t="n"/>
      <c r="F189" s="17" t="n"/>
      <c r="G189" s="17">
        <f>IFERROR(IF(A189="","",F189-E189),"")</f>
        <v/>
      </c>
    </row>
    <row r="190">
      <c r="A190" s="2" t="n"/>
      <c r="B190" s="2" t="n"/>
      <c r="C190" s="2" t="n"/>
      <c r="D190" s="2" t="n"/>
      <c r="E190" s="17" t="n"/>
      <c r="F190" s="17" t="n"/>
      <c r="G190" s="17">
        <f>IFERROR(IF(A190="","",F190-E190),"")</f>
        <v/>
      </c>
    </row>
    <row r="191">
      <c r="A191" s="2" t="n"/>
      <c r="B191" s="2" t="n"/>
      <c r="C191" s="2" t="n"/>
      <c r="D191" s="2" t="n"/>
      <c r="E191" s="17" t="n"/>
      <c r="F191" s="17" t="n"/>
      <c r="G191" s="17">
        <f>IFERROR(IF(A191="","",F191-E191),"")</f>
        <v/>
      </c>
    </row>
    <row r="192">
      <c r="A192" s="2" t="n"/>
      <c r="B192" s="2" t="n"/>
      <c r="C192" s="2" t="n"/>
      <c r="D192" s="2" t="n"/>
      <c r="E192" s="17" t="n"/>
      <c r="F192" s="17" t="n"/>
      <c r="G192" s="17">
        <f>IFERROR(IF(A192="","",F192-E192),"")</f>
        <v/>
      </c>
    </row>
    <row r="193">
      <c r="A193" s="2" t="n"/>
      <c r="B193" s="2" t="n"/>
      <c r="C193" s="2" t="n"/>
      <c r="D193" s="2" t="n"/>
      <c r="E193" s="17" t="n"/>
      <c r="F193" s="17" t="n"/>
      <c r="G193" s="17">
        <f>IFERROR(IF(A193="","",F193-E193),"")</f>
        <v/>
      </c>
    </row>
    <row r="194">
      <c r="A194" s="2" t="n"/>
      <c r="B194" s="2" t="n"/>
      <c r="C194" s="2" t="n"/>
      <c r="D194" s="2" t="n"/>
      <c r="E194" s="17" t="n"/>
      <c r="F194" s="17" t="n"/>
      <c r="G194" s="17">
        <f>IFERROR(IF(A194="","",F194-E194),"")</f>
        <v/>
      </c>
    </row>
    <row r="195">
      <c r="A195" s="2" t="n"/>
      <c r="B195" s="2" t="n"/>
      <c r="C195" s="2" t="n"/>
      <c r="D195" s="2" t="n"/>
      <c r="E195" s="17" t="n"/>
      <c r="F195" s="17" t="n"/>
      <c r="G195" s="17">
        <f>IFERROR(IF(A195="","",F195-E195),"")</f>
        <v/>
      </c>
    </row>
    <row r="196">
      <c r="A196" s="2" t="n"/>
      <c r="B196" s="2" t="n"/>
      <c r="C196" s="2" t="n"/>
      <c r="D196" s="2" t="n"/>
      <c r="E196" s="17" t="n"/>
      <c r="F196" s="17" t="n"/>
      <c r="G196" s="17">
        <f>IFERROR(IF(A196="","",F196-E196),"")</f>
        <v/>
      </c>
    </row>
    <row r="197">
      <c r="A197" s="2" t="n"/>
      <c r="B197" s="2" t="n"/>
      <c r="C197" s="2" t="n"/>
      <c r="D197" s="2" t="n"/>
      <c r="E197" s="17" t="n"/>
      <c r="F197" s="17" t="n"/>
      <c r="G197" s="17">
        <f>IFERROR(IF(A197="","",F197-E197),"")</f>
        <v/>
      </c>
    </row>
    <row r="198">
      <c r="A198" s="2" t="n"/>
      <c r="B198" s="2" t="n"/>
      <c r="C198" s="2" t="n"/>
      <c r="D198" s="2" t="n"/>
      <c r="E198" s="17" t="n"/>
      <c r="F198" s="17" t="n"/>
      <c r="G198" s="17">
        <f>IFERROR(IF(A198="","",F198-E198),"")</f>
        <v/>
      </c>
    </row>
    <row r="199">
      <c r="A199" s="2" t="n"/>
      <c r="B199" s="2" t="n"/>
      <c r="C199" s="2" t="n"/>
      <c r="D199" s="2" t="n"/>
      <c r="E199" s="17" t="n"/>
      <c r="F199" s="17" t="n"/>
      <c r="G199" s="17">
        <f>IFERROR(IF(A199="","",F199-E199),"")</f>
        <v/>
      </c>
    </row>
    <row r="200">
      <c r="A200" s="2" t="n"/>
      <c r="B200" s="2" t="n"/>
      <c r="C200" s="2" t="n"/>
      <c r="D200" s="2" t="n"/>
      <c r="E200" s="17" t="n"/>
      <c r="F200" s="17" t="n"/>
      <c r="G200" s="17">
        <f>IFERROR(IF(A200="","",F200-E200),"")</f>
        <v/>
      </c>
    </row>
    <row r="201">
      <c r="A201" s="2" t="n"/>
      <c r="B201" s="2" t="n"/>
      <c r="C201" s="2" t="n"/>
      <c r="D201" s="2" t="n"/>
      <c r="E201" s="17" t="n"/>
      <c r="F201" s="17" t="n"/>
      <c r="G201" s="17">
        <f>IFERROR(IF(A201="","",F201-E201),"")</f>
        <v/>
      </c>
    </row>
    <row r="202">
      <c r="A202" s="4" t="n"/>
      <c r="B202" s="2" t="n"/>
      <c r="C202" s="2" t="n"/>
      <c r="D202" s="2" t="n"/>
      <c r="E202" s="17" t="n"/>
      <c r="F202" s="17" t="n"/>
      <c r="G202" s="17">
        <f>IFERROR(IF(A202="","",F202-E202),"")</f>
        <v/>
      </c>
    </row>
    <row r="203">
      <c r="A203" s="4" t="n"/>
      <c r="B203" s="2" t="n"/>
      <c r="C203" s="2" t="n"/>
      <c r="D203" s="2" t="n"/>
      <c r="E203" s="17" t="n"/>
      <c r="F203" s="17" t="n"/>
      <c r="G203" s="17">
        <f>IFERROR(IF(A203="","",F203-E203),"")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.76923076923077" customWidth="1" min="1" max="1"/>
    <col width="12.92307692307692" customWidth="1" min="2" max="2"/>
    <col width="16.61538461538462" customWidth="1" min="3" max="3"/>
    <col width="12.92307692307692" customWidth="1" min="4" max="4"/>
    <col width="14.76923076923077" customWidth="1" min="5" max="5"/>
    <col width="12.92307692307692" customWidth="1" min="6" max="6"/>
    <col width="11.07692307692308" customWidth="1" min="7" max="7"/>
  </cols>
  <sheetData>
    <row r="1">
      <c r="A1" s="1" t="inlineStr">
        <is>
          <t>Resume mensuel — Le Yellow Jack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Bilan mois par mois, de Janvier a Decembre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5" t="inlineStr">
        <is>
          <t>Annee analysee :</t>
        </is>
      </c>
      <c r="B4" s="13">
        <f>YEAR(TODAY())</f>
        <v/>
      </c>
      <c r="C4" s="4" t="inlineStr">
        <is>
          <t>(modifie cette cellule si besoin)</t>
        </is>
      </c>
      <c r="D4" s="2" t="n"/>
      <c r="E4" s="2" t="n"/>
      <c r="F4" s="2" t="n"/>
      <c r="G4" s="2" t="n"/>
    </row>
    <row r="5">
      <c r="A5" s="2" t="n"/>
      <c r="B5" s="17" t="n"/>
      <c r="C5" s="17" t="n"/>
      <c r="D5" s="17" t="n"/>
      <c r="E5" s="17" t="n"/>
      <c r="F5" s="17" t="n"/>
      <c r="G5" s="21" t="n"/>
    </row>
    <row r="6">
      <c r="A6" s="11" t="inlineStr">
        <is>
          <t>Mois</t>
        </is>
      </c>
      <c r="B6" s="22" t="inlineStr">
        <is>
          <t>Ventes</t>
        </is>
      </c>
      <c r="C6" s="22" t="inlineStr">
        <is>
          <t>Depenses (achats)</t>
        </is>
      </c>
      <c r="D6" s="22" t="inlineStr">
        <is>
          <t>Salaires</t>
        </is>
      </c>
      <c r="E6" s="22" t="inlineStr">
        <is>
          <t>Total depenses</t>
        </is>
      </c>
      <c r="F6" s="22" t="inlineStr">
        <is>
          <t>Benefice net</t>
        </is>
      </c>
      <c r="G6" s="23" t="inlineStr">
        <is>
          <t>Marge %</t>
        </is>
      </c>
    </row>
    <row r="7">
      <c r="A7" s="5" t="inlineStr">
        <is>
          <t>Janvier</t>
        </is>
      </c>
      <c r="B7" s="17">
        <f>SUMIFS(Ventes!G5:G201,Ventes!A5:A201,"&gt;="&amp;DATE($B$4,1,1),Ventes!A5:A201,"&lt;"&amp;DATE($B$4,1+1,1))</f>
        <v/>
      </c>
      <c r="C7" s="17">
        <f>SUMIFS(Depenses!D5:D201,Depenses!A5:A201,"&gt;="&amp;DATE($B$4,1,1),Depenses!A5:A201,"&lt;"&amp;DATE($B$4,1+1,1))</f>
        <v/>
      </c>
      <c r="D7" s="17">
        <f>SUMIFS(Salaires!F5:F200,Salaires!A5:A200,"&gt;="&amp;DATE($B$4,1,1),Salaires!A5:A200,"&lt;"&amp;DATE($B$4,1+1,1))</f>
        <v/>
      </c>
      <c r="E7" s="17">
        <f>C7+D7</f>
        <v/>
      </c>
      <c r="F7" s="17">
        <f>B7-E7</f>
        <v/>
      </c>
      <c r="G7" s="21">
        <f>IFERROR(F7/B7,0)</f>
        <v/>
      </c>
    </row>
    <row r="8">
      <c r="A8" s="5" t="inlineStr">
        <is>
          <t>Fevrier</t>
        </is>
      </c>
      <c r="B8" s="17">
        <f>SUMIFS(Ventes!G5:G201,Ventes!A5:A201,"&gt;="&amp;DATE($B$4,2,1),Ventes!A5:A201,"&lt;"&amp;DATE($B$4,2+1,1))</f>
        <v/>
      </c>
      <c r="C8" s="17">
        <f>SUMIFS(Depenses!D5:D201,Depenses!A5:A201,"&gt;="&amp;DATE($B$4,2,1),Depenses!A5:A201,"&lt;"&amp;DATE($B$4,2+1,1))</f>
        <v/>
      </c>
      <c r="D8" s="17">
        <f>SUMIFS(Salaires!F5:F200,Salaires!A5:A200,"&gt;="&amp;DATE($B$4,2,1),Salaires!A5:A200,"&lt;"&amp;DATE($B$4,2+1,1))</f>
        <v/>
      </c>
      <c r="E8" s="17">
        <f>C8+D8</f>
        <v/>
      </c>
      <c r="F8" s="17">
        <f>B8-E8</f>
        <v/>
      </c>
      <c r="G8" s="21">
        <f>IFERROR(F8/B8,0)</f>
        <v/>
      </c>
    </row>
    <row r="9">
      <c r="A9" s="5" t="inlineStr">
        <is>
          <t>Mars</t>
        </is>
      </c>
      <c r="B9" s="17">
        <f>SUMIFS(Ventes!G5:G201,Ventes!A5:A201,"&gt;="&amp;DATE($B$4,3,1),Ventes!A5:A201,"&lt;"&amp;DATE($B$4,3+1,1))</f>
        <v/>
      </c>
      <c r="C9" s="17">
        <f>SUMIFS(Depenses!D5:D201,Depenses!A5:A201,"&gt;="&amp;DATE($B$4,3,1),Depenses!A5:A201,"&lt;"&amp;DATE($B$4,3+1,1))</f>
        <v/>
      </c>
      <c r="D9" s="17">
        <f>SUMIFS(Salaires!F5:F200,Salaires!A5:A200,"&gt;="&amp;DATE($B$4,3,1),Salaires!A5:A200,"&lt;"&amp;DATE($B$4,3+1,1))</f>
        <v/>
      </c>
      <c r="E9" s="17">
        <f>C9+D9</f>
        <v/>
      </c>
      <c r="F9" s="17">
        <f>B9-E9</f>
        <v/>
      </c>
      <c r="G9" s="21">
        <f>IFERROR(F9/B9,0)</f>
        <v/>
      </c>
    </row>
    <row r="10">
      <c r="A10" s="5" t="inlineStr">
        <is>
          <t>Avril</t>
        </is>
      </c>
      <c r="B10" s="17">
        <f>SUMIFS(Ventes!G5:G201,Ventes!A5:A201,"&gt;="&amp;DATE($B$4,4,1),Ventes!A5:A201,"&lt;"&amp;DATE($B$4,4+1,1))</f>
        <v/>
      </c>
      <c r="C10" s="17">
        <f>SUMIFS(Depenses!D5:D201,Depenses!A5:A201,"&gt;="&amp;DATE($B$4,4,1),Depenses!A5:A201,"&lt;"&amp;DATE($B$4,4+1,1))</f>
        <v/>
      </c>
      <c r="D10" s="17">
        <f>SUMIFS(Salaires!F5:F200,Salaires!A5:A200,"&gt;="&amp;DATE($B$4,4,1),Salaires!A5:A200,"&lt;"&amp;DATE($B$4,4+1,1))</f>
        <v/>
      </c>
      <c r="E10" s="17">
        <f>C10+D10</f>
        <v/>
      </c>
      <c r="F10" s="17">
        <f>B10-E10</f>
        <v/>
      </c>
      <c r="G10" s="21">
        <f>IFERROR(F10/B10,0)</f>
        <v/>
      </c>
    </row>
    <row r="11">
      <c r="A11" s="5" t="inlineStr">
        <is>
          <t>Mai</t>
        </is>
      </c>
      <c r="B11" s="17">
        <f>SUMIFS(Ventes!G5:G201,Ventes!A5:A201,"&gt;="&amp;DATE($B$4,5,1),Ventes!A5:A201,"&lt;"&amp;DATE($B$4,5+1,1))</f>
        <v/>
      </c>
      <c r="C11" s="17">
        <f>SUMIFS(Depenses!D5:D201,Depenses!A5:A201,"&gt;="&amp;DATE($B$4,5,1),Depenses!A5:A201,"&lt;"&amp;DATE($B$4,5+1,1))</f>
        <v/>
      </c>
      <c r="D11" s="17">
        <f>SUMIFS(Salaires!F5:F200,Salaires!A5:A200,"&gt;="&amp;DATE($B$4,5,1),Salaires!A5:A200,"&lt;"&amp;DATE($B$4,5+1,1))</f>
        <v/>
      </c>
      <c r="E11" s="17">
        <f>C11+D11</f>
        <v/>
      </c>
      <c r="F11" s="17">
        <f>B11-E11</f>
        <v/>
      </c>
      <c r="G11" s="21">
        <f>IFERROR(F11/B11,0)</f>
        <v/>
      </c>
    </row>
    <row r="12">
      <c r="A12" s="5" t="inlineStr">
        <is>
          <t>Juin</t>
        </is>
      </c>
      <c r="B12" s="17">
        <f>SUMIFS(Ventes!G5:G201,Ventes!A5:A201,"&gt;="&amp;DATE($B$4,6,1),Ventes!A5:A201,"&lt;"&amp;DATE($B$4,6+1,1))</f>
        <v/>
      </c>
      <c r="C12" s="17">
        <f>SUMIFS(Depenses!D5:D201,Depenses!A5:A201,"&gt;="&amp;DATE($B$4,6,1),Depenses!A5:A201,"&lt;"&amp;DATE($B$4,6+1,1))</f>
        <v/>
      </c>
      <c r="D12" s="17">
        <f>SUMIFS(Salaires!F5:F200,Salaires!A5:A200,"&gt;="&amp;DATE($B$4,6,1),Salaires!A5:A200,"&lt;"&amp;DATE($B$4,6+1,1))</f>
        <v/>
      </c>
      <c r="E12" s="17">
        <f>C12+D12</f>
        <v/>
      </c>
      <c r="F12" s="17">
        <f>B12-E12</f>
        <v/>
      </c>
      <c r="G12" s="21">
        <f>IFERROR(F12/B12,0)</f>
        <v/>
      </c>
    </row>
    <row r="13">
      <c r="A13" s="5" t="inlineStr">
        <is>
          <t>Juillet</t>
        </is>
      </c>
      <c r="B13" s="17">
        <f>SUMIFS(Ventes!G5:G201,Ventes!A5:A201,"&gt;="&amp;DATE($B$4,7,1),Ventes!A5:A201,"&lt;"&amp;DATE($B$4,7+1,1))</f>
        <v/>
      </c>
      <c r="C13" s="17">
        <f>SUMIFS(Depenses!D5:D201,Depenses!A5:A201,"&gt;="&amp;DATE($B$4,7,1),Depenses!A5:A201,"&lt;"&amp;DATE($B$4,7+1,1))</f>
        <v/>
      </c>
      <c r="D13" s="17">
        <f>SUMIFS(Salaires!F5:F200,Salaires!A5:A200,"&gt;="&amp;DATE($B$4,7,1),Salaires!A5:A200,"&lt;"&amp;DATE($B$4,7+1,1))</f>
        <v/>
      </c>
      <c r="E13" s="17">
        <f>C13+D13</f>
        <v/>
      </c>
      <c r="F13" s="17">
        <f>B13-E13</f>
        <v/>
      </c>
      <c r="G13" s="21">
        <f>IFERROR(F13/B13,0)</f>
        <v/>
      </c>
    </row>
    <row r="14">
      <c r="A14" s="5" t="inlineStr">
        <is>
          <t>Aout</t>
        </is>
      </c>
      <c r="B14" s="17">
        <f>SUMIFS(Ventes!G5:G201,Ventes!A5:A201,"&gt;="&amp;DATE($B$4,8,1),Ventes!A5:A201,"&lt;"&amp;DATE($B$4,8+1,1))</f>
        <v/>
      </c>
      <c r="C14" s="17">
        <f>SUMIFS(Depenses!D5:D201,Depenses!A5:A201,"&gt;="&amp;DATE($B$4,8,1),Depenses!A5:A201,"&lt;"&amp;DATE($B$4,8+1,1))</f>
        <v/>
      </c>
      <c r="D14" s="17">
        <f>SUMIFS(Salaires!F5:F200,Salaires!A5:A200,"&gt;="&amp;DATE($B$4,8,1),Salaires!A5:A200,"&lt;"&amp;DATE($B$4,8+1,1))</f>
        <v/>
      </c>
      <c r="E14" s="17">
        <f>C14+D14</f>
        <v/>
      </c>
      <c r="F14" s="17">
        <f>B14-E14</f>
        <v/>
      </c>
      <c r="G14" s="21">
        <f>IFERROR(F14/B14,0)</f>
        <v/>
      </c>
    </row>
    <row r="15">
      <c r="A15" s="5" t="inlineStr">
        <is>
          <t>Septembre</t>
        </is>
      </c>
      <c r="B15" s="17">
        <f>SUMIFS(Ventes!G5:G201,Ventes!A5:A201,"&gt;="&amp;DATE($B$4,9,1),Ventes!A5:A201,"&lt;"&amp;DATE($B$4,9+1,1))</f>
        <v/>
      </c>
      <c r="C15" s="17">
        <f>SUMIFS(Depenses!D5:D201,Depenses!A5:A201,"&gt;="&amp;DATE($B$4,9,1),Depenses!A5:A201,"&lt;"&amp;DATE($B$4,9+1,1))</f>
        <v/>
      </c>
      <c r="D15" s="17">
        <f>SUMIFS(Salaires!F5:F200,Salaires!A5:A200,"&gt;="&amp;DATE($B$4,9,1),Salaires!A5:A200,"&lt;"&amp;DATE($B$4,9+1,1))</f>
        <v/>
      </c>
      <c r="E15" s="17">
        <f>C15+D15</f>
        <v/>
      </c>
      <c r="F15" s="17">
        <f>B15-E15</f>
        <v/>
      </c>
      <c r="G15" s="21">
        <f>IFERROR(F15/B15,0)</f>
        <v/>
      </c>
    </row>
    <row r="16">
      <c r="A16" s="5" t="inlineStr">
        <is>
          <t>Octobre</t>
        </is>
      </c>
      <c r="B16" s="17">
        <f>SUMIFS(Ventes!G5:G201,Ventes!A5:A201,"&gt;="&amp;DATE($B$4,10,1),Ventes!A5:A201,"&lt;"&amp;DATE($B$4,10+1,1))</f>
        <v/>
      </c>
      <c r="C16" s="17">
        <f>SUMIFS(Depenses!D5:D201,Depenses!A5:A201,"&gt;="&amp;DATE($B$4,10,1),Depenses!A5:A201,"&lt;"&amp;DATE($B$4,10+1,1))</f>
        <v/>
      </c>
      <c r="D16" s="17">
        <f>SUMIFS(Salaires!F5:F200,Salaires!A5:A200,"&gt;="&amp;DATE($B$4,10,1),Salaires!A5:A200,"&lt;"&amp;DATE($B$4,10+1,1))</f>
        <v/>
      </c>
      <c r="E16" s="17">
        <f>C16+D16</f>
        <v/>
      </c>
      <c r="F16" s="17">
        <f>B16-E16</f>
        <v/>
      </c>
      <c r="G16" s="21">
        <f>IFERROR(F16/B16,0)</f>
        <v/>
      </c>
    </row>
    <row r="17">
      <c r="A17" s="5" t="inlineStr">
        <is>
          <t>Novembre</t>
        </is>
      </c>
      <c r="B17" s="17">
        <f>SUMIFS(Ventes!G5:G201,Ventes!A5:A201,"&gt;="&amp;DATE($B$4,11,1),Ventes!A5:A201,"&lt;"&amp;DATE($B$4,11+1,1))</f>
        <v/>
      </c>
      <c r="C17" s="17">
        <f>SUMIFS(Depenses!D5:D201,Depenses!A5:A201,"&gt;="&amp;DATE($B$4,11,1),Depenses!A5:A201,"&lt;"&amp;DATE($B$4,11+1,1))</f>
        <v/>
      </c>
      <c r="D17" s="17">
        <f>SUMIFS(Salaires!F5:F200,Salaires!A5:A200,"&gt;="&amp;DATE($B$4,11,1),Salaires!A5:A200,"&lt;"&amp;DATE($B$4,11+1,1))</f>
        <v/>
      </c>
      <c r="E17" s="17">
        <f>C17+D17</f>
        <v/>
      </c>
      <c r="F17" s="17">
        <f>B17-E17</f>
        <v/>
      </c>
      <c r="G17" s="21">
        <f>IFERROR(F17/B17,0)</f>
        <v/>
      </c>
    </row>
    <row r="18">
      <c r="A18" s="5" t="inlineStr">
        <is>
          <t>Decembre</t>
        </is>
      </c>
      <c r="B18" s="17">
        <f>SUMIFS(Ventes!G5:G201,Ventes!A5:A201,"&gt;="&amp;DATE($B$4,12,1),Ventes!A5:A201,"&lt;"&amp;DATE($B$4,12+1,1))</f>
        <v/>
      </c>
      <c r="C18" s="17">
        <f>SUMIFS(Depenses!D5:D201,Depenses!A5:A201,"&gt;="&amp;DATE($B$4,12,1),Depenses!A5:A201,"&lt;"&amp;DATE($B$4,12+1,1))</f>
        <v/>
      </c>
      <c r="D18" s="17">
        <f>SUMIFS(Salaires!F5:F200,Salaires!A5:A200,"&gt;="&amp;DATE($B$4,12,1),Salaires!A5:A200,"&lt;"&amp;DATE($B$4,12+1,1))</f>
        <v/>
      </c>
      <c r="E18" s="17">
        <f>C18+D18</f>
        <v/>
      </c>
      <c r="F18" s="17">
        <f>B18-E18</f>
        <v/>
      </c>
      <c r="G18" s="21">
        <f>IFERROR(F18/B18,0)</f>
        <v/>
      </c>
    </row>
    <row r="19">
      <c r="A19" s="19" t="inlineStr">
        <is>
          <t>TOTAL ANNEE</t>
        </is>
      </c>
      <c r="B19" s="18">
        <f>SUM(B7:B18)</f>
        <v/>
      </c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24">
        <f>IFERROR(F19/B19,0)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2026-10-01T12:16:13Z</dcterms:created>
  <dcterms:modified xsi:type="dcterms:W3CDTF">2026-10-01T12:16:17Z</dcterms:modified>
</cp:coreProperties>
</file>