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4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omments/comment5.xml" ContentType="application/vnd.openxmlformats-officedocument.spreadsheetml.comments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Vente" sheetId="2" state="visible" r:id="rId2"/>
    <sheet name="Historique Semaine" sheetId="3" state="visible" r:id="rId3"/>
    <sheet name="Statistique" sheetId="4" state="visible" r:id="rId4"/>
    <sheet name="Archive" sheetId="5" state="visible" r:id="rId5"/>
    <sheet name="Salaires" sheetId="6" state="visible" r:id="rId6"/>
    <sheet name="Production" sheetId="7" state="visible" r:id="rId7"/>
    <sheet name="Stock" sheetId="8" state="visible" r:id="rId8"/>
    <sheet name="Coffre" sheetId="9" state="visible" r:id="rId9"/>
    <sheet name="Effectif" sheetId="10" state="visible" r:id="rId10"/>
    <sheet name="Catalogue" sheetId="11" state="visible" r:id="rId11"/>
    <sheet name="Recettes" sheetId="12" state="visible" r:id="rId12"/>
    <sheet name="Matières" sheetId="13" state="visible" r:id="rId13"/>
    <sheet name="Paramètres" sheetId="14" state="visible" r:id="rId14"/>
  </sheets>
  <definedNames/>
  <calcPr calcId="124519" fullCalcOnLoad="1"/>
</workbook>
</file>

<file path=xl/styles.xml><?xml version="1.0" encoding="utf-8"?>
<styleSheet xmlns="http://schemas.openxmlformats.org/spreadsheetml/2006/main">
  <numFmts count="6">
    <numFmt numFmtId="164" formatCode="#,##0.00 &quot;$&quot;;-#,##0.00 &quot;$&quot;;&quot;0 $&quot;"/>
    <numFmt numFmtId="165" formatCode="0;-0;"/>
    <numFmt numFmtId="166" formatCode="#,##0 &quot;$&quot;;-#,##0 &quot;$&quot;;&quot;0 $&quot;"/>
    <numFmt numFmtId="167" formatCode="dd/mm/yyyy"/>
    <numFmt numFmtId="168" formatCode="0.##"/>
    <numFmt numFmtId="169" formatCode="0;-0;0"/>
  </numFmts>
  <fonts count="14">
    <font>
      <name val="Calibri"/>
      <family val="2"/>
      <color theme="1"/>
      <sz val="11"/>
      <scheme val="minor"/>
    </font>
    <font>
      <name val="Arial"/>
      <b val="1"/>
      <color rgb="00F1C232"/>
      <sz val="18"/>
    </font>
    <font>
      <name val="Arial"/>
      <b val="1"/>
      <color rgb="00F1C232"/>
      <sz val="11"/>
    </font>
    <font>
      <name val="Arial"/>
      <color rgb="00444444"/>
      <sz val="9"/>
    </font>
    <font>
      <name val="Arial"/>
      <b val="1"/>
      <color rgb="00000000"/>
      <sz val="11"/>
    </font>
    <font>
      <name val="Arial"/>
      <color rgb="00000000"/>
      <sz val="11"/>
    </font>
    <font>
      <name val="Arial"/>
      <b val="1"/>
      <color rgb="00000000"/>
      <sz val="12"/>
    </font>
    <font>
      <name val="Arial"/>
      <b val="1"/>
      <color rgb="00000000"/>
      <sz val="28"/>
    </font>
    <font>
      <name val="Arial"/>
      <color rgb="00C00000"/>
      <sz val="9"/>
    </font>
    <font>
      <name val="Arial"/>
      <b val="1"/>
      <color rgb="00F1C232"/>
      <sz val="32"/>
    </font>
    <font>
      <name val="Arial"/>
      <color rgb="00444444"/>
      <sz val="11"/>
    </font>
    <font>
      <name val="Arial"/>
      <b val="1"/>
      <color rgb="00C00000"/>
      <sz val="10"/>
    </font>
    <font>
      <name val="Arial"/>
      <b val="1"/>
      <color rgb="00000000"/>
      <sz val="14"/>
    </font>
    <font>
      <name val="Arial"/>
      <color rgb="00000000"/>
      <sz val="10"/>
    </font>
  </fonts>
  <fills count="29">
    <fill>
      <patternFill/>
    </fill>
    <fill>
      <patternFill patternType="gray125"/>
    </fill>
    <fill>
      <patternFill patternType="solid"/>
    </fill>
    <fill>
      <patternFill patternType="solid">
        <fgColor rgb="00CFE2F3"/>
      </patternFill>
    </fill>
    <fill>
      <patternFill patternType="solid">
        <fgColor rgb="009FC5E8"/>
      </patternFill>
    </fill>
    <fill>
      <patternFill patternType="solid">
        <fgColor rgb="00E6B8AF"/>
      </patternFill>
    </fill>
    <fill>
      <patternFill patternType="solid">
        <fgColor rgb="00FFFFFF"/>
      </patternFill>
    </fill>
    <fill>
      <patternFill patternType="solid">
        <fgColor rgb="00D9D9D9"/>
      </patternFill>
    </fill>
    <fill>
      <patternFill patternType="solid">
        <fgColor rgb="0034A853"/>
      </patternFill>
    </fill>
    <fill>
      <patternFill patternType="solid">
        <fgColor rgb="0046BDC6"/>
      </patternFill>
    </fill>
    <fill>
      <patternFill patternType="solid">
        <fgColor rgb="00EA4335"/>
      </patternFill>
    </fill>
    <fill>
      <patternFill patternType="solid">
        <fgColor rgb="00FF6D01"/>
      </patternFill>
    </fill>
    <fill>
      <patternFill patternType="solid">
        <fgColor rgb="00F1C232"/>
      </patternFill>
    </fill>
    <fill>
      <patternFill patternType="solid">
        <fgColor rgb="0093C47D"/>
      </patternFill>
    </fill>
    <fill>
      <patternFill patternType="solid">
        <fgColor rgb="00D9EAD3"/>
      </patternFill>
    </fill>
    <fill>
      <patternFill patternType="solid">
        <fgColor rgb="00FF0000"/>
      </patternFill>
    </fill>
    <fill>
      <patternFill patternType="solid">
        <fgColor rgb="00FF00FF"/>
      </patternFill>
    </fill>
    <fill>
      <patternFill patternType="solid">
        <fgColor rgb="00FF9900"/>
      </patternFill>
    </fill>
    <fill>
      <patternFill patternType="solid">
        <fgColor rgb="0000FFFF"/>
      </patternFill>
    </fill>
    <fill>
      <patternFill patternType="solid">
        <fgColor rgb="00FFFF00"/>
      </patternFill>
    </fill>
    <fill>
      <patternFill patternType="solid">
        <fgColor rgb="0000FF00"/>
      </patternFill>
    </fill>
    <fill>
      <patternFill patternType="solid">
        <fgColor rgb="00EA9999"/>
      </patternFill>
    </fill>
    <fill>
      <patternFill patternType="solid">
        <fgColor rgb="00F9CB9C"/>
      </patternFill>
    </fill>
    <fill>
      <patternFill patternType="solid">
        <fgColor rgb="00B6D7A8"/>
      </patternFill>
    </fill>
    <fill>
      <patternFill patternType="solid">
        <fgColor rgb="00A2C4C9"/>
      </patternFill>
    </fill>
    <fill>
      <patternFill patternType="solid">
        <fgColor rgb="00A4C2F4"/>
      </patternFill>
    </fill>
    <fill>
      <patternFill patternType="solid">
        <fgColor rgb="00D5A6BD"/>
      </patternFill>
    </fill>
    <fill>
      <patternFill patternType="solid">
        <fgColor rgb="00F4CCCC"/>
      </patternFill>
    </fill>
    <fill>
      <patternFill patternType="solid">
        <fgColor rgb="00EAF4E4"/>
      </patternFill>
    </fill>
  </fills>
  <borders count="8">
    <border>
      <left/>
      <right/>
      <top/>
      <bottom/>
      <diagonal/>
    </border>
    <border>
      <left style="medium">
        <color rgb="00000000"/>
      </left>
      <right style="medium">
        <color rgb="00000000"/>
      </right>
      <top style="medium">
        <color rgb="00000000"/>
      </top>
      <bottom style="medium">
        <color rgb="00000000"/>
      </bottom>
    </border>
    <border>
      <left style="thin">
        <color rgb="007F7F7F"/>
      </left>
      <right style="thin">
        <color rgb="007F7F7F"/>
      </right>
      <top style="thin">
        <color rgb="007F7F7F"/>
      </top>
      <bottom style="thin">
        <color rgb="007F7F7F"/>
      </bottom>
    </border>
    <border>
      <left style="medium">
        <color rgb="00000000"/>
      </left>
      <right style="thin">
        <color rgb="007F7F7F"/>
      </right>
      <top style="thin">
        <color rgb="007F7F7F"/>
      </top>
      <bottom style="thin">
        <color rgb="007F7F7F"/>
      </bottom>
    </border>
    <border>
      <left style="medium">
        <color rgb="00000000"/>
      </left>
      <right style="thin">
        <color rgb="007F7F7F"/>
      </right>
      <top style="thin">
        <color rgb="007F7F7F"/>
      </top>
      <bottom style="medium">
        <color rgb="00000000"/>
      </bottom>
    </border>
    <border>
      <left style="thin">
        <color rgb="007F7F7F"/>
      </left>
      <right style="thin">
        <color rgb="007F7F7F"/>
      </right>
      <top style="thin">
        <color rgb="007F7F7F"/>
      </top>
      <bottom style="medium">
        <color rgb="00000000"/>
      </bottom>
    </border>
    <border>
      <left style="thin">
        <color rgb="007F7F7F"/>
      </left>
      <right style="medium">
        <color rgb="00000000"/>
      </right>
      <top style="thin">
        <color rgb="007F7F7F"/>
      </top>
      <bottom style="thin">
        <color rgb="007F7F7F"/>
      </bottom>
    </border>
    <border>
      <left style="thin">
        <color rgb="007F7F7F"/>
      </left>
      <right style="medium">
        <color rgb="00000000"/>
      </right>
      <top style="thin">
        <color rgb="007F7F7F"/>
      </top>
      <bottom style="medium">
        <color rgb="00000000"/>
      </bottom>
    </border>
  </borders>
  <cellStyleXfs count="1">
    <xf numFmtId="0" fontId="0" fillId="0" borderId="0"/>
  </cellStyleXfs>
  <cellXfs count="93">
    <xf numFmtId="0" fontId="0" fillId="0" borderId="0" pivotButton="0" quotePrefix="0" xfId="0"/>
    <xf numFmtId="0" fontId="0" fillId="2" borderId="0" pivotButton="0" quotePrefix="0" xfId="0"/>
    <xf numFmtId="0" fontId="0" fillId="3" borderId="0" pivotButton="0" quotePrefix="0" xfId="0"/>
    <xf numFmtId="0" fontId="9" fillId="2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 wrapText="1"/>
    </xf>
    <xf numFmtId="0" fontId="12" fillId="6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13" fillId="6" borderId="1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6" fillId="4" borderId="1" applyAlignment="1" pivotButton="0" quotePrefix="0" xfId="0">
      <alignment horizontal="center" vertical="center" wrapText="1"/>
    </xf>
    <xf numFmtId="0" fontId="4" fillId="7" borderId="1" applyAlignment="1" pivotButton="0" quotePrefix="0" xfId="0">
      <alignment horizontal="center" vertical="center" wrapText="1"/>
    </xf>
    <xf numFmtId="0" fontId="4" fillId="6" borderId="1" applyAlignment="1" pivotButton="0" quotePrefix="0" xfId="0">
      <alignment horizontal="center" vertical="center" wrapText="1"/>
    </xf>
    <xf numFmtId="167" fontId="4" fillId="6" borderId="1" applyAlignment="1" pivotButton="0" quotePrefix="0" xfId="0">
      <alignment horizontal="center" vertical="center" wrapText="1"/>
    </xf>
    <xf numFmtId="164" fontId="4" fillId="7" borderId="1" applyAlignment="1" pivotButton="0" quotePrefix="0" xfId="0">
      <alignment horizontal="center" vertical="center" wrapText="1"/>
    </xf>
    <xf numFmtId="1" fontId="4" fillId="6" borderId="1" applyAlignment="1" pivotButton="0" quotePrefix="0" xfId="0">
      <alignment horizontal="center" vertical="center" wrapText="1"/>
    </xf>
    <xf numFmtId="164" fontId="4" fillId="14" borderId="1" applyAlignment="1" pivotButton="0" quotePrefix="0" xfId="0">
      <alignment horizontal="center" vertical="center" wrapText="1"/>
    </xf>
    <xf numFmtId="1" fontId="4" fillId="7" borderId="1" applyAlignment="1" pivotButton="0" quotePrefix="0" xfId="0">
      <alignment horizontal="center" vertical="center" wrapText="1"/>
    </xf>
    <xf numFmtId="0" fontId="7" fillId="6" borderId="1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164" fontId="4" fillId="12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7" borderId="2" applyAlignment="1" pivotButton="0" quotePrefix="0" xfId="0">
      <alignment horizontal="center" vertical="center" wrapText="1"/>
    </xf>
    <xf numFmtId="167" fontId="5" fillId="6" borderId="2" applyAlignment="1" pivotButton="0" quotePrefix="0" xfId="0">
      <alignment horizontal="center" vertical="center" wrapText="1"/>
    </xf>
    <xf numFmtId="0" fontId="5" fillId="6" borderId="2" applyAlignment="1" pivotButton="0" quotePrefix="0" xfId="0">
      <alignment horizontal="center" vertical="center" wrapText="1"/>
    </xf>
    <xf numFmtId="0" fontId="5" fillId="3" borderId="2" applyAlignment="1" pivotButton="0" quotePrefix="0" xfId="0">
      <alignment horizontal="center" vertical="center" wrapText="1"/>
    </xf>
    <xf numFmtId="1" fontId="5" fillId="6" borderId="2" applyAlignment="1" pivotButton="0" quotePrefix="0" xfId="0">
      <alignment horizontal="center" vertical="center" wrapText="1"/>
    </xf>
    <xf numFmtId="164" fontId="4" fillId="14" borderId="2" applyAlignment="1" pivotButton="0" quotePrefix="0" xfId="0">
      <alignment horizontal="center" vertical="center" wrapText="1"/>
    </xf>
    <xf numFmtId="164" fontId="4" fillId="3" borderId="2" applyAlignment="1" pivotButton="0" quotePrefix="0" xfId="0">
      <alignment horizontal="center" vertical="center" wrapText="1"/>
    </xf>
    <xf numFmtId="164" fontId="5" fillId="3" borderId="2" applyAlignment="1" pivotButton="0" quotePrefix="0" xfId="0">
      <alignment horizontal="center" vertical="center" wrapText="1"/>
    </xf>
    <xf numFmtId="164" fontId="4" fillId="21" borderId="1" applyAlignment="1" pivotButton="0" quotePrefix="0" xfId="0">
      <alignment horizontal="center" vertical="center" wrapText="1"/>
    </xf>
    <xf numFmtId="0" fontId="4" fillId="13" borderId="1" applyAlignment="1" pivotButton="0" quotePrefix="0" xfId="0">
      <alignment horizontal="center" vertical="center" wrapText="1"/>
    </xf>
    <xf numFmtId="1" fontId="4" fillId="22" borderId="1" applyAlignment="1" pivotButton="0" quotePrefix="0" xfId="0">
      <alignment horizontal="center" vertical="center" wrapText="1"/>
    </xf>
    <xf numFmtId="164" fontId="4" fillId="6" borderId="1" applyAlignment="1" pivotButton="0" quotePrefix="0" xfId="0">
      <alignment horizontal="center" vertical="center" wrapText="1"/>
    </xf>
    <xf numFmtId="164" fontId="4" fillId="23" borderId="1" applyAlignment="1" pivotButton="0" quotePrefix="0" xfId="0">
      <alignment horizontal="center" vertical="center" wrapText="1"/>
    </xf>
    <xf numFmtId="164" fontId="4" fillId="24" borderId="1" applyAlignment="1" pivotButton="0" quotePrefix="0" xfId="0">
      <alignment horizontal="center" vertical="center" wrapText="1"/>
    </xf>
    <xf numFmtId="164" fontId="4" fillId="25" borderId="1" applyAlignment="1" pivotButton="0" quotePrefix="0" xfId="0">
      <alignment horizontal="center" vertical="center" wrapText="1"/>
    </xf>
    <xf numFmtId="164" fontId="4" fillId="26" borderId="1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1" fontId="4" fillId="27" borderId="1" applyAlignment="1" pivotButton="0" quotePrefix="0" xfId="0">
      <alignment horizontal="center" vertical="center" wrapText="1"/>
    </xf>
    <xf numFmtId="0" fontId="4" fillId="6" borderId="3" applyAlignment="1" pivotButton="0" quotePrefix="0" xfId="0">
      <alignment horizontal="center" vertical="center" wrapText="1"/>
    </xf>
    <xf numFmtId="0" fontId="4" fillId="6" borderId="2" applyAlignment="1" pivotButton="0" quotePrefix="0" xfId="0">
      <alignment horizontal="center" vertical="center" wrapText="1"/>
    </xf>
    <xf numFmtId="166" fontId="4" fillId="6" borderId="2" applyAlignment="1" pivotButton="0" quotePrefix="0" xfId="0">
      <alignment horizontal="center" vertical="center" wrapText="1"/>
    </xf>
    <xf numFmtId="1" fontId="4" fillId="6" borderId="6" applyAlignment="1" pivotButton="0" quotePrefix="0" xfId="0">
      <alignment horizontal="center" vertical="center" wrapText="1"/>
    </xf>
    <xf numFmtId="166" fontId="4" fillId="6" borderId="6" applyAlignment="1" pivotButton="0" quotePrefix="0" xfId="0">
      <alignment horizontal="center" vertical="center" wrapText="1"/>
    </xf>
    <xf numFmtId="0" fontId="4" fillId="28" borderId="3" applyAlignment="1" pivotButton="0" quotePrefix="0" xfId="0">
      <alignment horizontal="center" vertical="center" wrapText="1"/>
    </xf>
    <xf numFmtId="0" fontId="4" fillId="28" borderId="2" applyAlignment="1" pivotButton="0" quotePrefix="0" xfId="0">
      <alignment horizontal="center" vertical="center" wrapText="1"/>
    </xf>
    <xf numFmtId="166" fontId="4" fillId="28" borderId="2" applyAlignment="1" pivotButton="0" quotePrefix="0" xfId="0">
      <alignment horizontal="center" vertical="center" wrapText="1"/>
    </xf>
    <xf numFmtId="1" fontId="4" fillId="28" borderId="6" applyAlignment="1" pivotButton="0" quotePrefix="0" xfId="0">
      <alignment horizontal="center" vertical="center" wrapText="1"/>
    </xf>
    <xf numFmtId="166" fontId="4" fillId="28" borderId="6" applyAlignment="1" pivotButton="0" quotePrefix="0" xfId="0">
      <alignment horizontal="center" vertical="center" wrapText="1"/>
    </xf>
    <xf numFmtId="0" fontId="4" fillId="6" borderId="4" applyAlignment="1" pivotButton="0" quotePrefix="0" xfId="0">
      <alignment horizontal="center" vertical="center" wrapText="1"/>
    </xf>
    <xf numFmtId="0" fontId="4" fillId="6" borderId="5" applyAlignment="1" pivotButton="0" quotePrefix="0" xfId="0">
      <alignment horizontal="center" vertical="center" wrapText="1"/>
    </xf>
    <xf numFmtId="166" fontId="4" fillId="6" borderId="5" applyAlignment="1" pivotButton="0" quotePrefix="0" xfId="0">
      <alignment horizontal="center" vertical="center" wrapText="1"/>
    </xf>
    <xf numFmtId="1" fontId="4" fillId="6" borderId="7" applyAlignment="1" pivotButton="0" quotePrefix="0" xfId="0">
      <alignment horizontal="center" vertical="center" wrapText="1"/>
    </xf>
    <xf numFmtId="166" fontId="4" fillId="6" borderId="7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 wrapText="1"/>
    </xf>
    <xf numFmtId="166" fontId="5" fillId="6" borderId="2" applyAlignment="1" pivotButton="0" quotePrefix="0" xfId="0">
      <alignment horizontal="center" vertical="center" wrapText="1"/>
    </xf>
    <xf numFmtId="1" fontId="5" fillId="28" borderId="2" applyAlignment="1" pivotButton="0" quotePrefix="0" xfId="0">
      <alignment horizontal="center" vertical="center" wrapText="1"/>
    </xf>
    <xf numFmtId="166" fontId="5" fillId="28" borderId="2" applyAlignment="1" pivotButton="0" quotePrefix="0" xfId="0">
      <alignment horizontal="center" vertical="center" wrapText="1"/>
    </xf>
    <xf numFmtId="167" fontId="5" fillId="3" borderId="2" applyAlignment="1" pivotButton="0" quotePrefix="0" xfId="0">
      <alignment horizontal="center" vertical="center" wrapText="1"/>
    </xf>
    <xf numFmtId="1" fontId="5" fillId="3" borderId="2" applyAlignment="1" pivotButton="0" quotePrefix="0" xfId="0">
      <alignment horizontal="center" vertical="center" wrapText="1"/>
    </xf>
    <xf numFmtId="168" fontId="5" fillId="6" borderId="2" applyAlignment="1" pivotButton="0" quotePrefix="0" xfId="0">
      <alignment horizontal="center" vertical="center" wrapText="1"/>
    </xf>
    <xf numFmtId="164" fontId="5" fillId="7" borderId="2" applyAlignment="1" pivotButton="0" quotePrefix="0" xfId="0">
      <alignment horizontal="center" vertical="center" wrapText="1"/>
    </xf>
    <xf numFmtId="1" fontId="4" fillId="14" borderId="2" applyAlignment="1" pivotButton="0" quotePrefix="0" xfId="0">
      <alignment horizontal="center" vertical="center" wrapText="1"/>
    </xf>
    <xf numFmtId="0" fontId="4" fillId="5" borderId="2" applyAlignment="1" pivotButton="0" quotePrefix="0" xfId="0">
      <alignment horizontal="center" vertical="center" wrapText="1"/>
    </xf>
    <xf numFmtId="1" fontId="5" fillId="7" borderId="2" applyAlignment="1" pivotButton="0" quotePrefix="0" xfId="0">
      <alignment horizontal="center" vertical="center" wrapText="1"/>
    </xf>
    <xf numFmtId="169" fontId="5" fillId="7" borderId="2" applyAlignment="1" pivotButton="0" quotePrefix="0" xfId="0">
      <alignment horizontal="center" vertical="center" wrapText="1"/>
    </xf>
    <xf numFmtId="0" fontId="4" fillId="12" borderId="1" applyAlignment="1" pivotButton="0" quotePrefix="0" xfId="0">
      <alignment horizontal="center" vertical="center" wrapText="1"/>
    </xf>
    <xf numFmtId="169" fontId="4" fillId="12" borderId="1" applyAlignment="1" pivotButton="0" quotePrefix="0" xfId="0">
      <alignment horizontal="center" vertical="center" wrapText="1"/>
    </xf>
    <xf numFmtId="169" fontId="5" fillId="6" borderId="2" applyAlignment="1" pivotButton="0" quotePrefix="0" xfId="0">
      <alignment horizontal="center" vertical="center" wrapText="1"/>
    </xf>
    <xf numFmtId="0" fontId="5" fillId="7" borderId="2" applyAlignment="1" pivotButton="0" quotePrefix="0" xfId="0">
      <alignment horizontal="center" vertical="center" wrapText="1"/>
    </xf>
    <xf numFmtId="164" fontId="5" fillId="6" borderId="2" applyAlignment="1" pivotButton="0" quotePrefix="0" xfId="0">
      <alignment horizontal="center" vertical="center" wrapText="1"/>
    </xf>
    <xf numFmtId="164" fontId="4" fillId="7" borderId="2" applyAlignment="1" pivotButton="0" quotePrefix="0" xfId="0">
      <alignment horizontal="center" vertical="center" wrapText="1"/>
    </xf>
    <xf numFmtId="49" fontId="5" fillId="6" borderId="2" applyAlignment="1" pivotButton="0" quotePrefix="0" xfId="0">
      <alignment horizontal="center" vertical="center" wrapText="1"/>
    </xf>
    <xf numFmtId="0" fontId="4" fillId="8" borderId="1" applyAlignment="1" pivotButton="0" quotePrefix="0" xfId="0">
      <alignment horizontal="center" vertical="center" wrapText="1"/>
    </xf>
    <xf numFmtId="0" fontId="4" fillId="9" borderId="1" applyAlignment="1" pivotButton="0" quotePrefix="0" xfId="0">
      <alignment horizontal="center" vertical="center" wrapText="1"/>
    </xf>
    <xf numFmtId="0" fontId="4" fillId="10" borderId="1" applyAlignment="1" pivotButton="0" quotePrefix="0" xfId="0">
      <alignment horizontal="center" vertical="center" wrapText="1"/>
    </xf>
    <xf numFmtId="0" fontId="4" fillId="11" borderId="1" applyAlignment="1" pivotButton="0" quotePrefix="0" xfId="0">
      <alignment horizontal="center" vertical="center" wrapText="1"/>
    </xf>
    <xf numFmtId="164" fontId="5" fillId="5" borderId="2" applyAlignment="1" pivotButton="0" quotePrefix="0" xfId="0">
      <alignment horizontal="center" vertical="center" wrapText="1"/>
    </xf>
    <xf numFmtId="164" fontId="4" fillId="6" borderId="2" applyAlignment="1" pivotButton="0" quotePrefix="0" xfId="0">
      <alignment horizontal="center" vertical="center" wrapText="1"/>
    </xf>
    <xf numFmtId="164" fontId="5" fillId="14" borderId="2" applyAlignment="1" pivotButton="0" quotePrefix="0" xfId="0">
      <alignment horizontal="center" vertical="center" wrapText="1"/>
    </xf>
    <xf numFmtId="10" fontId="5" fillId="5" borderId="2" applyAlignment="1" pivotButton="0" quotePrefix="0" xfId="0">
      <alignment horizontal="center" vertical="center" wrapText="1"/>
    </xf>
    <xf numFmtId="165" fontId="5" fillId="6" borderId="2" applyAlignment="1" pivotButton="0" quotePrefix="0" xfId="0">
      <alignment horizontal="center" vertical="center" wrapText="1"/>
    </xf>
    <xf numFmtId="0" fontId="4" fillId="15" borderId="2" applyAlignment="1" pivotButton="0" quotePrefix="0" xfId="0">
      <alignment horizontal="center" vertical="center" wrapText="1"/>
    </xf>
    <xf numFmtId="9" fontId="5" fillId="6" borderId="2" applyAlignment="1" pivotButton="0" quotePrefix="0" xfId="0">
      <alignment horizontal="center" vertical="center" wrapText="1"/>
    </xf>
    <xf numFmtId="0" fontId="4" fillId="16" borderId="2" applyAlignment="1" pivotButton="0" quotePrefix="0" xfId="0">
      <alignment horizontal="center" vertical="center" wrapText="1"/>
    </xf>
    <xf numFmtId="0" fontId="4" fillId="17" borderId="2" applyAlignment="1" pivotButton="0" quotePrefix="0" xfId="0">
      <alignment horizontal="center" vertical="center" wrapText="1"/>
    </xf>
    <xf numFmtId="0" fontId="4" fillId="18" borderId="2" applyAlignment="1" pivotButton="0" quotePrefix="0" xfId="0">
      <alignment horizontal="center" vertical="center" wrapText="1"/>
    </xf>
    <xf numFmtId="0" fontId="4" fillId="19" borderId="2" applyAlignment="1" pivotButton="0" quotePrefix="0" xfId="0">
      <alignment horizontal="center" vertical="center" wrapText="1"/>
    </xf>
    <xf numFmtId="0" fontId="4" fillId="20" borderId="2" applyAlignment="1" pivotButton="0" quotePrefix="0" xfId="0">
      <alignment horizontal="center" vertical="center" wrapText="1"/>
    </xf>
    <xf numFmtId="166" fontId="4" fillId="7" borderId="2" applyAlignment="1" pivotButton="0" quotePrefix="0" xfId="0">
      <alignment horizontal="center" vertical="center" wrapText="1"/>
    </xf>
  </cellXfs>
  <cellStyles count="1">
    <cellStyle name="Normal" xfId="0" builtinId="0" hidden="0"/>
  </cellStyles>
  <dxfs count="11">
    <dxf>
      <font>
        <name val="Arial"/>
        <b val="1"/>
        <color rgb="00C00000"/>
      </font>
      <fill>
        <patternFill patternType="solid">
          <fgColor rgb="00F4CCCC"/>
        </patternFill>
      </fill>
    </dxf>
    <dxf>
      <fill>
        <patternFill patternType="solid">
          <fgColor rgb="00FF0000"/>
        </patternFill>
      </fill>
    </dxf>
    <dxf>
      <fill>
        <patternFill patternType="solid">
          <fgColor rgb="00FF00FF"/>
        </patternFill>
      </fill>
    </dxf>
    <dxf>
      <fill>
        <patternFill patternType="solid">
          <fgColor rgb="00FF9900"/>
        </patternFill>
      </fill>
    </dxf>
    <dxf>
      <fill>
        <patternFill patternType="solid">
          <fgColor rgb="0000FFFF"/>
        </patternFill>
      </fill>
    </dxf>
    <dxf>
      <fill>
        <patternFill patternType="solid">
          <fgColor rgb="00FFFF00"/>
        </patternFill>
      </fill>
    </dxf>
    <dxf>
      <fill>
        <patternFill patternType="solid">
          <fgColor rgb="0000FF00"/>
        </patternFill>
      </fill>
    </dxf>
    <dxf>
      <font>
        <name val="Arial"/>
        <b val="1"/>
        <color rgb="00C00000"/>
      </font>
    </dxf>
    <dxf>
      <fill>
        <patternFill patternType="solid">
          <fgColor rgb="00F4CCCC"/>
        </patternFill>
      </fill>
    </dxf>
    <dxf>
      <fill>
        <patternFill patternType="solid">
          <fgColor rgb="00B6D7A8"/>
        </patternFill>
      </fill>
    </dxf>
    <dxf>
      <font>
        <name val="Arial"/>
        <b val="1"/>
        <color rgb="0038761D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Id="rIdVBA1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Compta</author>
  </authors>
  <commentList>
    <comment ref="K16" authorId="0" shapeId="0">
      <text>
        <t>Devient rouge si la quantité demandée dépasse le stock.</t>
      </text>
    </comment>
    <comment ref="I19" authorId="0" shapeId="0">
      <text>
        <t>Sélectionne vendeur, produit, quantité et client puis appuie sur Suppr.</t>
      </text>
    </comment>
  </commentList>
</comments>
</file>

<file path=xl/comments/comment2.xml><?xml version="1.0" encoding="utf-8"?>
<comments xmlns="http://schemas.openxmlformats.org/spreadsheetml/2006/main">
  <authors>
    <author>Compta</author>
  </authors>
  <commentList>
    <comment ref="D7" authorId="0" shapeId="0">
      <text>
        <t>Ligne d'exemple : efface les cases blanches pour la vider.</t>
      </text>
    </comment>
  </commentList>
</comments>
</file>

<file path=xl/comments/comment3.xml><?xml version="1.0" encoding="utf-8"?>
<comments xmlns="http://schemas.openxmlformats.org/spreadsheetml/2006/main">
  <authors>
    <author>Compta</author>
  </authors>
  <commentList>
    <comment ref="K6" authorId="0" shapeId="0">
      <text>
        <t>Aujourd'hui par défaut. Tape une autre date pour voir une autre journée.</t>
      </text>
    </comment>
  </commentList>
</comments>
</file>

<file path=xl/comments/comment4.xml><?xml version="1.0" encoding="utf-8"?>
<comments xmlns="http://schemas.openxmlformats.org/spreadsheetml/2006/main">
  <authors>
    <author>Compta</author>
  </authors>
  <commentList>
    <comment ref="C7" authorId="0" shapeId="0">
      <text>
        <t>Stock présent au moment où tu commences à utiliser le fichier.</t>
      </text>
    </comment>
    <comment ref="H7" authorId="0" shapeId="0">
      <text>
        <t>Seuil d'alerte par défaut : 10 unités. Modifie-le pour chaque produit.</t>
      </text>
    </comment>
  </commentList>
</comments>
</file>

<file path=xl/comments/comment5.xml><?xml version="1.0" encoding="utf-8"?>
<comments xmlns="http://schemas.openxmlformats.org/spreadsheetml/2006/main">
  <authors>
    <author>Compta</author>
  </authors>
  <commentList>
    <comment ref="C7" authorId="0" shapeId="0">
      <text>
        <t>Exemple : remplace par tes vrais employés.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commentsDrawing3.vml" Id="anysvml" 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commentsDrawing4.vml" Id="anysvml" 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commentsDrawing5.vml" Id="anysvml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L32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4" customWidth="1" min="2" max="2"/>
    <col width="26" customWidth="1" min="3" max="3"/>
    <col width="4" customWidth="1" min="4" max="4"/>
    <col width="26" customWidth="1" min="5" max="5"/>
    <col width="4" customWidth="1" min="6" max="6"/>
    <col width="26" customWidth="1" min="7" max="7"/>
    <col width="4" customWidth="1" min="8" max="8"/>
    <col width="26" customWidth="1" min="9" max="9"/>
    <col width="4" customWidth="1" min="10" max="10"/>
    <col width="4" customWidth="1" min="11" max="11"/>
    <col width="4" customWidth="1" min="12" max="12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</row>
    <row r="2">
      <c r="A2" s="1" t="n"/>
      <c r="B2" s="2" t="n"/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1" t="n"/>
    </row>
    <row r="3">
      <c r="A3" s="1" t="n"/>
      <c r="B3" s="2" t="n"/>
      <c r="C3" s="3" t="inlineStr">
        <is>
          <t>🍺  YELLOW JAKE  🍺</t>
        </is>
      </c>
      <c r="J3" s="2" t="n"/>
      <c r="K3" s="2" t="n"/>
      <c r="L3" s="1" t="n"/>
    </row>
    <row r="4">
      <c r="A4" s="1" t="n"/>
      <c r="B4" s="2" t="n"/>
      <c r="J4" s="2" t="n"/>
      <c r="K4" s="2" t="n"/>
      <c r="L4" s="1" t="n"/>
    </row>
    <row r="5">
      <c r="A5" s="1" t="n"/>
      <c r="B5" s="2" t="n"/>
      <c r="J5" s="2" t="n"/>
      <c r="K5" s="2" t="n"/>
      <c r="L5" s="1" t="n"/>
    </row>
    <row r="6">
      <c r="A6" s="1" t="n"/>
      <c r="B6" s="2" t="n"/>
      <c r="C6" s="4" t="inlineStr">
        <is>
          <t>Comptabilité du bar — un clic sur un bouton ouvre l'onglet</t>
        </is>
      </c>
      <c r="J6" s="2" t="n"/>
      <c r="K6" s="2" t="n"/>
      <c r="L6" s="1" t="n"/>
    </row>
    <row r="7">
      <c r="A7" s="1" t="n"/>
      <c r="B7" s="2" t="n"/>
      <c r="C7" s="5" t="inlineStr">
        <is>
          <t>⚠️ À l'ouverture, clique sur « Activer le contenu » (bandeau jaune) pour que les boutons fonctionnent.</t>
        </is>
      </c>
      <c r="J7" s="2" t="n"/>
      <c r="K7" s="2" t="n"/>
      <c r="L7" s="1" t="n"/>
    </row>
    <row r="8">
      <c r="A8" s="1" t="n"/>
      <c r="B8" s="2" t="n"/>
      <c r="C8" s="2" t="n"/>
      <c r="D8" s="2" t="n"/>
      <c r="E8" s="2" t="n"/>
      <c r="F8" s="2" t="n"/>
      <c r="G8" s="2" t="n"/>
      <c r="H8" s="2" t="n"/>
      <c r="I8" s="2" t="n"/>
      <c r="J8" s="2" t="n"/>
      <c r="K8" s="2" t="n"/>
      <c r="L8" s="1" t="n"/>
    </row>
    <row r="9">
      <c r="A9" s="1" t="n"/>
      <c r="B9" s="2" t="n"/>
      <c r="C9" s="6" t="inlineStr">
        <is>
          <t>💵 VENTE</t>
        </is>
      </c>
      <c r="D9" s="2" t="n"/>
      <c r="E9" s="6" t="inlineStr">
        <is>
          <t>🧾 HISTORIQUE</t>
        </is>
      </c>
      <c r="F9" s="2" t="n"/>
      <c r="G9" s="6" t="inlineStr">
        <is>
          <t>📊 STATISTIQUE</t>
        </is>
      </c>
      <c r="H9" s="2" t="n"/>
      <c r="I9" s="6" t="inlineStr">
        <is>
          <t>🗄️ ARCHIVE</t>
        </is>
      </c>
      <c r="J9" s="2" t="n"/>
      <c r="K9" s="2" t="n"/>
      <c r="L9" s="1" t="n"/>
    </row>
    <row r="10">
      <c r="A10" s="1" t="n"/>
      <c r="B10" s="2" t="n"/>
      <c r="C10" s="7" t="n"/>
      <c r="D10" s="2" t="n"/>
      <c r="E10" s="7" t="n"/>
      <c r="F10" s="2" t="n"/>
      <c r="G10" s="7" t="n"/>
      <c r="H10" s="2" t="n"/>
      <c r="I10" s="7" t="n"/>
      <c r="J10" s="2" t="n"/>
      <c r="K10" s="2" t="n"/>
      <c r="L10" s="1" t="n"/>
    </row>
    <row r="11">
      <c r="A11" s="1" t="n"/>
      <c r="B11" s="2" t="n"/>
      <c r="C11" s="7" t="n"/>
      <c r="D11" s="2" t="n"/>
      <c r="E11" s="7" t="n"/>
      <c r="F11" s="2" t="n"/>
      <c r="G11" s="7" t="n"/>
      <c r="H11" s="2" t="n"/>
      <c r="I11" s="7" t="n"/>
      <c r="J11" s="2" t="n"/>
      <c r="K11" s="2" t="n"/>
      <c r="L11" s="1" t="n"/>
    </row>
    <row r="12">
      <c r="A12" s="1" t="n"/>
      <c r="B12" s="2" t="n"/>
      <c r="C12" s="2" t="n"/>
      <c r="D12" s="2" t="n"/>
      <c r="E12" s="2" t="n"/>
      <c r="F12" s="2" t="n"/>
      <c r="G12" s="2" t="n"/>
      <c r="H12" s="2" t="n"/>
      <c r="I12" s="2" t="n"/>
      <c r="J12" s="2" t="n"/>
      <c r="K12" s="2" t="n"/>
      <c r="L12" s="1" t="n"/>
    </row>
    <row r="13">
      <c r="A13" s="1" t="n"/>
      <c r="B13" s="2" t="n"/>
      <c r="C13" s="6" t="inlineStr">
        <is>
          <t>🏭 PRODUCTION</t>
        </is>
      </c>
      <c r="D13" s="2" t="n"/>
      <c r="E13" s="6" t="inlineStr">
        <is>
          <t>📦 STOCK</t>
        </is>
      </c>
      <c r="F13" s="2" t="n"/>
      <c r="G13" s="6" t="inlineStr">
        <is>
          <t>👷 SALAIRES</t>
        </is>
      </c>
      <c r="H13" s="2" t="n"/>
      <c r="I13" s="6" t="inlineStr">
        <is>
          <t>🏦 COFFRE</t>
        </is>
      </c>
      <c r="J13" s="2" t="n"/>
      <c r="K13" s="2" t="n"/>
      <c r="L13" s="1" t="n"/>
    </row>
    <row r="14">
      <c r="A14" s="1" t="n"/>
      <c r="B14" s="2" t="n"/>
      <c r="C14" s="7" t="n"/>
      <c r="D14" s="2" t="n"/>
      <c r="E14" s="7" t="n"/>
      <c r="F14" s="2" t="n"/>
      <c r="G14" s="7" t="n"/>
      <c r="H14" s="2" t="n"/>
      <c r="I14" s="7" t="n"/>
      <c r="J14" s="2" t="n"/>
      <c r="K14" s="2" t="n"/>
      <c r="L14" s="1" t="n"/>
    </row>
    <row r="15">
      <c r="A15" s="1" t="n"/>
      <c r="B15" s="2" t="n"/>
      <c r="C15" s="7" t="n"/>
      <c r="D15" s="2" t="n"/>
      <c r="E15" s="7" t="n"/>
      <c r="F15" s="2" t="n"/>
      <c r="G15" s="7" t="n"/>
      <c r="H15" s="2" t="n"/>
      <c r="I15" s="7" t="n"/>
      <c r="J15" s="2" t="n"/>
      <c r="K15" s="2" t="n"/>
      <c r="L15" s="1" t="n"/>
    </row>
    <row r="16">
      <c r="A16" s="1" t="n"/>
      <c r="B16" s="2" t="n"/>
      <c r="C16" s="2" t="n"/>
      <c r="D16" s="2" t="n"/>
      <c r="E16" s="2" t="n"/>
      <c r="F16" s="2" t="n"/>
      <c r="G16" s="2" t="n"/>
      <c r="H16" s="2" t="n"/>
      <c r="I16" s="2" t="n"/>
      <c r="J16" s="2" t="n"/>
      <c r="K16" s="2" t="n"/>
      <c r="L16" s="1" t="n"/>
    </row>
    <row r="17">
      <c r="A17" s="1" t="n"/>
      <c r="B17" s="2" t="n"/>
      <c r="C17" s="6" t="inlineStr">
        <is>
          <t>👥 EFFECTIF</t>
        </is>
      </c>
      <c r="D17" s="2" t="n"/>
      <c r="E17" s="6" t="inlineStr">
        <is>
          <t>📖 CATALOGUE</t>
        </is>
      </c>
      <c r="F17" s="2" t="n"/>
      <c r="G17" s="6" t="inlineStr">
        <is>
          <t>🧪 RECETTES</t>
        </is>
      </c>
      <c r="H17" s="2" t="n"/>
      <c r="I17" s="6" t="inlineStr">
        <is>
          <t>🧺 MATIÈRES</t>
        </is>
      </c>
      <c r="J17" s="2" t="n"/>
      <c r="K17" s="2" t="n"/>
      <c r="L17" s="1" t="n"/>
    </row>
    <row r="18">
      <c r="A18" s="1" t="n"/>
      <c r="B18" s="2" t="n"/>
      <c r="C18" s="7" t="n"/>
      <c r="D18" s="2" t="n"/>
      <c r="E18" s="7" t="n"/>
      <c r="F18" s="2" t="n"/>
      <c r="G18" s="7" t="n"/>
      <c r="H18" s="2" t="n"/>
      <c r="I18" s="7" t="n"/>
      <c r="J18" s="2" t="n"/>
      <c r="K18" s="2" t="n"/>
      <c r="L18" s="1" t="n"/>
    </row>
    <row r="19">
      <c r="A19" s="1" t="n"/>
      <c r="B19" s="2" t="n"/>
      <c r="C19" s="7" t="n"/>
      <c r="D19" s="2" t="n"/>
      <c r="E19" s="7" t="n"/>
      <c r="F19" s="2" t="n"/>
      <c r="G19" s="7" t="n"/>
      <c r="H19" s="2" t="n"/>
      <c r="I19" s="7" t="n"/>
      <c r="J19" s="2" t="n"/>
      <c r="K19" s="2" t="n"/>
      <c r="L19" s="1" t="n"/>
    </row>
    <row r="20">
      <c r="A20" s="1" t="n"/>
      <c r="B20" s="2" t="n"/>
      <c r="C20" s="2" t="n"/>
      <c r="D20" s="2" t="n"/>
      <c r="E20" s="2" t="n"/>
      <c r="F20" s="2" t="n"/>
      <c r="G20" s="2" t="n"/>
      <c r="H20" s="2" t="n"/>
      <c r="I20" s="2" t="n"/>
      <c r="J20" s="2" t="n"/>
      <c r="K20" s="2" t="n"/>
      <c r="L20" s="1" t="n"/>
    </row>
    <row r="21">
      <c r="A21" s="1" t="n"/>
      <c r="B21" s="2" t="n"/>
      <c r="C21" s="6" t="inlineStr">
        <is>
          <t>⚙️ PARAMÈTRES</t>
        </is>
      </c>
      <c r="D21" s="2" t="n"/>
      <c r="E21" s="2" t="n"/>
      <c r="F21" s="2" t="n"/>
      <c r="G21" s="2" t="n"/>
      <c r="H21" s="2" t="n"/>
      <c r="I21" s="2" t="n"/>
      <c r="J21" s="2" t="n"/>
      <c r="K21" s="2" t="n"/>
      <c r="L21" s="1" t="n"/>
    </row>
    <row r="22">
      <c r="A22" s="1" t="n"/>
      <c r="B22" s="2" t="n"/>
      <c r="C22" s="7" t="n"/>
      <c r="D22" s="2" t="n"/>
      <c r="E22" s="2" t="n"/>
      <c r="F22" s="2" t="n"/>
      <c r="G22" s="2" t="n"/>
      <c r="H22" s="2" t="n"/>
      <c r="I22" s="2" t="n"/>
      <c r="J22" s="2" t="n"/>
      <c r="K22" s="2" t="n"/>
      <c r="L22" s="1" t="n"/>
    </row>
    <row r="23">
      <c r="A23" s="1" t="n"/>
      <c r="B23" s="2" t="n"/>
      <c r="C23" s="7" t="n"/>
      <c r="D23" s="2" t="n"/>
      <c r="E23" s="2" t="n"/>
      <c r="F23" s="2" t="n"/>
      <c r="G23" s="2" t="n"/>
      <c r="H23" s="2" t="n"/>
      <c r="I23" s="2" t="n"/>
      <c r="J23" s="2" t="n"/>
      <c r="K23" s="2" t="n"/>
      <c r="L23" s="1" t="n"/>
    </row>
    <row r="24">
      <c r="A24" s="1" t="n"/>
      <c r="B24" s="2" t="n"/>
      <c r="C24" s="2" t="n"/>
      <c r="D24" s="2" t="n"/>
      <c r="E24" s="2" t="n"/>
      <c r="F24" s="2" t="n"/>
      <c r="G24" s="2" t="n"/>
      <c r="H24" s="2" t="n"/>
      <c r="I24" s="2" t="n"/>
      <c r="J24" s="2" t="n"/>
      <c r="K24" s="2" t="n"/>
      <c r="L24" s="1" t="n"/>
    </row>
    <row r="25">
      <c r="A25" s="1" t="n"/>
      <c r="B25" s="2" t="n"/>
      <c r="C25" s="2" t="n"/>
      <c r="D25" s="2" t="n"/>
      <c r="E25" s="2" t="n"/>
      <c r="F25" s="2" t="n"/>
      <c r="G25" s="2" t="n"/>
      <c r="H25" s="2" t="n"/>
      <c r="I25" s="2" t="n"/>
      <c r="J25" s="2" t="n"/>
      <c r="K25" s="2" t="n"/>
      <c r="L25" s="1" t="n"/>
    </row>
    <row r="26">
      <c r="A26" s="1" t="n"/>
      <c r="B26" s="2" t="n"/>
      <c r="C26" s="8" t="inlineStr">
        <is>
          <t>Mode d'emploi :
1. Effectif : ajoute tes employés et leur grade.   2. Paramètres : vérifie les % de prime et la taxe.
3. Vente : choisis vendeur, produit, quantité puis clique sur FACTURER (tout est enregistré).   4. Salaires et Coffre : heures et mouvements d'argent.
Stock : note chaque craft dans Production, les ventes se déduisent toutes seules.   5. Statistique : bilan automatique.   6. Fin de semaine : bouton ARCHIVER LA SEMAINE dans l'Historique.
Légende : cases blanches = à remplir, cases grises / couleur = calcul automatique.</t>
        </is>
      </c>
      <c r="J26" s="2" t="n"/>
      <c r="K26" s="2" t="n"/>
      <c r="L26" s="1" t="n"/>
    </row>
    <row r="27">
      <c r="A27" s="1" t="n"/>
      <c r="B27" s="2" t="n"/>
      <c r="J27" s="2" t="n"/>
      <c r="K27" s="2" t="n"/>
      <c r="L27" s="1" t="n"/>
    </row>
    <row r="28">
      <c r="A28" s="1" t="n"/>
      <c r="B28" s="2" t="n"/>
      <c r="J28" s="2" t="n"/>
      <c r="K28" s="2" t="n"/>
      <c r="L28" s="1" t="n"/>
    </row>
    <row r="29">
      <c r="A29" s="1" t="n"/>
      <c r="B29" s="2" t="n"/>
      <c r="J29" s="2" t="n"/>
      <c r="K29" s="2" t="n"/>
      <c r="L29" s="1" t="n"/>
    </row>
    <row r="30">
      <c r="A30" s="1" t="n"/>
      <c r="B30" s="2" t="n"/>
      <c r="J30" s="2" t="n"/>
      <c r="K30" s="2" t="n"/>
      <c r="L30" s="1" t="n"/>
    </row>
    <row r="31">
      <c r="A31" s="1" t="n"/>
      <c r="B31" s="2" t="n"/>
      <c r="C31" s="2" t="n"/>
      <c r="D31" s="2" t="n"/>
      <c r="E31" s="2" t="n"/>
      <c r="F31" s="2" t="n"/>
      <c r="G31" s="2" t="n"/>
      <c r="H31" s="2" t="n"/>
      <c r="I31" s="2" t="n"/>
      <c r="J31" s="2" t="n"/>
      <c r="K31" s="2" t="n"/>
      <c r="L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</row>
  </sheetData>
  <mergeCells count="17">
    <mergeCell ref="E13:E15"/>
    <mergeCell ref="C13:C15"/>
    <mergeCell ref="I13:I15"/>
    <mergeCell ref="C21:C23"/>
    <mergeCell ref="G9:G11"/>
    <mergeCell ref="E17:E19"/>
    <mergeCell ref="I17:I19"/>
    <mergeCell ref="G17:G19"/>
    <mergeCell ref="C26:I30"/>
    <mergeCell ref="C17:C19"/>
    <mergeCell ref="C3:I5"/>
    <mergeCell ref="G13:G15"/>
    <mergeCell ref="C6:I6"/>
    <mergeCell ref="C7:I7"/>
    <mergeCell ref="I9:I11"/>
    <mergeCell ref="C9:C11"/>
    <mergeCell ref="E9:E1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Feuil2">
    <outlinePr summaryBelow="1" summaryRight="1"/>
    <pageSetUpPr/>
  </sheetPr>
  <dimension ref="A1:M26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6" customWidth="1" min="2" max="2"/>
    <col width="20" customWidth="1" min="3" max="3"/>
    <col width="6" customWidth="1" min="4" max="4"/>
    <col width="28" customWidth="1" min="5" max="5"/>
    <col width="6" customWidth="1" min="6" max="6"/>
    <col width="28" customWidth="1" min="7" max="7"/>
    <col width="6" customWidth="1" min="8" max="8"/>
    <col width="26" customWidth="1" min="9" max="9"/>
    <col width="6" customWidth="1" min="10" max="10"/>
    <col width="26" customWidth="1" min="11" max="11"/>
    <col width="6" customWidth="1" min="12" max="12"/>
    <col width="5" customWidth="1" min="13" max="13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 ht="40" customHeight="1">
      <c r="A2" s="1" t="n"/>
      <c r="B2" s="9" t="inlineStr">
        <is>
          <t>YELLOW JAKE — VENTE</t>
        </is>
      </c>
      <c r="M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10" t="inlineStr">
        <is>
          <t>⬅ Accueil</t>
        </is>
      </c>
      <c r="L3" s="2" t="n"/>
      <c r="M3" s="1" t="n"/>
    </row>
    <row r="4">
      <c r="A4" s="1" t="n"/>
      <c r="B4" s="2" t="n"/>
      <c r="C4" s="11" t="inlineStr">
        <is>
          <t>Cases blanches = à remplir / choisir dans la liste. Cases grises = calcul automatique.</t>
        </is>
      </c>
      <c r="L4" s="2" t="n"/>
      <c r="M4" s="1" t="n"/>
    </row>
    <row r="5">
      <c r="A5" s="1" t="n"/>
      <c r="B5" s="2" t="n"/>
      <c r="C5" s="2" t="n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1" t="n"/>
    </row>
    <row r="6">
      <c r="A6" s="1" t="n"/>
      <c r="B6" s="2" t="n"/>
      <c r="C6" s="12" t="inlineStr">
        <is>
          <t>Catégorie</t>
        </is>
      </c>
      <c r="D6" s="2" t="n"/>
      <c r="E6" s="12" t="inlineStr">
        <is>
          <t>Nom du vendeur</t>
        </is>
      </c>
      <c r="F6" s="2" t="n"/>
      <c r="G6" s="12" t="inlineStr">
        <is>
          <t>Produit</t>
        </is>
      </c>
      <c r="H6" s="2" t="n"/>
      <c r="I6" s="12" t="inlineStr">
        <is>
          <t>Date de vente</t>
        </is>
      </c>
      <c r="J6" s="2" t="n"/>
      <c r="K6" s="12" t="inlineStr">
        <is>
          <t>Bénéfice</t>
        </is>
      </c>
      <c r="L6" s="2" t="n"/>
      <c r="M6" s="1" t="n"/>
    </row>
    <row r="7" ht="24" customHeight="1">
      <c r="A7" s="1" t="n"/>
      <c r="B7" s="2" t="n"/>
      <c r="C7" s="13">
        <f>IF(G7="","",IFERROR(INDEX(Catalogue!$C$7:$C$19,MATCH(G7,Catalogue!$B$7:$B$19,0)),"#N/A"))</f>
        <v/>
      </c>
      <c r="D7" s="2" t="n"/>
      <c r="E7" s="14" t="n"/>
      <c r="F7" s="2" t="n"/>
      <c r="G7" s="14" t="n"/>
      <c r="H7" s="2" t="n"/>
      <c r="I7" s="15">
        <f>TODAY()</f>
        <v/>
      </c>
      <c r="J7" s="2" t="n"/>
      <c r="K7" s="16">
        <f>IF(ISNUMBER(G12),G12-I12,"")</f>
        <v/>
      </c>
      <c r="L7" s="2" t="n"/>
      <c r="M7" s="1" t="n"/>
    </row>
    <row r="8">
      <c r="A8" s="1" t="n"/>
      <c r="B8" s="2" t="n"/>
      <c r="C8" s="2" t="n"/>
      <c r="D8" s="2" t="n"/>
      <c r="E8" s="2" t="n"/>
      <c r="F8" s="2" t="n"/>
      <c r="G8" s="2" t="n"/>
      <c r="H8" s="2" t="n"/>
      <c r="I8" s="2" t="n"/>
      <c r="J8" s="2" t="n"/>
      <c r="K8" s="2" t="n"/>
      <c r="L8" s="2" t="n"/>
      <c r="M8" s="1" t="n"/>
    </row>
    <row r="9">
      <c r="A9" s="1" t="n"/>
      <c r="B9" s="2" t="n"/>
      <c r="C9" s="2" t="n"/>
      <c r="D9" s="2" t="n"/>
      <c r="E9" s="2" t="n"/>
      <c r="F9" s="2" t="n"/>
      <c r="G9" s="2" t="n"/>
      <c r="H9" s="2" t="n"/>
      <c r="I9" s="2" t="n"/>
      <c r="J9" s="2" t="n"/>
      <c r="K9" s="2" t="n"/>
      <c r="L9" s="2" t="n"/>
      <c r="M9" s="1" t="n"/>
    </row>
    <row r="10">
      <c r="A10" s="1" t="n"/>
      <c r="B10" s="2" t="n"/>
      <c r="C10" s="2" t="n"/>
      <c r="D10" s="2" t="n"/>
      <c r="E10" s="2" t="n"/>
      <c r="F10" s="2" t="n"/>
      <c r="G10" s="2" t="n"/>
      <c r="H10" s="2" t="n"/>
      <c r="I10" s="2" t="n"/>
      <c r="J10" s="2" t="n"/>
      <c r="K10" s="2" t="n"/>
      <c r="L10" s="2" t="n"/>
      <c r="M10" s="1" t="n"/>
    </row>
    <row r="11">
      <c r="A11" s="1" t="n"/>
      <c r="B11" s="2" t="n"/>
      <c r="C11" s="12" t="inlineStr">
        <is>
          <t>Quantité</t>
        </is>
      </c>
      <c r="D11" s="2" t="n"/>
      <c r="E11" s="12" t="inlineStr">
        <is>
          <t>Nom client</t>
        </is>
      </c>
      <c r="F11" s="2" t="n"/>
      <c r="G11" s="12" t="inlineStr">
        <is>
          <t>Prix de vente</t>
        </is>
      </c>
      <c r="H11" s="2" t="n"/>
      <c r="I11" s="12" t="inlineStr">
        <is>
          <t>Coût des matières</t>
        </is>
      </c>
      <c r="J11" s="2" t="n"/>
      <c r="K11" s="12" t="inlineStr">
        <is>
          <t>Grade</t>
        </is>
      </c>
      <c r="L11" s="2" t="n"/>
      <c r="M11" s="1" t="n"/>
    </row>
    <row r="12" ht="24" customHeight="1">
      <c r="A12" s="1" t="n"/>
      <c r="B12" s="2" t="n"/>
      <c r="C12" s="17" t="n"/>
      <c r="D12" s="2" t="n"/>
      <c r="E12" s="14" t="n"/>
      <c r="F12" s="2" t="n"/>
      <c r="G12" s="18">
        <f>IF(OR(G7="",C12=""),"",IFERROR(C12*INDEX(Catalogue!$G$7:$G$19,MATCH(G7,Catalogue!$B$7:$B$19,0)),"#N/A"))</f>
        <v/>
      </c>
      <c r="H12" s="2" t="n"/>
      <c r="I12" s="16">
        <f>IF(OR(G7="",C12=""),"",IFERROR(C12*INDEX(Catalogue!$F$7:$F$19,MATCH(G7,Catalogue!$B$7:$B$19,0)),"#N/A"))</f>
        <v/>
      </c>
      <c r="J12" s="2" t="n"/>
      <c r="K12" s="13">
        <f>IF(E7="","",IFERROR(INDEX(Effectif!$D$7:$D$21,MATCH(E7,Effectif!$C$7:$C$21,0)),"#N/A"))</f>
        <v/>
      </c>
      <c r="L12" s="2" t="n"/>
      <c r="M12" s="1" t="n"/>
    </row>
    <row r="13">
      <c r="A13" s="1" t="n"/>
      <c r="B13" s="2" t="n"/>
      <c r="C13" s="2" t="n"/>
      <c r="D13" s="2" t="n"/>
      <c r="E13" s="2" t="n"/>
      <c r="F13" s="2" t="n"/>
      <c r="G13" s="2" t="n"/>
      <c r="H13" s="2" t="n"/>
      <c r="I13" s="2" t="n"/>
      <c r="J13" s="2" t="n"/>
      <c r="K13" s="2" t="n"/>
      <c r="L13" s="2" t="n"/>
      <c r="M13" s="1" t="n"/>
    </row>
    <row r="14">
      <c r="A14" s="1" t="n"/>
      <c r="B14" s="2" t="n"/>
      <c r="C14" s="2" t="n"/>
      <c r="D14" s="2" t="n"/>
      <c r="E14" s="2" t="n"/>
      <c r="F14" s="2" t="n"/>
      <c r="G14" s="2" t="n"/>
      <c r="H14" s="2" t="n"/>
      <c r="I14" s="2" t="n"/>
      <c r="J14" s="2" t="n"/>
      <c r="K14" s="2" t="n"/>
      <c r="L14" s="2" t="n"/>
      <c r="M14" s="1" t="n"/>
    </row>
    <row r="15">
      <c r="A15" s="1" t="n"/>
      <c r="B15" s="2" t="n"/>
      <c r="C15" s="2" t="n"/>
      <c r="D15" s="2" t="n"/>
      <c r="E15" s="2" t="n"/>
      <c r="F15" s="2" t="n"/>
      <c r="G15" s="2" t="n"/>
      <c r="H15" s="2" t="n"/>
      <c r="I15" s="2" t="n"/>
      <c r="J15" s="2" t="n"/>
      <c r="K15" s="2" t="n"/>
      <c r="L15" s="2" t="n"/>
      <c r="M15" s="1" t="n"/>
    </row>
    <row r="16">
      <c r="A16" s="1" t="n"/>
      <c r="B16" s="2" t="n"/>
      <c r="C16" s="2" t="n"/>
      <c r="D16" s="2" t="n"/>
      <c r="E16" s="2" t="n"/>
      <c r="F16" s="2" t="n"/>
      <c r="G16" s="12" t="inlineStr">
        <is>
          <t>Prime</t>
        </is>
      </c>
      <c r="H16" s="2" t="n"/>
      <c r="I16" s="2" t="n"/>
      <c r="J16" s="2" t="n"/>
      <c r="K16" s="12" t="inlineStr">
        <is>
          <t>Stock disponible</t>
        </is>
      </c>
      <c r="L16" s="2" t="n"/>
      <c r="M16" s="1" t="n"/>
    </row>
    <row r="17" ht="24" customHeight="1">
      <c r="A17" s="1" t="n"/>
      <c r="B17" s="2" t="n"/>
      <c r="C17" s="2" t="n"/>
      <c r="D17" s="2" t="n"/>
      <c r="E17" s="2" t="n"/>
      <c r="F17" s="2" t="n"/>
      <c r="G17" s="16">
        <f>IF(ISNUMBER(K7),K7*IFERROR(INDEX(Paramètres!$C$7:$C$12,MATCH(INDEX(Effectif!$D$7:$D$21,MATCH(E7,Effectif!$C$7:$C$21,0)),Paramètres!$B$7:$B$12,0)),0),"")</f>
        <v/>
      </c>
      <c r="H17" s="2" t="n"/>
      <c r="I17" s="2" t="n"/>
      <c r="J17" s="2" t="n"/>
      <c r="K17" s="19">
        <f>IF(G7="","",IFERROR(INDEX(Stock!$G$7:$G$19,MATCH(G7,Stock!$B$7:$B$19,0)),""))</f>
        <v/>
      </c>
      <c r="L17" s="2" t="n"/>
      <c r="M17" s="1" t="n"/>
    </row>
    <row r="18">
      <c r="A18" s="1" t="n"/>
      <c r="B18" s="2" t="n"/>
      <c r="C18" s="2" t="n"/>
      <c r="D18" s="2" t="n"/>
      <c r="E18" s="2" t="n"/>
      <c r="F18" s="2" t="n"/>
      <c r="G18" s="2" t="n"/>
      <c r="H18" s="2" t="n"/>
      <c r="I18" s="2" t="n"/>
      <c r="J18" s="2" t="n"/>
      <c r="K18" s="2" t="n"/>
      <c r="L18" s="2" t="n"/>
      <c r="M18" s="1" t="n"/>
    </row>
    <row r="19">
      <c r="A19" s="1" t="n"/>
      <c r="B19" s="2" t="n"/>
      <c r="C19" s="20" t="inlineStr">
        <is>
          <t>FACTURER</t>
        </is>
      </c>
      <c r="F19" s="2" t="n"/>
      <c r="G19" s="2" t="n"/>
      <c r="H19" s="2" t="n"/>
      <c r="I19" s="20" t="inlineStr">
        <is>
          <t>EFFACER</t>
        </is>
      </c>
      <c r="L19" s="2" t="n"/>
      <c r="M19" s="1" t="n"/>
    </row>
    <row r="20">
      <c r="A20" s="1" t="n"/>
      <c r="B20" s="2" t="n"/>
      <c r="F20" s="2" t="n"/>
      <c r="G20" s="2" t="n"/>
      <c r="H20" s="2" t="n"/>
      <c r="L20" s="2" t="n"/>
      <c r="M20" s="1" t="n"/>
    </row>
    <row r="21">
      <c r="A21" s="1" t="n"/>
      <c r="B21" s="2" t="n"/>
      <c r="F21" s="2" t="n"/>
      <c r="G21" s="2" t="n"/>
      <c r="H21" s="2" t="n"/>
      <c r="L21" s="2" t="n"/>
      <c r="M21" s="1" t="n"/>
    </row>
    <row r="22">
      <c r="A22" s="1" t="n"/>
      <c r="B22" s="2" t="n"/>
      <c r="F22" s="2" t="n"/>
      <c r="G22" s="2" t="n"/>
      <c r="H22" s="2" t="n"/>
      <c r="L22" s="2" t="n"/>
      <c r="M22" s="1" t="n"/>
    </row>
    <row r="23">
      <c r="A23" s="1" t="n"/>
      <c r="B23" s="2" t="n"/>
      <c r="C23" s="2" t="n"/>
      <c r="D23" s="2" t="n"/>
      <c r="E23" s="2" t="n"/>
      <c r="F23" s="2" t="n"/>
      <c r="G23" s="2" t="n"/>
      <c r="H23" s="2" t="n"/>
      <c r="I23" s="2" t="n"/>
      <c r="J23" s="2" t="n"/>
      <c r="K23" s="2" t="n"/>
      <c r="L23" s="2" t="n"/>
      <c r="M23" s="1" t="n"/>
    </row>
    <row r="24" ht="30" customHeight="1">
      <c r="A24" s="1" t="n"/>
      <c r="B24" s="2" t="n"/>
      <c r="C24" s="11" t="inlineStr">
        <is>
          <t>FACTURER : enregistre la vente dans l'Historique (prix, bénéfice, prime, stock) puis vide le formulaire. EFFACER : vide le formulaire. Un seul clic suffit (macros activées).</t>
        </is>
      </c>
      <c r="L24" s="2" t="n"/>
      <c r="M24" s="1" t="n"/>
    </row>
    <row r="25">
      <c r="A25" s="1" t="n"/>
      <c r="B25" s="2" t="n"/>
      <c r="L25" s="2" t="n"/>
      <c r="M25" s="1" t="n"/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</row>
  </sheetData>
  <mergeCells count="5">
    <mergeCell ref="C24:K25"/>
    <mergeCell ref="I19:K22"/>
    <mergeCell ref="C19:E22"/>
    <mergeCell ref="B2:L2"/>
    <mergeCell ref="C4:K4"/>
  </mergeCells>
  <conditionalFormatting sqref="K17">
    <cfRule type="expression" priority="1" dxfId="0">
      <formula>AND(ISNUMBER(K17),ISNUMBER(C12),C12&gt;K17)</formula>
    </cfRule>
  </conditionalFormatting>
  <dataValidations count="3">
    <dataValidation sqref="E7" showDropDown="0" showInputMessage="0" showErrorMessage="1" allowBlank="1" error="Choisis dans la liste." type="list">
      <formula1>=Effectif!$C$7:$C$21</formula1>
    </dataValidation>
    <dataValidation sqref="G7" showDropDown="0" showInputMessage="0" showErrorMessage="1" allowBlank="1" error="Choisis dans la liste." type="list">
      <formula1>"Téquila,Shot,Bière,Whisky,Limonade,Jus d'orange,Cola,Boisson énergisante,BlackRider,Burning Wheel,Ghost Road,Iron Beer,Midnight Shot"</formula1>
    </dataValidation>
    <dataValidation sqref="C12" showDropDown="0" showInputMessage="0" showErrorMessage="1" allowBlank="1" error="Nombre entier." type="whole" operator="greaterThan">
      <formula1>0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3">
    <outlinePr summaryBelow="1" summaryRight="1"/>
    <pageSetUpPr/>
  </sheetPr>
  <dimension ref="A1:M50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7" customWidth="1" min="2" max="2"/>
    <col width="13" customWidth="1" min="3" max="3"/>
    <col width="20" customWidth="1" min="4" max="4"/>
    <col width="20" customWidth="1" min="5" max="5"/>
    <col width="20" customWidth="1" min="6" max="6"/>
    <col width="12" customWidth="1" min="7" max="7"/>
    <col width="10" customWidth="1" min="8" max="8"/>
    <col width="14" customWidth="1" min="9" max="9"/>
    <col width="14" customWidth="1" min="10" max="10"/>
    <col width="14" customWidth="1" min="11" max="11"/>
    <col width="13" customWidth="1" min="12" max="12"/>
    <col width="3" customWidth="1" min="13" max="13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 ht="40" customHeight="1">
      <c r="A2" s="1" t="n"/>
      <c r="B2" s="9" t="inlineStr">
        <is>
          <t>HISTORIQUE VENTES DE LA SEMAINE</t>
        </is>
      </c>
      <c r="M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14" t="inlineStr">
        <is>
          <t>ARCHIVER LA SEMAINE</t>
        </is>
      </c>
      <c r="J3" s="7" t="n"/>
      <c r="K3" s="7" t="n"/>
      <c r="L3" s="10" t="inlineStr">
        <is>
          <t>⬅ Accueil</t>
        </is>
      </c>
      <c r="M3" s="1" t="n"/>
    </row>
    <row r="4">
      <c r="A4" s="1" t="n"/>
      <c r="B4" s="11" t="inlineStr">
        <is>
          <t>Une ligne = une vente. Remplis date, vendeur, client, produit (listes) et quantité : le reste se calcule.</t>
        </is>
      </c>
      <c r="L4" s="2" t="n"/>
      <c r="M4" s="1" t="n"/>
    </row>
    <row r="5">
      <c r="A5" s="1" t="n"/>
      <c r="B5" s="2" t="n"/>
      <c r="C5" s="2" t="n"/>
      <c r="D5" s="2" t="n"/>
      <c r="E5" s="2" t="n"/>
      <c r="F5" s="2" t="n"/>
      <c r="G5" s="2" t="n"/>
      <c r="H5" s="21" t="inlineStr">
        <is>
          <t>TOTAL →</t>
        </is>
      </c>
      <c r="I5" s="22">
        <f>SUM(I7:I506)</f>
        <v/>
      </c>
      <c r="J5" s="22">
        <f>SUM(J7:J506)</f>
        <v/>
      </c>
      <c r="K5" s="22">
        <f>SUM(K7:K506)</f>
        <v/>
      </c>
      <c r="L5" s="22">
        <f>SUM(L7:L506)</f>
        <v/>
      </c>
      <c r="M5" s="1" t="n"/>
    </row>
    <row r="6" ht="32" customHeight="1">
      <c r="A6" s="1" t="n"/>
      <c r="B6" s="23" t="inlineStr">
        <is>
          <t>N°</t>
        </is>
      </c>
      <c r="C6" s="23" t="inlineStr">
        <is>
          <t>Date de vente</t>
        </is>
      </c>
      <c r="D6" s="23" t="inlineStr">
        <is>
          <t>Nom vendeur</t>
        </is>
      </c>
      <c r="E6" s="23" t="inlineStr">
        <is>
          <t>Nom client</t>
        </is>
      </c>
      <c r="F6" s="23" t="inlineStr">
        <is>
          <t>Produit</t>
        </is>
      </c>
      <c r="G6" s="23" t="inlineStr">
        <is>
          <t>Catégorie</t>
        </is>
      </c>
      <c r="H6" s="23" t="inlineStr">
        <is>
          <t>Quantité</t>
        </is>
      </c>
      <c r="I6" s="23" t="inlineStr">
        <is>
          <t>Prix de vente</t>
        </is>
      </c>
      <c r="J6" s="23" t="inlineStr">
        <is>
          <t>Bénéfice</t>
        </is>
      </c>
      <c r="K6" s="23" t="inlineStr">
        <is>
          <t>Coût matières</t>
        </is>
      </c>
      <c r="L6" s="23" t="inlineStr">
        <is>
          <t>Prime</t>
        </is>
      </c>
      <c r="M6" s="1" t="n"/>
    </row>
    <row r="7">
      <c r="A7" s="1" t="n"/>
      <c r="B7" s="24" t="n">
        <v>1</v>
      </c>
      <c r="C7" s="25" t="n">
        <v>46296</v>
      </c>
      <c r="D7" s="26" t="inlineStr">
        <is>
          <t>Exemple Barman</t>
        </is>
      </c>
      <c r="E7" s="26" t="inlineStr">
        <is>
          <t>Client test</t>
        </is>
      </c>
      <c r="F7" s="26" t="inlineStr">
        <is>
          <t>Téquila</t>
        </is>
      </c>
      <c r="G7" s="27">
        <f>IF(F7="","",IFERROR(INDEX(Catalogue!$C$7:$C$19,MATCH(F7,Catalogue!$B$7:$B$19,0)),"#N/A"))</f>
        <v/>
      </c>
      <c r="H7" s="28" t="n">
        <v>5</v>
      </c>
      <c r="I7" s="29">
        <f>IF(OR(F7="",H7=""),"",IFERROR(H7*INDEX(Catalogue!$G$7:$G$19,MATCH(F7,Catalogue!$B$7:$B$19,0)),"#N/A"))</f>
        <v/>
      </c>
      <c r="J7" s="30">
        <f>IF(ISNUMBER(I7),I7-K7,"")</f>
        <v/>
      </c>
      <c r="K7" s="31">
        <f>IF(OR(F7="",H7=""),"",IFERROR(H7*INDEX(Catalogue!$F$7:$F$19,MATCH(F7,Catalogue!$B$7:$B$19,0)),"#N/A"))</f>
        <v/>
      </c>
      <c r="L7" s="31">
        <f>IF(ISNUMBER(J7),J7*IFERROR(INDEX(Paramètres!$C$7:$C$12,MATCH(INDEX(Effectif!$D$7:$D$21,MATCH(D7,Effectif!$C$7:$C$21,0)),Paramètres!$B$7:$B$12,0)),0),"")</f>
        <v/>
      </c>
      <c r="M7" s="1" t="n"/>
    </row>
    <row r="8">
      <c r="A8" s="1" t="n"/>
      <c r="B8" s="24" t="n">
        <v>2</v>
      </c>
      <c r="C8" s="25" t="n"/>
      <c r="D8" s="26" t="n"/>
      <c r="E8" s="26" t="n"/>
      <c r="F8" s="26" t="n"/>
      <c r="G8" s="27">
        <f>IF(F8="","",IFERROR(INDEX(Catalogue!$C$7:$C$19,MATCH(F8,Catalogue!$B$7:$B$19,0)),"#N/A"))</f>
        <v/>
      </c>
      <c r="H8" s="28" t="n"/>
      <c r="I8" s="29">
        <f>IF(OR(F8="",H8=""),"",IFERROR(H8*INDEX(Catalogue!$G$7:$G$19,MATCH(F8,Catalogue!$B$7:$B$19,0)),"#N/A"))</f>
        <v/>
      </c>
      <c r="J8" s="30">
        <f>IF(ISNUMBER(I8),I8-K8,"")</f>
        <v/>
      </c>
      <c r="K8" s="31">
        <f>IF(OR(F8="",H8=""),"",IFERROR(H8*INDEX(Catalogue!$F$7:$F$19,MATCH(F8,Catalogue!$B$7:$B$19,0)),"#N/A"))</f>
        <v/>
      </c>
      <c r="L8" s="31">
        <f>IF(ISNUMBER(J8),J8*IFERROR(INDEX(Paramètres!$C$7:$C$12,MATCH(INDEX(Effectif!$D$7:$D$21,MATCH(D8,Effectif!$C$7:$C$21,0)),Paramètres!$B$7:$B$12,0)),0),"")</f>
        <v/>
      </c>
      <c r="M8" s="1" t="n"/>
    </row>
    <row r="9">
      <c r="A9" s="1" t="n"/>
      <c r="B9" s="24" t="n">
        <v>3</v>
      </c>
      <c r="C9" s="25" t="n"/>
      <c r="D9" s="26" t="n"/>
      <c r="E9" s="26" t="n"/>
      <c r="F9" s="26" t="n"/>
      <c r="G9" s="27">
        <f>IF(F9="","",IFERROR(INDEX(Catalogue!$C$7:$C$19,MATCH(F9,Catalogue!$B$7:$B$19,0)),"#N/A"))</f>
        <v/>
      </c>
      <c r="H9" s="28" t="n"/>
      <c r="I9" s="29">
        <f>IF(OR(F9="",H9=""),"",IFERROR(H9*INDEX(Catalogue!$G$7:$G$19,MATCH(F9,Catalogue!$B$7:$B$19,0)),"#N/A"))</f>
        <v/>
      </c>
      <c r="J9" s="30">
        <f>IF(ISNUMBER(I9),I9-K9,"")</f>
        <v/>
      </c>
      <c r="K9" s="31">
        <f>IF(OR(F9="",H9=""),"",IFERROR(H9*INDEX(Catalogue!$F$7:$F$19,MATCH(F9,Catalogue!$B$7:$B$19,0)),"#N/A"))</f>
        <v/>
      </c>
      <c r="L9" s="31">
        <f>IF(ISNUMBER(J9),J9*IFERROR(INDEX(Paramètres!$C$7:$C$12,MATCH(INDEX(Effectif!$D$7:$D$21,MATCH(D9,Effectif!$C$7:$C$21,0)),Paramètres!$B$7:$B$12,0)),0),"")</f>
        <v/>
      </c>
      <c r="M9" s="1" t="n"/>
    </row>
    <row r="10">
      <c r="A10" s="1" t="n"/>
      <c r="B10" s="24" t="n">
        <v>4</v>
      </c>
      <c r="C10" s="25" t="n"/>
      <c r="D10" s="26" t="n"/>
      <c r="E10" s="26" t="n"/>
      <c r="F10" s="26" t="n"/>
      <c r="G10" s="27">
        <f>IF(F10="","",IFERROR(INDEX(Catalogue!$C$7:$C$19,MATCH(F10,Catalogue!$B$7:$B$19,0)),"#N/A"))</f>
        <v/>
      </c>
      <c r="H10" s="28" t="n"/>
      <c r="I10" s="29">
        <f>IF(OR(F10="",H10=""),"",IFERROR(H10*INDEX(Catalogue!$G$7:$G$19,MATCH(F10,Catalogue!$B$7:$B$19,0)),"#N/A"))</f>
        <v/>
      </c>
      <c r="J10" s="30">
        <f>IF(ISNUMBER(I10),I10-K10,"")</f>
        <v/>
      </c>
      <c r="K10" s="31">
        <f>IF(OR(F10="",H10=""),"",IFERROR(H10*INDEX(Catalogue!$F$7:$F$19,MATCH(F10,Catalogue!$B$7:$B$19,0)),"#N/A"))</f>
        <v/>
      </c>
      <c r="L10" s="31">
        <f>IF(ISNUMBER(J10),J10*IFERROR(INDEX(Paramètres!$C$7:$C$12,MATCH(INDEX(Effectif!$D$7:$D$21,MATCH(D10,Effectif!$C$7:$C$21,0)),Paramètres!$B$7:$B$12,0)),0),"")</f>
        <v/>
      </c>
      <c r="M10" s="1" t="n"/>
    </row>
    <row r="11">
      <c r="A11" s="1" t="n"/>
      <c r="B11" s="24" t="n">
        <v>5</v>
      </c>
      <c r="C11" s="25" t="n"/>
      <c r="D11" s="26" t="n"/>
      <c r="E11" s="26" t="n"/>
      <c r="F11" s="26" t="n"/>
      <c r="G11" s="27">
        <f>IF(F11="","",IFERROR(INDEX(Catalogue!$C$7:$C$19,MATCH(F11,Catalogue!$B$7:$B$19,0)),"#N/A"))</f>
        <v/>
      </c>
      <c r="H11" s="28" t="n"/>
      <c r="I11" s="29">
        <f>IF(OR(F11="",H11=""),"",IFERROR(H11*INDEX(Catalogue!$G$7:$G$19,MATCH(F11,Catalogue!$B$7:$B$19,0)),"#N/A"))</f>
        <v/>
      </c>
      <c r="J11" s="30">
        <f>IF(ISNUMBER(I11),I11-K11,"")</f>
        <v/>
      </c>
      <c r="K11" s="31">
        <f>IF(OR(F11="",H11=""),"",IFERROR(H11*INDEX(Catalogue!$F$7:$F$19,MATCH(F11,Catalogue!$B$7:$B$19,0)),"#N/A"))</f>
        <v/>
      </c>
      <c r="L11" s="31">
        <f>IF(ISNUMBER(J11),J11*IFERROR(INDEX(Paramètres!$C$7:$C$12,MATCH(INDEX(Effectif!$D$7:$D$21,MATCH(D11,Effectif!$C$7:$C$21,0)),Paramètres!$B$7:$B$12,0)),0),"")</f>
        <v/>
      </c>
      <c r="M11" s="1" t="n"/>
    </row>
    <row r="12">
      <c r="A12" s="1" t="n"/>
      <c r="B12" s="24" t="n">
        <v>6</v>
      </c>
      <c r="C12" s="25" t="n"/>
      <c r="D12" s="26" t="n"/>
      <c r="E12" s="26" t="n"/>
      <c r="F12" s="26" t="n"/>
      <c r="G12" s="27">
        <f>IF(F12="","",IFERROR(INDEX(Catalogue!$C$7:$C$19,MATCH(F12,Catalogue!$B$7:$B$19,0)),"#N/A"))</f>
        <v/>
      </c>
      <c r="H12" s="28" t="n"/>
      <c r="I12" s="29">
        <f>IF(OR(F12="",H12=""),"",IFERROR(H12*INDEX(Catalogue!$G$7:$G$19,MATCH(F12,Catalogue!$B$7:$B$19,0)),"#N/A"))</f>
        <v/>
      </c>
      <c r="J12" s="30">
        <f>IF(ISNUMBER(I12),I12-K12,"")</f>
        <v/>
      </c>
      <c r="K12" s="31">
        <f>IF(OR(F12="",H12=""),"",IFERROR(H12*INDEX(Catalogue!$F$7:$F$19,MATCH(F12,Catalogue!$B$7:$B$19,0)),"#N/A"))</f>
        <v/>
      </c>
      <c r="L12" s="31">
        <f>IF(ISNUMBER(J12),J12*IFERROR(INDEX(Paramètres!$C$7:$C$12,MATCH(INDEX(Effectif!$D$7:$D$21,MATCH(D12,Effectif!$C$7:$C$21,0)),Paramètres!$B$7:$B$12,0)),0),"")</f>
        <v/>
      </c>
      <c r="M12" s="1" t="n"/>
    </row>
    <row r="13">
      <c r="A13" s="1" t="n"/>
      <c r="B13" s="24" t="n">
        <v>7</v>
      </c>
      <c r="C13" s="25" t="n"/>
      <c r="D13" s="26" t="n"/>
      <c r="E13" s="26" t="n"/>
      <c r="F13" s="26" t="n"/>
      <c r="G13" s="27">
        <f>IF(F13="","",IFERROR(INDEX(Catalogue!$C$7:$C$19,MATCH(F13,Catalogue!$B$7:$B$19,0)),"#N/A"))</f>
        <v/>
      </c>
      <c r="H13" s="28" t="n"/>
      <c r="I13" s="29">
        <f>IF(OR(F13="",H13=""),"",IFERROR(H13*INDEX(Catalogue!$G$7:$G$19,MATCH(F13,Catalogue!$B$7:$B$19,0)),"#N/A"))</f>
        <v/>
      </c>
      <c r="J13" s="30">
        <f>IF(ISNUMBER(I13),I13-K13,"")</f>
        <v/>
      </c>
      <c r="K13" s="31">
        <f>IF(OR(F13="",H13=""),"",IFERROR(H13*INDEX(Catalogue!$F$7:$F$19,MATCH(F13,Catalogue!$B$7:$B$19,0)),"#N/A"))</f>
        <v/>
      </c>
      <c r="L13" s="31">
        <f>IF(ISNUMBER(J13),J13*IFERROR(INDEX(Paramètres!$C$7:$C$12,MATCH(INDEX(Effectif!$D$7:$D$21,MATCH(D13,Effectif!$C$7:$C$21,0)),Paramètres!$B$7:$B$12,0)),0),"")</f>
        <v/>
      </c>
      <c r="M13" s="1" t="n"/>
    </row>
    <row r="14">
      <c r="A14" s="1" t="n"/>
      <c r="B14" s="24" t="n">
        <v>8</v>
      </c>
      <c r="C14" s="25" t="n"/>
      <c r="D14" s="26" t="n"/>
      <c r="E14" s="26" t="n"/>
      <c r="F14" s="26" t="n"/>
      <c r="G14" s="27">
        <f>IF(F14="","",IFERROR(INDEX(Catalogue!$C$7:$C$19,MATCH(F14,Catalogue!$B$7:$B$19,0)),"#N/A"))</f>
        <v/>
      </c>
      <c r="H14" s="28" t="n"/>
      <c r="I14" s="29">
        <f>IF(OR(F14="",H14=""),"",IFERROR(H14*INDEX(Catalogue!$G$7:$G$19,MATCH(F14,Catalogue!$B$7:$B$19,0)),"#N/A"))</f>
        <v/>
      </c>
      <c r="J14" s="30">
        <f>IF(ISNUMBER(I14),I14-K14,"")</f>
        <v/>
      </c>
      <c r="K14" s="31">
        <f>IF(OR(F14="",H14=""),"",IFERROR(H14*INDEX(Catalogue!$F$7:$F$19,MATCH(F14,Catalogue!$B$7:$B$19,0)),"#N/A"))</f>
        <v/>
      </c>
      <c r="L14" s="31">
        <f>IF(ISNUMBER(J14),J14*IFERROR(INDEX(Paramètres!$C$7:$C$12,MATCH(INDEX(Effectif!$D$7:$D$21,MATCH(D14,Effectif!$C$7:$C$21,0)),Paramètres!$B$7:$B$12,0)),0),"")</f>
        <v/>
      </c>
      <c r="M14" s="1" t="n"/>
    </row>
    <row r="15">
      <c r="A15" s="1" t="n"/>
      <c r="B15" s="24" t="n">
        <v>9</v>
      </c>
      <c r="C15" s="25" t="n"/>
      <c r="D15" s="26" t="n"/>
      <c r="E15" s="26" t="n"/>
      <c r="F15" s="26" t="n"/>
      <c r="G15" s="27">
        <f>IF(F15="","",IFERROR(INDEX(Catalogue!$C$7:$C$19,MATCH(F15,Catalogue!$B$7:$B$19,0)),"#N/A"))</f>
        <v/>
      </c>
      <c r="H15" s="28" t="n"/>
      <c r="I15" s="29">
        <f>IF(OR(F15="",H15=""),"",IFERROR(H15*INDEX(Catalogue!$G$7:$G$19,MATCH(F15,Catalogue!$B$7:$B$19,0)),"#N/A"))</f>
        <v/>
      </c>
      <c r="J15" s="30">
        <f>IF(ISNUMBER(I15),I15-K15,"")</f>
        <v/>
      </c>
      <c r="K15" s="31">
        <f>IF(OR(F15="",H15=""),"",IFERROR(H15*INDEX(Catalogue!$F$7:$F$19,MATCH(F15,Catalogue!$B$7:$B$19,0)),"#N/A"))</f>
        <v/>
      </c>
      <c r="L15" s="31">
        <f>IF(ISNUMBER(J15),J15*IFERROR(INDEX(Paramètres!$C$7:$C$12,MATCH(INDEX(Effectif!$D$7:$D$21,MATCH(D15,Effectif!$C$7:$C$21,0)),Paramètres!$B$7:$B$12,0)),0),"")</f>
        <v/>
      </c>
      <c r="M15" s="1" t="n"/>
    </row>
    <row r="16">
      <c r="A16" s="1" t="n"/>
      <c r="B16" s="24" t="n">
        <v>10</v>
      </c>
      <c r="C16" s="25" t="n"/>
      <c r="D16" s="26" t="n"/>
      <c r="E16" s="26" t="n"/>
      <c r="F16" s="26" t="n"/>
      <c r="G16" s="27">
        <f>IF(F16="","",IFERROR(INDEX(Catalogue!$C$7:$C$19,MATCH(F16,Catalogue!$B$7:$B$19,0)),"#N/A"))</f>
        <v/>
      </c>
      <c r="H16" s="28" t="n"/>
      <c r="I16" s="29">
        <f>IF(OR(F16="",H16=""),"",IFERROR(H16*INDEX(Catalogue!$G$7:$G$19,MATCH(F16,Catalogue!$B$7:$B$19,0)),"#N/A"))</f>
        <v/>
      </c>
      <c r="J16" s="30">
        <f>IF(ISNUMBER(I16),I16-K16,"")</f>
        <v/>
      </c>
      <c r="K16" s="31">
        <f>IF(OR(F16="",H16=""),"",IFERROR(H16*INDEX(Catalogue!$F$7:$F$19,MATCH(F16,Catalogue!$B$7:$B$19,0)),"#N/A"))</f>
        <v/>
      </c>
      <c r="L16" s="31">
        <f>IF(ISNUMBER(J16),J16*IFERROR(INDEX(Paramètres!$C$7:$C$12,MATCH(INDEX(Effectif!$D$7:$D$21,MATCH(D16,Effectif!$C$7:$C$21,0)),Paramètres!$B$7:$B$12,0)),0),"")</f>
        <v/>
      </c>
      <c r="M16" s="1" t="n"/>
    </row>
    <row r="17">
      <c r="A17" s="1" t="n"/>
      <c r="B17" s="24" t="n">
        <v>11</v>
      </c>
      <c r="C17" s="25" t="n"/>
      <c r="D17" s="26" t="n"/>
      <c r="E17" s="26" t="n"/>
      <c r="F17" s="26" t="n"/>
      <c r="G17" s="27">
        <f>IF(F17="","",IFERROR(INDEX(Catalogue!$C$7:$C$19,MATCH(F17,Catalogue!$B$7:$B$19,0)),"#N/A"))</f>
        <v/>
      </c>
      <c r="H17" s="28" t="n"/>
      <c r="I17" s="29">
        <f>IF(OR(F17="",H17=""),"",IFERROR(H17*INDEX(Catalogue!$G$7:$G$19,MATCH(F17,Catalogue!$B$7:$B$19,0)),"#N/A"))</f>
        <v/>
      </c>
      <c r="J17" s="30">
        <f>IF(ISNUMBER(I17),I17-K17,"")</f>
        <v/>
      </c>
      <c r="K17" s="31">
        <f>IF(OR(F17="",H17=""),"",IFERROR(H17*INDEX(Catalogue!$F$7:$F$19,MATCH(F17,Catalogue!$B$7:$B$19,0)),"#N/A"))</f>
        <v/>
      </c>
      <c r="L17" s="31">
        <f>IF(ISNUMBER(J17),J17*IFERROR(INDEX(Paramètres!$C$7:$C$12,MATCH(INDEX(Effectif!$D$7:$D$21,MATCH(D17,Effectif!$C$7:$C$21,0)),Paramètres!$B$7:$B$12,0)),0),"")</f>
        <v/>
      </c>
      <c r="M17" s="1" t="n"/>
    </row>
    <row r="18">
      <c r="A18" s="1" t="n"/>
      <c r="B18" s="24" t="n">
        <v>12</v>
      </c>
      <c r="C18" s="25" t="n"/>
      <c r="D18" s="26" t="n"/>
      <c r="E18" s="26" t="n"/>
      <c r="F18" s="26" t="n"/>
      <c r="G18" s="27">
        <f>IF(F18="","",IFERROR(INDEX(Catalogue!$C$7:$C$19,MATCH(F18,Catalogue!$B$7:$B$19,0)),"#N/A"))</f>
        <v/>
      </c>
      <c r="H18" s="28" t="n"/>
      <c r="I18" s="29">
        <f>IF(OR(F18="",H18=""),"",IFERROR(H18*INDEX(Catalogue!$G$7:$G$19,MATCH(F18,Catalogue!$B$7:$B$19,0)),"#N/A"))</f>
        <v/>
      </c>
      <c r="J18" s="30">
        <f>IF(ISNUMBER(I18),I18-K18,"")</f>
        <v/>
      </c>
      <c r="K18" s="31">
        <f>IF(OR(F18="",H18=""),"",IFERROR(H18*INDEX(Catalogue!$F$7:$F$19,MATCH(F18,Catalogue!$B$7:$B$19,0)),"#N/A"))</f>
        <v/>
      </c>
      <c r="L18" s="31">
        <f>IF(ISNUMBER(J18),J18*IFERROR(INDEX(Paramètres!$C$7:$C$12,MATCH(INDEX(Effectif!$D$7:$D$21,MATCH(D18,Effectif!$C$7:$C$21,0)),Paramètres!$B$7:$B$12,0)),0),"")</f>
        <v/>
      </c>
      <c r="M18" s="1" t="n"/>
    </row>
    <row r="19">
      <c r="A19" s="1" t="n"/>
      <c r="B19" s="24" t="n">
        <v>13</v>
      </c>
      <c r="C19" s="25" t="n"/>
      <c r="D19" s="26" t="n"/>
      <c r="E19" s="26" t="n"/>
      <c r="F19" s="26" t="n"/>
      <c r="G19" s="27">
        <f>IF(F19="","",IFERROR(INDEX(Catalogue!$C$7:$C$19,MATCH(F19,Catalogue!$B$7:$B$19,0)),"#N/A"))</f>
        <v/>
      </c>
      <c r="H19" s="28" t="n"/>
      <c r="I19" s="29">
        <f>IF(OR(F19="",H19=""),"",IFERROR(H19*INDEX(Catalogue!$G$7:$G$19,MATCH(F19,Catalogue!$B$7:$B$19,0)),"#N/A"))</f>
        <v/>
      </c>
      <c r="J19" s="30">
        <f>IF(ISNUMBER(I19),I19-K19,"")</f>
        <v/>
      </c>
      <c r="K19" s="31">
        <f>IF(OR(F19="",H19=""),"",IFERROR(H19*INDEX(Catalogue!$F$7:$F$19,MATCH(F19,Catalogue!$B$7:$B$19,0)),"#N/A"))</f>
        <v/>
      </c>
      <c r="L19" s="31">
        <f>IF(ISNUMBER(J19),J19*IFERROR(INDEX(Paramètres!$C$7:$C$12,MATCH(INDEX(Effectif!$D$7:$D$21,MATCH(D19,Effectif!$C$7:$C$21,0)),Paramètres!$B$7:$B$12,0)),0),"")</f>
        <v/>
      </c>
      <c r="M19" s="1" t="n"/>
    </row>
    <row r="20">
      <c r="A20" s="1" t="n"/>
      <c r="B20" s="24" t="n">
        <v>14</v>
      </c>
      <c r="C20" s="25" t="n"/>
      <c r="D20" s="26" t="n"/>
      <c r="E20" s="26" t="n"/>
      <c r="F20" s="26" t="n"/>
      <c r="G20" s="27">
        <f>IF(F20="","",IFERROR(INDEX(Catalogue!$C$7:$C$19,MATCH(F20,Catalogue!$B$7:$B$19,0)),"#N/A"))</f>
        <v/>
      </c>
      <c r="H20" s="28" t="n"/>
      <c r="I20" s="29">
        <f>IF(OR(F20="",H20=""),"",IFERROR(H20*INDEX(Catalogue!$G$7:$G$19,MATCH(F20,Catalogue!$B$7:$B$19,0)),"#N/A"))</f>
        <v/>
      </c>
      <c r="J20" s="30">
        <f>IF(ISNUMBER(I20),I20-K20,"")</f>
        <v/>
      </c>
      <c r="K20" s="31">
        <f>IF(OR(F20="",H20=""),"",IFERROR(H20*INDEX(Catalogue!$F$7:$F$19,MATCH(F20,Catalogue!$B$7:$B$19,0)),"#N/A"))</f>
        <v/>
      </c>
      <c r="L20" s="31">
        <f>IF(ISNUMBER(J20),J20*IFERROR(INDEX(Paramètres!$C$7:$C$12,MATCH(INDEX(Effectif!$D$7:$D$21,MATCH(D20,Effectif!$C$7:$C$21,0)),Paramètres!$B$7:$B$12,0)),0),"")</f>
        <v/>
      </c>
      <c r="M20" s="1" t="n"/>
    </row>
    <row r="21">
      <c r="A21" s="1" t="n"/>
      <c r="B21" s="24" t="n">
        <v>15</v>
      </c>
      <c r="C21" s="25" t="n"/>
      <c r="D21" s="26" t="n"/>
      <c r="E21" s="26" t="n"/>
      <c r="F21" s="26" t="n"/>
      <c r="G21" s="27">
        <f>IF(F21="","",IFERROR(INDEX(Catalogue!$C$7:$C$19,MATCH(F21,Catalogue!$B$7:$B$19,0)),"#N/A"))</f>
        <v/>
      </c>
      <c r="H21" s="28" t="n"/>
      <c r="I21" s="29">
        <f>IF(OR(F21="",H21=""),"",IFERROR(H21*INDEX(Catalogue!$G$7:$G$19,MATCH(F21,Catalogue!$B$7:$B$19,0)),"#N/A"))</f>
        <v/>
      </c>
      <c r="J21" s="30">
        <f>IF(ISNUMBER(I21),I21-K21,"")</f>
        <v/>
      </c>
      <c r="K21" s="31">
        <f>IF(OR(F21="",H21=""),"",IFERROR(H21*INDEX(Catalogue!$F$7:$F$19,MATCH(F21,Catalogue!$B$7:$B$19,0)),"#N/A"))</f>
        <v/>
      </c>
      <c r="L21" s="31">
        <f>IF(ISNUMBER(J21),J21*IFERROR(INDEX(Paramètres!$C$7:$C$12,MATCH(INDEX(Effectif!$D$7:$D$21,MATCH(D21,Effectif!$C$7:$C$21,0)),Paramètres!$B$7:$B$12,0)),0),"")</f>
        <v/>
      </c>
      <c r="M21" s="1" t="n"/>
    </row>
    <row r="22">
      <c r="A22" s="1" t="n"/>
      <c r="B22" s="24" t="n">
        <v>16</v>
      </c>
      <c r="C22" s="25" t="n"/>
      <c r="D22" s="26" t="n"/>
      <c r="E22" s="26" t="n"/>
      <c r="F22" s="26" t="n"/>
      <c r="G22" s="27">
        <f>IF(F22="","",IFERROR(INDEX(Catalogue!$C$7:$C$19,MATCH(F22,Catalogue!$B$7:$B$19,0)),"#N/A"))</f>
        <v/>
      </c>
      <c r="H22" s="28" t="n"/>
      <c r="I22" s="29">
        <f>IF(OR(F22="",H22=""),"",IFERROR(H22*INDEX(Catalogue!$G$7:$G$19,MATCH(F22,Catalogue!$B$7:$B$19,0)),"#N/A"))</f>
        <v/>
      </c>
      <c r="J22" s="30">
        <f>IF(ISNUMBER(I22),I22-K22,"")</f>
        <v/>
      </c>
      <c r="K22" s="31">
        <f>IF(OR(F22="",H22=""),"",IFERROR(H22*INDEX(Catalogue!$F$7:$F$19,MATCH(F22,Catalogue!$B$7:$B$19,0)),"#N/A"))</f>
        <v/>
      </c>
      <c r="L22" s="31">
        <f>IF(ISNUMBER(J22),J22*IFERROR(INDEX(Paramètres!$C$7:$C$12,MATCH(INDEX(Effectif!$D$7:$D$21,MATCH(D22,Effectif!$C$7:$C$21,0)),Paramètres!$B$7:$B$12,0)),0),"")</f>
        <v/>
      </c>
      <c r="M22" s="1" t="n"/>
    </row>
    <row r="23">
      <c r="A23" s="1" t="n"/>
      <c r="B23" s="24" t="n">
        <v>17</v>
      </c>
      <c r="C23" s="25" t="n"/>
      <c r="D23" s="26" t="n"/>
      <c r="E23" s="26" t="n"/>
      <c r="F23" s="26" t="n"/>
      <c r="G23" s="27">
        <f>IF(F23="","",IFERROR(INDEX(Catalogue!$C$7:$C$19,MATCH(F23,Catalogue!$B$7:$B$19,0)),"#N/A"))</f>
        <v/>
      </c>
      <c r="H23" s="28" t="n"/>
      <c r="I23" s="29">
        <f>IF(OR(F23="",H23=""),"",IFERROR(H23*INDEX(Catalogue!$G$7:$G$19,MATCH(F23,Catalogue!$B$7:$B$19,0)),"#N/A"))</f>
        <v/>
      </c>
      <c r="J23" s="30">
        <f>IF(ISNUMBER(I23),I23-K23,"")</f>
        <v/>
      </c>
      <c r="K23" s="31">
        <f>IF(OR(F23="",H23=""),"",IFERROR(H23*INDEX(Catalogue!$F$7:$F$19,MATCH(F23,Catalogue!$B$7:$B$19,0)),"#N/A"))</f>
        <v/>
      </c>
      <c r="L23" s="31">
        <f>IF(ISNUMBER(J23),J23*IFERROR(INDEX(Paramètres!$C$7:$C$12,MATCH(INDEX(Effectif!$D$7:$D$21,MATCH(D23,Effectif!$C$7:$C$21,0)),Paramètres!$B$7:$B$12,0)),0),"")</f>
        <v/>
      </c>
      <c r="M23" s="1" t="n"/>
    </row>
    <row r="24">
      <c r="A24" s="1" t="n"/>
      <c r="B24" s="24" t="n">
        <v>18</v>
      </c>
      <c r="C24" s="25" t="n"/>
      <c r="D24" s="26" t="n"/>
      <c r="E24" s="26" t="n"/>
      <c r="F24" s="26" t="n"/>
      <c r="G24" s="27">
        <f>IF(F24="","",IFERROR(INDEX(Catalogue!$C$7:$C$19,MATCH(F24,Catalogue!$B$7:$B$19,0)),"#N/A"))</f>
        <v/>
      </c>
      <c r="H24" s="28" t="n"/>
      <c r="I24" s="29">
        <f>IF(OR(F24="",H24=""),"",IFERROR(H24*INDEX(Catalogue!$G$7:$G$19,MATCH(F24,Catalogue!$B$7:$B$19,0)),"#N/A"))</f>
        <v/>
      </c>
      <c r="J24" s="30">
        <f>IF(ISNUMBER(I24),I24-K24,"")</f>
        <v/>
      </c>
      <c r="K24" s="31">
        <f>IF(OR(F24="",H24=""),"",IFERROR(H24*INDEX(Catalogue!$F$7:$F$19,MATCH(F24,Catalogue!$B$7:$B$19,0)),"#N/A"))</f>
        <v/>
      </c>
      <c r="L24" s="31">
        <f>IF(ISNUMBER(J24),J24*IFERROR(INDEX(Paramètres!$C$7:$C$12,MATCH(INDEX(Effectif!$D$7:$D$21,MATCH(D24,Effectif!$C$7:$C$21,0)),Paramètres!$B$7:$B$12,0)),0),"")</f>
        <v/>
      </c>
      <c r="M24" s="1" t="n"/>
    </row>
    <row r="25">
      <c r="A25" s="1" t="n"/>
      <c r="B25" s="24" t="n">
        <v>19</v>
      </c>
      <c r="C25" s="25" t="n"/>
      <c r="D25" s="26" t="n"/>
      <c r="E25" s="26" t="n"/>
      <c r="F25" s="26" t="n"/>
      <c r="G25" s="27">
        <f>IF(F25="","",IFERROR(INDEX(Catalogue!$C$7:$C$19,MATCH(F25,Catalogue!$B$7:$B$19,0)),"#N/A"))</f>
        <v/>
      </c>
      <c r="H25" s="28" t="n"/>
      <c r="I25" s="29">
        <f>IF(OR(F25="",H25=""),"",IFERROR(H25*INDEX(Catalogue!$G$7:$G$19,MATCH(F25,Catalogue!$B$7:$B$19,0)),"#N/A"))</f>
        <v/>
      </c>
      <c r="J25" s="30">
        <f>IF(ISNUMBER(I25),I25-K25,"")</f>
        <v/>
      </c>
      <c r="K25" s="31">
        <f>IF(OR(F25="",H25=""),"",IFERROR(H25*INDEX(Catalogue!$F$7:$F$19,MATCH(F25,Catalogue!$B$7:$B$19,0)),"#N/A"))</f>
        <v/>
      </c>
      <c r="L25" s="31">
        <f>IF(ISNUMBER(J25),J25*IFERROR(INDEX(Paramètres!$C$7:$C$12,MATCH(INDEX(Effectif!$D$7:$D$21,MATCH(D25,Effectif!$C$7:$C$21,0)),Paramètres!$B$7:$B$12,0)),0),"")</f>
        <v/>
      </c>
      <c r="M25" s="1" t="n"/>
    </row>
    <row r="26">
      <c r="A26" s="1" t="n"/>
      <c r="B26" s="24" t="n">
        <v>20</v>
      </c>
      <c r="C26" s="25" t="n"/>
      <c r="D26" s="26" t="n"/>
      <c r="E26" s="26" t="n"/>
      <c r="F26" s="26" t="n"/>
      <c r="G26" s="27">
        <f>IF(F26="","",IFERROR(INDEX(Catalogue!$C$7:$C$19,MATCH(F26,Catalogue!$B$7:$B$19,0)),"#N/A"))</f>
        <v/>
      </c>
      <c r="H26" s="28" t="n"/>
      <c r="I26" s="29">
        <f>IF(OR(F26="",H26=""),"",IFERROR(H26*INDEX(Catalogue!$G$7:$G$19,MATCH(F26,Catalogue!$B$7:$B$19,0)),"#N/A"))</f>
        <v/>
      </c>
      <c r="J26" s="30">
        <f>IF(ISNUMBER(I26),I26-K26,"")</f>
        <v/>
      </c>
      <c r="K26" s="31">
        <f>IF(OR(F26="",H26=""),"",IFERROR(H26*INDEX(Catalogue!$F$7:$F$19,MATCH(F26,Catalogue!$B$7:$B$19,0)),"#N/A"))</f>
        <v/>
      </c>
      <c r="L26" s="31">
        <f>IF(ISNUMBER(J26),J26*IFERROR(INDEX(Paramètres!$C$7:$C$12,MATCH(INDEX(Effectif!$D$7:$D$21,MATCH(D26,Effectif!$C$7:$C$21,0)),Paramètres!$B$7:$B$12,0)),0),"")</f>
        <v/>
      </c>
      <c r="M26" s="1" t="n"/>
    </row>
    <row r="27">
      <c r="A27" s="1" t="n"/>
      <c r="B27" s="24" t="n">
        <v>21</v>
      </c>
      <c r="C27" s="25" t="n"/>
      <c r="D27" s="26" t="n"/>
      <c r="E27" s="26" t="n"/>
      <c r="F27" s="26" t="n"/>
      <c r="G27" s="27">
        <f>IF(F27="","",IFERROR(INDEX(Catalogue!$C$7:$C$19,MATCH(F27,Catalogue!$B$7:$B$19,0)),"#N/A"))</f>
        <v/>
      </c>
      <c r="H27" s="28" t="n"/>
      <c r="I27" s="29">
        <f>IF(OR(F27="",H27=""),"",IFERROR(H27*INDEX(Catalogue!$G$7:$G$19,MATCH(F27,Catalogue!$B$7:$B$19,0)),"#N/A"))</f>
        <v/>
      </c>
      <c r="J27" s="30">
        <f>IF(ISNUMBER(I27),I27-K27,"")</f>
        <v/>
      </c>
      <c r="K27" s="31">
        <f>IF(OR(F27="",H27=""),"",IFERROR(H27*INDEX(Catalogue!$F$7:$F$19,MATCH(F27,Catalogue!$B$7:$B$19,0)),"#N/A"))</f>
        <v/>
      </c>
      <c r="L27" s="31">
        <f>IF(ISNUMBER(J27),J27*IFERROR(INDEX(Paramètres!$C$7:$C$12,MATCH(INDEX(Effectif!$D$7:$D$21,MATCH(D27,Effectif!$C$7:$C$21,0)),Paramètres!$B$7:$B$12,0)),0),"")</f>
        <v/>
      </c>
      <c r="M27" s="1" t="n"/>
    </row>
    <row r="28">
      <c r="A28" s="1" t="n"/>
      <c r="B28" s="24" t="n">
        <v>22</v>
      </c>
      <c r="C28" s="25" t="n"/>
      <c r="D28" s="26" t="n"/>
      <c r="E28" s="26" t="n"/>
      <c r="F28" s="26" t="n"/>
      <c r="G28" s="27">
        <f>IF(F28="","",IFERROR(INDEX(Catalogue!$C$7:$C$19,MATCH(F28,Catalogue!$B$7:$B$19,0)),"#N/A"))</f>
        <v/>
      </c>
      <c r="H28" s="28" t="n"/>
      <c r="I28" s="29">
        <f>IF(OR(F28="",H28=""),"",IFERROR(H28*INDEX(Catalogue!$G$7:$G$19,MATCH(F28,Catalogue!$B$7:$B$19,0)),"#N/A"))</f>
        <v/>
      </c>
      <c r="J28" s="30">
        <f>IF(ISNUMBER(I28),I28-K28,"")</f>
        <v/>
      </c>
      <c r="K28" s="31">
        <f>IF(OR(F28="",H28=""),"",IFERROR(H28*INDEX(Catalogue!$F$7:$F$19,MATCH(F28,Catalogue!$B$7:$B$19,0)),"#N/A"))</f>
        <v/>
      </c>
      <c r="L28" s="31">
        <f>IF(ISNUMBER(J28),J28*IFERROR(INDEX(Paramètres!$C$7:$C$12,MATCH(INDEX(Effectif!$D$7:$D$21,MATCH(D28,Effectif!$C$7:$C$21,0)),Paramètres!$B$7:$B$12,0)),0),"")</f>
        <v/>
      </c>
      <c r="M28" s="1" t="n"/>
    </row>
    <row r="29">
      <c r="A29" s="1" t="n"/>
      <c r="B29" s="24" t="n">
        <v>23</v>
      </c>
      <c r="C29" s="25" t="n"/>
      <c r="D29" s="26" t="n"/>
      <c r="E29" s="26" t="n"/>
      <c r="F29" s="26" t="n"/>
      <c r="G29" s="27">
        <f>IF(F29="","",IFERROR(INDEX(Catalogue!$C$7:$C$19,MATCH(F29,Catalogue!$B$7:$B$19,0)),"#N/A"))</f>
        <v/>
      </c>
      <c r="H29" s="28" t="n"/>
      <c r="I29" s="29">
        <f>IF(OR(F29="",H29=""),"",IFERROR(H29*INDEX(Catalogue!$G$7:$G$19,MATCH(F29,Catalogue!$B$7:$B$19,0)),"#N/A"))</f>
        <v/>
      </c>
      <c r="J29" s="30">
        <f>IF(ISNUMBER(I29),I29-K29,"")</f>
        <v/>
      </c>
      <c r="K29" s="31">
        <f>IF(OR(F29="",H29=""),"",IFERROR(H29*INDEX(Catalogue!$F$7:$F$19,MATCH(F29,Catalogue!$B$7:$B$19,0)),"#N/A"))</f>
        <v/>
      </c>
      <c r="L29" s="31">
        <f>IF(ISNUMBER(J29),J29*IFERROR(INDEX(Paramètres!$C$7:$C$12,MATCH(INDEX(Effectif!$D$7:$D$21,MATCH(D29,Effectif!$C$7:$C$21,0)),Paramètres!$B$7:$B$12,0)),0),"")</f>
        <v/>
      </c>
      <c r="M29" s="1" t="n"/>
    </row>
    <row r="30">
      <c r="A30" s="1" t="n"/>
      <c r="B30" s="24" t="n">
        <v>24</v>
      </c>
      <c r="C30" s="25" t="n"/>
      <c r="D30" s="26" t="n"/>
      <c r="E30" s="26" t="n"/>
      <c r="F30" s="26" t="n"/>
      <c r="G30" s="27">
        <f>IF(F30="","",IFERROR(INDEX(Catalogue!$C$7:$C$19,MATCH(F30,Catalogue!$B$7:$B$19,0)),"#N/A"))</f>
        <v/>
      </c>
      <c r="H30" s="28" t="n"/>
      <c r="I30" s="29">
        <f>IF(OR(F30="",H30=""),"",IFERROR(H30*INDEX(Catalogue!$G$7:$G$19,MATCH(F30,Catalogue!$B$7:$B$19,0)),"#N/A"))</f>
        <v/>
      </c>
      <c r="J30" s="30">
        <f>IF(ISNUMBER(I30),I30-K30,"")</f>
        <v/>
      </c>
      <c r="K30" s="31">
        <f>IF(OR(F30="",H30=""),"",IFERROR(H30*INDEX(Catalogue!$F$7:$F$19,MATCH(F30,Catalogue!$B$7:$B$19,0)),"#N/A"))</f>
        <v/>
      </c>
      <c r="L30" s="31">
        <f>IF(ISNUMBER(J30),J30*IFERROR(INDEX(Paramètres!$C$7:$C$12,MATCH(INDEX(Effectif!$D$7:$D$21,MATCH(D30,Effectif!$C$7:$C$21,0)),Paramètres!$B$7:$B$12,0)),0),"")</f>
        <v/>
      </c>
      <c r="M30" s="1" t="n"/>
    </row>
    <row r="31">
      <c r="A31" s="1" t="n"/>
      <c r="B31" s="24" t="n">
        <v>25</v>
      </c>
      <c r="C31" s="25" t="n"/>
      <c r="D31" s="26" t="n"/>
      <c r="E31" s="26" t="n"/>
      <c r="F31" s="26" t="n"/>
      <c r="G31" s="27">
        <f>IF(F31="","",IFERROR(INDEX(Catalogue!$C$7:$C$19,MATCH(F31,Catalogue!$B$7:$B$19,0)),"#N/A"))</f>
        <v/>
      </c>
      <c r="H31" s="28" t="n"/>
      <c r="I31" s="29">
        <f>IF(OR(F31="",H31=""),"",IFERROR(H31*INDEX(Catalogue!$G$7:$G$19,MATCH(F31,Catalogue!$B$7:$B$19,0)),"#N/A"))</f>
        <v/>
      </c>
      <c r="J31" s="30">
        <f>IF(ISNUMBER(I31),I31-K31,"")</f>
        <v/>
      </c>
      <c r="K31" s="31">
        <f>IF(OR(F31="",H31=""),"",IFERROR(H31*INDEX(Catalogue!$F$7:$F$19,MATCH(F31,Catalogue!$B$7:$B$19,0)),"#N/A"))</f>
        <v/>
      </c>
      <c r="L31" s="31">
        <f>IF(ISNUMBER(J31),J31*IFERROR(INDEX(Paramètres!$C$7:$C$12,MATCH(INDEX(Effectif!$D$7:$D$21,MATCH(D31,Effectif!$C$7:$C$21,0)),Paramètres!$B$7:$B$12,0)),0),"")</f>
        <v/>
      </c>
      <c r="M31" s="1" t="n"/>
    </row>
    <row r="32">
      <c r="A32" s="1" t="n"/>
      <c r="B32" s="24" t="n">
        <v>26</v>
      </c>
      <c r="C32" s="25" t="n"/>
      <c r="D32" s="26" t="n"/>
      <c r="E32" s="26" t="n"/>
      <c r="F32" s="26" t="n"/>
      <c r="G32" s="27">
        <f>IF(F32="","",IFERROR(INDEX(Catalogue!$C$7:$C$19,MATCH(F32,Catalogue!$B$7:$B$19,0)),"#N/A"))</f>
        <v/>
      </c>
      <c r="H32" s="28" t="n"/>
      <c r="I32" s="29">
        <f>IF(OR(F32="",H32=""),"",IFERROR(H32*INDEX(Catalogue!$G$7:$G$19,MATCH(F32,Catalogue!$B$7:$B$19,0)),"#N/A"))</f>
        <v/>
      </c>
      <c r="J32" s="30">
        <f>IF(ISNUMBER(I32),I32-K32,"")</f>
        <v/>
      </c>
      <c r="K32" s="31">
        <f>IF(OR(F32="",H32=""),"",IFERROR(H32*INDEX(Catalogue!$F$7:$F$19,MATCH(F32,Catalogue!$B$7:$B$19,0)),"#N/A"))</f>
        <v/>
      </c>
      <c r="L32" s="31">
        <f>IF(ISNUMBER(J32),J32*IFERROR(INDEX(Paramètres!$C$7:$C$12,MATCH(INDEX(Effectif!$D$7:$D$21,MATCH(D32,Effectif!$C$7:$C$21,0)),Paramètres!$B$7:$B$12,0)),0),"")</f>
        <v/>
      </c>
      <c r="M32" s="1" t="n"/>
    </row>
    <row r="33">
      <c r="A33" s="1" t="n"/>
      <c r="B33" s="24" t="n">
        <v>27</v>
      </c>
      <c r="C33" s="25" t="n"/>
      <c r="D33" s="26" t="n"/>
      <c r="E33" s="26" t="n"/>
      <c r="F33" s="26" t="n"/>
      <c r="G33" s="27">
        <f>IF(F33="","",IFERROR(INDEX(Catalogue!$C$7:$C$19,MATCH(F33,Catalogue!$B$7:$B$19,0)),"#N/A"))</f>
        <v/>
      </c>
      <c r="H33" s="28" t="n"/>
      <c r="I33" s="29">
        <f>IF(OR(F33="",H33=""),"",IFERROR(H33*INDEX(Catalogue!$G$7:$G$19,MATCH(F33,Catalogue!$B$7:$B$19,0)),"#N/A"))</f>
        <v/>
      </c>
      <c r="J33" s="30">
        <f>IF(ISNUMBER(I33),I33-K33,"")</f>
        <v/>
      </c>
      <c r="K33" s="31">
        <f>IF(OR(F33="",H33=""),"",IFERROR(H33*INDEX(Catalogue!$F$7:$F$19,MATCH(F33,Catalogue!$B$7:$B$19,0)),"#N/A"))</f>
        <v/>
      </c>
      <c r="L33" s="31">
        <f>IF(ISNUMBER(J33),J33*IFERROR(INDEX(Paramètres!$C$7:$C$12,MATCH(INDEX(Effectif!$D$7:$D$21,MATCH(D33,Effectif!$C$7:$C$21,0)),Paramètres!$B$7:$B$12,0)),0),"")</f>
        <v/>
      </c>
      <c r="M33" s="1" t="n"/>
    </row>
    <row r="34">
      <c r="A34" s="1" t="n"/>
      <c r="B34" s="24" t="n">
        <v>28</v>
      </c>
      <c r="C34" s="25" t="n"/>
      <c r="D34" s="26" t="n"/>
      <c r="E34" s="26" t="n"/>
      <c r="F34" s="26" t="n"/>
      <c r="G34" s="27">
        <f>IF(F34="","",IFERROR(INDEX(Catalogue!$C$7:$C$19,MATCH(F34,Catalogue!$B$7:$B$19,0)),"#N/A"))</f>
        <v/>
      </c>
      <c r="H34" s="28" t="n"/>
      <c r="I34" s="29">
        <f>IF(OR(F34="",H34=""),"",IFERROR(H34*INDEX(Catalogue!$G$7:$G$19,MATCH(F34,Catalogue!$B$7:$B$19,0)),"#N/A"))</f>
        <v/>
      </c>
      <c r="J34" s="30">
        <f>IF(ISNUMBER(I34),I34-K34,"")</f>
        <v/>
      </c>
      <c r="K34" s="31">
        <f>IF(OR(F34="",H34=""),"",IFERROR(H34*INDEX(Catalogue!$F$7:$F$19,MATCH(F34,Catalogue!$B$7:$B$19,0)),"#N/A"))</f>
        <v/>
      </c>
      <c r="L34" s="31">
        <f>IF(ISNUMBER(J34),J34*IFERROR(INDEX(Paramètres!$C$7:$C$12,MATCH(INDEX(Effectif!$D$7:$D$21,MATCH(D34,Effectif!$C$7:$C$21,0)),Paramètres!$B$7:$B$12,0)),0),"")</f>
        <v/>
      </c>
      <c r="M34" s="1" t="n"/>
    </row>
    <row r="35">
      <c r="A35" s="1" t="n"/>
      <c r="B35" s="24" t="n">
        <v>29</v>
      </c>
      <c r="C35" s="25" t="n"/>
      <c r="D35" s="26" t="n"/>
      <c r="E35" s="26" t="n"/>
      <c r="F35" s="26" t="n"/>
      <c r="G35" s="27">
        <f>IF(F35="","",IFERROR(INDEX(Catalogue!$C$7:$C$19,MATCH(F35,Catalogue!$B$7:$B$19,0)),"#N/A"))</f>
        <v/>
      </c>
      <c r="H35" s="28" t="n"/>
      <c r="I35" s="29">
        <f>IF(OR(F35="",H35=""),"",IFERROR(H35*INDEX(Catalogue!$G$7:$G$19,MATCH(F35,Catalogue!$B$7:$B$19,0)),"#N/A"))</f>
        <v/>
      </c>
      <c r="J35" s="30">
        <f>IF(ISNUMBER(I35),I35-K35,"")</f>
        <v/>
      </c>
      <c r="K35" s="31">
        <f>IF(OR(F35="",H35=""),"",IFERROR(H35*INDEX(Catalogue!$F$7:$F$19,MATCH(F35,Catalogue!$B$7:$B$19,0)),"#N/A"))</f>
        <v/>
      </c>
      <c r="L35" s="31">
        <f>IF(ISNUMBER(J35),J35*IFERROR(INDEX(Paramètres!$C$7:$C$12,MATCH(INDEX(Effectif!$D$7:$D$21,MATCH(D35,Effectif!$C$7:$C$21,0)),Paramètres!$B$7:$B$12,0)),0),"")</f>
        <v/>
      </c>
      <c r="M35" s="1" t="n"/>
    </row>
    <row r="36">
      <c r="A36" s="1" t="n"/>
      <c r="B36" s="24" t="n">
        <v>30</v>
      </c>
      <c r="C36" s="25" t="n"/>
      <c r="D36" s="26" t="n"/>
      <c r="E36" s="26" t="n"/>
      <c r="F36" s="26" t="n"/>
      <c r="G36" s="27">
        <f>IF(F36="","",IFERROR(INDEX(Catalogue!$C$7:$C$19,MATCH(F36,Catalogue!$B$7:$B$19,0)),"#N/A"))</f>
        <v/>
      </c>
      <c r="H36" s="28" t="n"/>
      <c r="I36" s="29">
        <f>IF(OR(F36="",H36=""),"",IFERROR(H36*INDEX(Catalogue!$G$7:$G$19,MATCH(F36,Catalogue!$B$7:$B$19,0)),"#N/A"))</f>
        <v/>
      </c>
      <c r="J36" s="30">
        <f>IF(ISNUMBER(I36),I36-K36,"")</f>
        <v/>
      </c>
      <c r="K36" s="31">
        <f>IF(OR(F36="",H36=""),"",IFERROR(H36*INDEX(Catalogue!$F$7:$F$19,MATCH(F36,Catalogue!$B$7:$B$19,0)),"#N/A"))</f>
        <v/>
      </c>
      <c r="L36" s="31">
        <f>IF(ISNUMBER(J36),J36*IFERROR(INDEX(Paramètres!$C$7:$C$12,MATCH(INDEX(Effectif!$D$7:$D$21,MATCH(D36,Effectif!$C$7:$C$21,0)),Paramètres!$B$7:$B$12,0)),0),"")</f>
        <v/>
      </c>
      <c r="M36" s="1" t="n"/>
    </row>
    <row r="37">
      <c r="A37" s="1" t="n"/>
      <c r="B37" s="24" t="n">
        <v>31</v>
      </c>
      <c r="C37" s="25" t="n"/>
      <c r="D37" s="26" t="n"/>
      <c r="E37" s="26" t="n"/>
      <c r="F37" s="26" t="n"/>
      <c r="G37" s="27">
        <f>IF(F37="","",IFERROR(INDEX(Catalogue!$C$7:$C$19,MATCH(F37,Catalogue!$B$7:$B$19,0)),"#N/A"))</f>
        <v/>
      </c>
      <c r="H37" s="28" t="n"/>
      <c r="I37" s="29">
        <f>IF(OR(F37="",H37=""),"",IFERROR(H37*INDEX(Catalogue!$G$7:$G$19,MATCH(F37,Catalogue!$B$7:$B$19,0)),"#N/A"))</f>
        <v/>
      </c>
      <c r="J37" s="30">
        <f>IF(ISNUMBER(I37),I37-K37,"")</f>
        <v/>
      </c>
      <c r="K37" s="31">
        <f>IF(OR(F37="",H37=""),"",IFERROR(H37*INDEX(Catalogue!$F$7:$F$19,MATCH(F37,Catalogue!$B$7:$B$19,0)),"#N/A"))</f>
        <v/>
      </c>
      <c r="L37" s="31">
        <f>IF(ISNUMBER(J37),J37*IFERROR(INDEX(Paramètres!$C$7:$C$12,MATCH(INDEX(Effectif!$D$7:$D$21,MATCH(D37,Effectif!$C$7:$C$21,0)),Paramètres!$B$7:$B$12,0)),0),"")</f>
        <v/>
      </c>
      <c r="M37" s="1" t="n"/>
    </row>
    <row r="38">
      <c r="A38" s="1" t="n"/>
      <c r="B38" s="24" t="n">
        <v>32</v>
      </c>
      <c r="C38" s="25" t="n"/>
      <c r="D38" s="26" t="n"/>
      <c r="E38" s="26" t="n"/>
      <c r="F38" s="26" t="n"/>
      <c r="G38" s="27">
        <f>IF(F38="","",IFERROR(INDEX(Catalogue!$C$7:$C$19,MATCH(F38,Catalogue!$B$7:$B$19,0)),"#N/A"))</f>
        <v/>
      </c>
      <c r="H38" s="28" t="n"/>
      <c r="I38" s="29">
        <f>IF(OR(F38="",H38=""),"",IFERROR(H38*INDEX(Catalogue!$G$7:$G$19,MATCH(F38,Catalogue!$B$7:$B$19,0)),"#N/A"))</f>
        <v/>
      </c>
      <c r="J38" s="30">
        <f>IF(ISNUMBER(I38),I38-K38,"")</f>
        <v/>
      </c>
      <c r="K38" s="31">
        <f>IF(OR(F38="",H38=""),"",IFERROR(H38*INDEX(Catalogue!$F$7:$F$19,MATCH(F38,Catalogue!$B$7:$B$19,0)),"#N/A"))</f>
        <v/>
      </c>
      <c r="L38" s="31">
        <f>IF(ISNUMBER(J38),J38*IFERROR(INDEX(Paramètres!$C$7:$C$12,MATCH(INDEX(Effectif!$D$7:$D$21,MATCH(D38,Effectif!$C$7:$C$21,0)),Paramètres!$B$7:$B$12,0)),0),"")</f>
        <v/>
      </c>
      <c r="M38" s="1" t="n"/>
    </row>
    <row r="39">
      <c r="A39" s="1" t="n"/>
      <c r="B39" s="24" t="n">
        <v>33</v>
      </c>
      <c r="C39" s="25" t="n"/>
      <c r="D39" s="26" t="n"/>
      <c r="E39" s="26" t="n"/>
      <c r="F39" s="26" t="n"/>
      <c r="G39" s="27">
        <f>IF(F39="","",IFERROR(INDEX(Catalogue!$C$7:$C$19,MATCH(F39,Catalogue!$B$7:$B$19,0)),"#N/A"))</f>
        <v/>
      </c>
      <c r="H39" s="28" t="n"/>
      <c r="I39" s="29">
        <f>IF(OR(F39="",H39=""),"",IFERROR(H39*INDEX(Catalogue!$G$7:$G$19,MATCH(F39,Catalogue!$B$7:$B$19,0)),"#N/A"))</f>
        <v/>
      </c>
      <c r="J39" s="30">
        <f>IF(ISNUMBER(I39),I39-K39,"")</f>
        <v/>
      </c>
      <c r="K39" s="31">
        <f>IF(OR(F39="",H39=""),"",IFERROR(H39*INDEX(Catalogue!$F$7:$F$19,MATCH(F39,Catalogue!$B$7:$B$19,0)),"#N/A"))</f>
        <v/>
      </c>
      <c r="L39" s="31">
        <f>IF(ISNUMBER(J39),J39*IFERROR(INDEX(Paramètres!$C$7:$C$12,MATCH(INDEX(Effectif!$D$7:$D$21,MATCH(D39,Effectif!$C$7:$C$21,0)),Paramètres!$B$7:$B$12,0)),0),"")</f>
        <v/>
      </c>
      <c r="M39" s="1" t="n"/>
    </row>
    <row r="40">
      <c r="A40" s="1" t="n"/>
      <c r="B40" s="24" t="n">
        <v>34</v>
      </c>
      <c r="C40" s="25" t="n"/>
      <c r="D40" s="26" t="n"/>
      <c r="E40" s="26" t="n"/>
      <c r="F40" s="26" t="n"/>
      <c r="G40" s="27">
        <f>IF(F40="","",IFERROR(INDEX(Catalogue!$C$7:$C$19,MATCH(F40,Catalogue!$B$7:$B$19,0)),"#N/A"))</f>
        <v/>
      </c>
      <c r="H40" s="28" t="n"/>
      <c r="I40" s="29">
        <f>IF(OR(F40="",H40=""),"",IFERROR(H40*INDEX(Catalogue!$G$7:$G$19,MATCH(F40,Catalogue!$B$7:$B$19,0)),"#N/A"))</f>
        <v/>
      </c>
      <c r="J40" s="30">
        <f>IF(ISNUMBER(I40),I40-K40,"")</f>
        <v/>
      </c>
      <c r="K40" s="31">
        <f>IF(OR(F40="",H40=""),"",IFERROR(H40*INDEX(Catalogue!$F$7:$F$19,MATCH(F40,Catalogue!$B$7:$B$19,0)),"#N/A"))</f>
        <v/>
      </c>
      <c r="L40" s="31">
        <f>IF(ISNUMBER(J40),J40*IFERROR(INDEX(Paramètres!$C$7:$C$12,MATCH(INDEX(Effectif!$D$7:$D$21,MATCH(D40,Effectif!$C$7:$C$21,0)),Paramètres!$B$7:$B$12,0)),0),"")</f>
        <v/>
      </c>
      <c r="M40" s="1" t="n"/>
    </row>
    <row r="41">
      <c r="A41" s="1" t="n"/>
      <c r="B41" s="24" t="n">
        <v>35</v>
      </c>
      <c r="C41" s="25" t="n"/>
      <c r="D41" s="26" t="n"/>
      <c r="E41" s="26" t="n"/>
      <c r="F41" s="26" t="n"/>
      <c r="G41" s="27">
        <f>IF(F41="","",IFERROR(INDEX(Catalogue!$C$7:$C$19,MATCH(F41,Catalogue!$B$7:$B$19,0)),"#N/A"))</f>
        <v/>
      </c>
      <c r="H41" s="28" t="n"/>
      <c r="I41" s="29">
        <f>IF(OR(F41="",H41=""),"",IFERROR(H41*INDEX(Catalogue!$G$7:$G$19,MATCH(F41,Catalogue!$B$7:$B$19,0)),"#N/A"))</f>
        <v/>
      </c>
      <c r="J41" s="30">
        <f>IF(ISNUMBER(I41),I41-K41,"")</f>
        <v/>
      </c>
      <c r="K41" s="31">
        <f>IF(OR(F41="",H41=""),"",IFERROR(H41*INDEX(Catalogue!$F$7:$F$19,MATCH(F41,Catalogue!$B$7:$B$19,0)),"#N/A"))</f>
        <v/>
      </c>
      <c r="L41" s="31">
        <f>IF(ISNUMBER(J41),J41*IFERROR(INDEX(Paramètres!$C$7:$C$12,MATCH(INDEX(Effectif!$D$7:$D$21,MATCH(D41,Effectif!$C$7:$C$21,0)),Paramètres!$B$7:$B$12,0)),0),"")</f>
        <v/>
      </c>
      <c r="M41" s="1" t="n"/>
    </row>
    <row r="42">
      <c r="A42" s="1" t="n"/>
      <c r="B42" s="24" t="n">
        <v>36</v>
      </c>
      <c r="C42" s="25" t="n"/>
      <c r="D42" s="26" t="n"/>
      <c r="E42" s="26" t="n"/>
      <c r="F42" s="26" t="n"/>
      <c r="G42" s="27">
        <f>IF(F42="","",IFERROR(INDEX(Catalogue!$C$7:$C$19,MATCH(F42,Catalogue!$B$7:$B$19,0)),"#N/A"))</f>
        <v/>
      </c>
      <c r="H42" s="28" t="n"/>
      <c r="I42" s="29">
        <f>IF(OR(F42="",H42=""),"",IFERROR(H42*INDEX(Catalogue!$G$7:$G$19,MATCH(F42,Catalogue!$B$7:$B$19,0)),"#N/A"))</f>
        <v/>
      </c>
      <c r="J42" s="30">
        <f>IF(ISNUMBER(I42),I42-K42,"")</f>
        <v/>
      </c>
      <c r="K42" s="31">
        <f>IF(OR(F42="",H42=""),"",IFERROR(H42*INDEX(Catalogue!$F$7:$F$19,MATCH(F42,Catalogue!$B$7:$B$19,0)),"#N/A"))</f>
        <v/>
      </c>
      <c r="L42" s="31">
        <f>IF(ISNUMBER(J42),J42*IFERROR(INDEX(Paramètres!$C$7:$C$12,MATCH(INDEX(Effectif!$D$7:$D$21,MATCH(D42,Effectif!$C$7:$C$21,0)),Paramètres!$B$7:$B$12,0)),0),"")</f>
        <v/>
      </c>
      <c r="M42" s="1" t="n"/>
    </row>
    <row r="43">
      <c r="A43" s="1" t="n"/>
      <c r="B43" s="24" t="n">
        <v>37</v>
      </c>
      <c r="C43" s="25" t="n"/>
      <c r="D43" s="26" t="n"/>
      <c r="E43" s="26" t="n"/>
      <c r="F43" s="26" t="n"/>
      <c r="G43" s="27">
        <f>IF(F43="","",IFERROR(INDEX(Catalogue!$C$7:$C$19,MATCH(F43,Catalogue!$B$7:$B$19,0)),"#N/A"))</f>
        <v/>
      </c>
      <c r="H43" s="28" t="n"/>
      <c r="I43" s="29">
        <f>IF(OR(F43="",H43=""),"",IFERROR(H43*INDEX(Catalogue!$G$7:$G$19,MATCH(F43,Catalogue!$B$7:$B$19,0)),"#N/A"))</f>
        <v/>
      </c>
      <c r="J43" s="30">
        <f>IF(ISNUMBER(I43),I43-K43,"")</f>
        <v/>
      </c>
      <c r="K43" s="31">
        <f>IF(OR(F43="",H43=""),"",IFERROR(H43*INDEX(Catalogue!$F$7:$F$19,MATCH(F43,Catalogue!$B$7:$B$19,0)),"#N/A"))</f>
        <v/>
      </c>
      <c r="L43" s="31">
        <f>IF(ISNUMBER(J43),J43*IFERROR(INDEX(Paramètres!$C$7:$C$12,MATCH(INDEX(Effectif!$D$7:$D$21,MATCH(D43,Effectif!$C$7:$C$21,0)),Paramètres!$B$7:$B$12,0)),0),"")</f>
        <v/>
      </c>
      <c r="M43" s="1" t="n"/>
    </row>
    <row r="44">
      <c r="A44" s="1" t="n"/>
      <c r="B44" s="24" t="n">
        <v>38</v>
      </c>
      <c r="C44" s="25" t="n"/>
      <c r="D44" s="26" t="n"/>
      <c r="E44" s="26" t="n"/>
      <c r="F44" s="26" t="n"/>
      <c r="G44" s="27">
        <f>IF(F44="","",IFERROR(INDEX(Catalogue!$C$7:$C$19,MATCH(F44,Catalogue!$B$7:$B$19,0)),"#N/A"))</f>
        <v/>
      </c>
      <c r="H44" s="28" t="n"/>
      <c r="I44" s="29">
        <f>IF(OR(F44="",H44=""),"",IFERROR(H44*INDEX(Catalogue!$G$7:$G$19,MATCH(F44,Catalogue!$B$7:$B$19,0)),"#N/A"))</f>
        <v/>
      </c>
      <c r="J44" s="30">
        <f>IF(ISNUMBER(I44),I44-K44,"")</f>
        <v/>
      </c>
      <c r="K44" s="31">
        <f>IF(OR(F44="",H44=""),"",IFERROR(H44*INDEX(Catalogue!$F$7:$F$19,MATCH(F44,Catalogue!$B$7:$B$19,0)),"#N/A"))</f>
        <v/>
      </c>
      <c r="L44" s="31">
        <f>IF(ISNUMBER(J44),J44*IFERROR(INDEX(Paramètres!$C$7:$C$12,MATCH(INDEX(Effectif!$D$7:$D$21,MATCH(D44,Effectif!$C$7:$C$21,0)),Paramètres!$B$7:$B$12,0)),0),"")</f>
        <v/>
      </c>
      <c r="M44" s="1" t="n"/>
    </row>
    <row r="45">
      <c r="A45" s="1" t="n"/>
      <c r="B45" s="24" t="n">
        <v>39</v>
      </c>
      <c r="C45" s="25" t="n"/>
      <c r="D45" s="26" t="n"/>
      <c r="E45" s="26" t="n"/>
      <c r="F45" s="26" t="n"/>
      <c r="G45" s="27">
        <f>IF(F45="","",IFERROR(INDEX(Catalogue!$C$7:$C$19,MATCH(F45,Catalogue!$B$7:$B$19,0)),"#N/A"))</f>
        <v/>
      </c>
      <c r="H45" s="28" t="n"/>
      <c r="I45" s="29">
        <f>IF(OR(F45="",H45=""),"",IFERROR(H45*INDEX(Catalogue!$G$7:$G$19,MATCH(F45,Catalogue!$B$7:$B$19,0)),"#N/A"))</f>
        <v/>
      </c>
      <c r="J45" s="30">
        <f>IF(ISNUMBER(I45),I45-K45,"")</f>
        <v/>
      </c>
      <c r="K45" s="31">
        <f>IF(OR(F45="",H45=""),"",IFERROR(H45*INDEX(Catalogue!$F$7:$F$19,MATCH(F45,Catalogue!$B$7:$B$19,0)),"#N/A"))</f>
        <v/>
      </c>
      <c r="L45" s="31">
        <f>IF(ISNUMBER(J45),J45*IFERROR(INDEX(Paramètres!$C$7:$C$12,MATCH(INDEX(Effectif!$D$7:$D$21,MATCH(D45,Effectif!$C$7:$C$21,0)),Paramètres!$B$7:$B$12,0)),0),"")</f>
        <v/>
      </c>
      <c r="M45" s="1" t="n"/>
    </row>
    <row r="46">
      <c r="A46" s="1" t="n"/>
      <c r="B46" s="24" t="n">
        <v>40</v>
      </c>
      <c r="C46" s="25" t="n"/>
      <c r="D46" s="26" t="n"/>
      <c r="E46" s="26" t="n"/>
      <c r="F46" s="26" t="n"/>
      <c r="G46" s="27">
        <f>IF(F46="","",IFERROR(INDEX(Catalogue!$C$7:$C$19,MATCH(F46,Catalogue!$B$7:$B$19,0)),"#N/A"))</f>
        <v/>
      </c>
      <c r="H46" s="28" t="n"/>
      <c r="I46" s="29">
        <f>IF(OR(F46="",H46=""),"",IFERROR(H46*INDEX(Catalogue!$G$7:$G$19,MATCH(F46,Catalogue!$B$7:$B$19,0)),"#N/A"))</f>
        <v/>
      </c>
      <c r="J46" s="30">
        <f>IF(ISNUMBER(I46),I46-K46,"")</f>
        <v/>
      </c>
      <c r="K46" s="31">
        <f>IF(OR(F46="",H46=""),"",IFERROR(H46*INDEX(Catalogue!$F$7:$F$19,MATCH(F46,Catalogue!$B$7:$B$19,0)),"#N/A"))</f>
        <v/>
      </c>
      <c r="L46" s="31">
        <f>IF(ISNUMBER(J46),J46*IFERROR(INDEX(Paramètres!$C$7:$C$12,MATCH(INDEX(Effectif!$D$7:$D$21,MATCH(D46,Effectif!$C$7:$C$21,0)),Paramètres!$B$7:$B$12,0)),0),"")</f>
        <v/>
      </c>
      <c r="M46" s="1" t="n"/>
    </row>
    <row r="47">
      <c r="A47" s="1" t="n"/>
      <c r="B47" s="24" t="n">
        <v>41</v>
      </c>
      <c r="C47" s="25" t="n"/>
      <c r="D47" s="26" t="n"/>
      <c r="E47" s="26" t="n"/>
      <c r="F47" s="26" t="n"/>
      <c r="G47" s="27">
        <f>IF(F47="","",IFERROR(INDEX(Catalogue!$C$7:$C$19,MATCH(F47,Catalogue!$B$7:$B$19,0)),"#N/A"))</f>
        <v/>
      </c>
      <c r="H47" s="28" t="n"/>
      <c r="I47" s="29">
        <f>IF(OR(F47="",H47=""),"",IFERROR(H47*INDEX(Catalogue!$G$7:$G$19,MATCH(F47,Catalogue!$B$7:$B$19,0)),"#N/A"))</f>
        <v/>
      </c>
      <c r="J47" s="30">
        <f>IF(ISNUMBER(I47),I47-K47,"")</f>
        <v/>
      </c>
      <c r="K47" s="31">
        <f>IF(OR(F47="",H47=""),"",IFERROR(H47*INDEX(Catalogue!$F$7:$F$19,MATCH(F47,Catalogue!$B$7:$B$19,0)),"#N/A"))</f>
        <v/>
      </c>
      <c r="L47" s="31">
        <f>IF(ISNUMBER(J47),J47*IFERROR(INDEX(Paramètres!$C$7:$C$12,MATCH(INDEX(Effectif!$D$7:$D$21,MATCH(D47,Effectif!$C$7:$C$21,0)),Paramètres!$B$7:$B$12,0)),0),"")</f>
        <v/>
      </c>
      <c r="M47" s="1" t="n"/>
    </row>
    <row r="48">
      <c r="A48" s="1" t="n"/>
      <c r="B48" s="24" t="n">
        <v>42</v>
      </c>
      <c r="C48" s="25" t="n"/>
      <c r="D48" s="26" t="n"/>
      <c r="E48" s="26" t="n"/>
      <c r="F48" s="26" t="n"/>
      <c r="G48" s="27">
        <f>IF(F48="","",IFERROR(INDEX(Catalogue!$C$7:$C$19,MATCH(F48,Catalogue!$B$7:$B$19,0)),"#N/A"))</f>
        <v/>
      </c>
      <c r="H48" s="28" t="n"/>
      <c r="I48" s="29">
        <f>IF(OR(F48="",H48=""),"",IFERROR(H48*INDEX(Catalogue!$G$7:$G$19,MATCH(F48,Catalogue!$B$7:$B$19,0)),"#N/A"))</f>
        <v/>
      </c>
      <c r="J48" s="30">
        <f>IF(ISNUMBER(I48),I48-K48,"")</f>
        <v/>
      </c>
      <c r="K48" s="31">
        <f>IF(OR(F48="",H48=""),"",IFERROR(H48*INDEX(Catalogue!$F$7:$F$19,MATCH(F48,Catalogue!$B$7:$B$19,0)),"#N/A"))</f>
        <v/>
      </c>
      <c r="L48" s="31">
        <f>IF(ISNUMBER(J48),J48*IFERROR(INDEX(Paramètres!$C$7:$C$12,MATCH(INDEX(Effectif!$D$7:$D$21,MATCH(D48,Effectif!$C$7:$C$21,0)),Paramètres!$B$7:$B$12,0)),0),"")</f>
        <v/>
      </c>
      <c r="M48" s="1" t="n"/>
    </row>
    <row r="49">
      <c r="A49" s="1" t="n"/>
      <c r="B49" s="24" t="n">
        <v>43</v>
      </c>
      <c r="C49" s="25" t="n"/>
      <c r="D49" s="26" t="n"/>
      <c r="E49" s="26" t="n"/>
      <c r="F49" s="26" t="n"/>
      <c r="G49" s="27">
        <f>IF(F49="","",IFERROR(INDEX(Catalogue!$C$7:$C$19,MATCH(F49,Catalogue!$B$7:$B$19,0)),"#N/A"))</f>
        <v/>
      </c>
      <c r="H49" s="28" t="n"/>
      <c r="I49" s="29">
        <f>IF(OR(F49="",H49=""),"",IFERROR(H49*INDEX(Catalogue!$G$7:$G$19,MATCH(F49,Catalogue!$B$7:$B$19,0)),"#N/A"))</f>
        <v/>
      </c>
      <c r="J49" s="30">
        <f>IF(ISNUMBER(I49),I49-K49,"")</f>
        <v/>
      </c>
      <c r="K49" s="31">
        <f>IF(OR(F49="",H49=""),"",IFERROR(H49*INDEX(Catalogue!$F$7:$F$19,MATCH(F49,Catalogue!$B$7:$B$19,0)),"#N/A"))</f>
        <v/>
      </c>
      <c r="L49" s="31">
        <f>IF(ISNUMBER(J49),J49*IFERROR(INDEX(Paramètres!$C$7:$C$12,MATCH(INDEX(Effectif!$D$7:$D$21,MATCH(D49,Effectif!$C$7:$C$21,0)),Paramètres!$B$7:$B$12,0)),0),"")</f>
        <v/>
      </c>
      <c r="M49" s="1" t="n"/>
    </row>
    <row r="50">
      <c r="A50" s="1" t="n"/>
      <c r="B50" s="24" t="n">
        <v>44</v>
      </c>
      <c r="C50" s="25" t="n"/>
      <c r="D50" s="26" t="n"/>
      <c r="E50" s="26" t="n"/>
      <c r="F50" s="26" t="n"/>
      <c r="G50" s="27">
        <f>IF(F50="","",IFERROR(INDEX(Catalogue!$C$7:$C$19,MATCH(F50,Catalogue!$B$7:$B$19,0)),"#N/A"))</f>
        <v/>
      </c>
      <c r="H50" s="28" t="n"/>
      <c r="I50" s="29">
        <f>IF(OR(F50="",H50=""),"",IFERROR(H50*INDEX(Catalogue!$G$7:$G$19,MATCH(F50,Catalogue!$B$7:$B$19,0)),"#N/A"))</f>
        <v/>
      </c>
      <c r="J50" s="30">
        <f>IF(ISNUMBER(I50),I50-K50,"")</f>
        <v/>
      </c>
      <c r="K50" s="31">
        <f>IF(OR(F50="",H50=""),"",IFERROR(H50*INDEX(Catalogue!$F$7:$F$19,MATCH(F50,Catalogue!$B$7:$B$19,0)),"#N/A"))</f>
        <v/>
      </c>
      <c r="L50" s="31">
        <f>IF(ISNUMBER(J50),J50*IFERROR(INDEX(Paramètres!$C$7:$C$12,MATCH(INDEX(Effectif!$D$7:$D$21,MATCH(D50,Effectif!$C$7:$C$21,0)),Paramètres!$B$7:$B$12,0)),0),"")</f>
        <v/>
      </c>
      <c r="M50" s="1" t="n"/>
    </row>
    <row r="51">
      <c r="A51" s="1" t="n"/>
      <c r="B51" s="24" t="n">
        <v>45</v>
      </c>
      <c r="C51" s="25" t="n"/>
      <c r="D51" s="26" t="n"/>
      <c r="E51" s="26" t="n"/>
      <c r="F51" s="26" t="n"/>
      <c r="G51" s="27">
        <f>IF(F51="","",IFERROR(INDEX(Catalogue!$C$7:$C$19,MATCH(F51,Catalogue!$B$7:$B$19,0)),"#N/A"))</f>
        <v/>
      </c>
      <c r="H51" s="28" t="n"/>
      <c r="I51" s="29">
        <f>IF(OR(F51="",H51=""),"",IFERROR(H51*INDEX(Catalogue!$G$7:$G$19,MATCH(F51,Catalogue!$B$7:$B$19,0)),"#N/A"))</f>
        <v/>
      </c>
      <c r="J51" s="30">
        <f>IF(ISNUMBER(I51),I51-K51,"")</f>
        <v/>
      </c>
      <c r="K51" s="31">
        <f>IF(OR(F51="",H51=""),"",IFERROR(H51*INDEX(Catalogue!$F$7:$F$19,MATCH(F51,Catalogue!$B$7:$B$19,0)),"#N/A"))</f>
        <v/>
      </c>
      <c r="L51" s="31">
        <f>IF(ISNUMBER(J51),J51*IFERROR(INDEX(Paramètres!$C$7:$C$12,MATCH(INDEX(Effectif!$D$7:$D$21,MATCH(D51,Effectif!$C$7:$C$21,0)),Paramètres!$B$7:$B$12,0)),0),"")</f>
        <v/>
      </c>
      <c r="M51" s="1" t="n"/>
    </row>
    <row r="52">
      <c r="A52" s="1" t="n"/>
      <c r="B52" s="24" t="n">
        <v>46</v>
      </c>
      <c r="C52" s="25" t="n"/>
      <c r="D52" s="26" t="n"/>
      <c r="E52" s="26" t="n"/>
      <c r="F52" s="26" t="n"/>
      <c r="G52" s="27">
        <f>IF(F52="","",IFERROR(INDEX(Catalogue!$C$7:$C$19,MATCH(F52,Catalogue!$B$7:$B$19,0)),"#N/A"))</f>
        <v/>
      </c>
      <c r="H52" s="28" t="n"/>
      <c r="I52" s="29">
        <f>IF(OR(F52="",H52=""),"",IFERROR(H52*INDEX(Catalogue!$G$7:$G$19,MATCH(F52,Catalogue!$B$7:$B$19,0)),"#N/A"))</f>
        <v/>
      </c>
      <c r="J52" s="30">
        <f>IF(ISNUMBER(I52),I52-K52,"")</f>
        <v/>
      </c>
      <c r="K52" s="31">
        <f>IF(OR(F52="",H52=""),"",IFERROR(H52*INDEX(Catalogue!$F$7:$F$19,MATCH(F52,Catalogue!$B$7:$B$19,0)),"#N/A"))</f>
        <v/>
      </c>
      <c r="L52" s="31">
        <f>IF(ISNUMBER(J52),J52*IFERROR(INDEX(Paramètres!$C$7:$C$12,MATCH(INDEX(Effectif!$D$7:$D$21,MATCH(D52,Effectif!$C$7:$C$21,0)),Paramètres!$B$7:$B$12,0)),0),"")</f>
        <v/>
      </c>
      <c r="M52" s="1" t="n"/>
    </row>
    <row r="53">
      <c r="A53" s="1" t="n"/>
      <c r="B53" s="24" t="n">
        <v>47</v>
      </c>
      <c r="C53" s="25" t="n"/>
      <c r="D53" s="26" t="n"/>
      <c r="E53" s="26" t="n"/>
      <c r="F53" s="26" t="n"/>
      <c r="G53" s="27">
        <f>IF(F53="","",IFERROR(INDEX(Catalogue!$C$7:$C$19,MATCH(F53,Catalogue!$B$7:$B$19,0)),"#N/A"))</f>
        <v/>
      </c>
      <c r="H53" s="28" t="n"/>
      <c r="I53" s="29">
        <f>IF(OR(F53="",H53=""),"",IFERROR(H53*INDEX(Catalogue!$G$7:$G$19,MATCH(F53,Catalogue!$B$7:$B$19,0)),"#N/A"))</f>
        <v/>
      </c>
      <c r="J53" s="30">
        <f>IF(ISNUMBER(I53),I53-K53,"")</f>
        <v/>
      </c>
      <c r="K53" s="31">
        <f>IF(OR(F53="",H53=""),"",IFERROR(H53*INDEX(Catalogue!$F$7:$F$19,MATCH(F53,Catalogue!$B$7:$B$19,0)),"#N/A"))</f>
        <v/>
      </c>
      <c r="L53" s="31">
        <f>IF(ISNUMBER(J53),J53*IFERROR(INDEX(Paramètres!$C$7:$C$12,MATCH(INDEX(Effectif!$D$7:$D$21,MATCH(D53,Effectif!$C$7:$C$21,0)),Paramètres!$B$7:$B$12,0)),0),"")</f>
        <v/>
      </c>
      <c r="M53" s="1" t="n"/>
    </row>
    <row r="54">
      <c r="A54" s="1" t="n"/>
      <c r="B54" s="24" t="n">
        <v>48</v>
      </c>
      <c r="C54" s="25" t="n"/>
      <c r="D54" s="26" t="n"/>
      <c r="E54" s="26" t="n"/>
      <c r="F54" s="26" t="n"/>
      <c r="G54" s="27">
        <f>IF(F54="","",IFERROR(INDEX(Catalogue!$C$7:$C$19,MATCH(F54,Catalogue!$B$7:$B$19,0)),"#N/A"))</f>
        <v/>
      </c>
      <c r="H54" s="28" t="n"/>
      <c r="I54" s="29">
        <f>IF(OR(F54="",H54=""),"",IFERROR(H54*INDEX(Catalogue!$G$7:$G$19,MATCH(F54,Catalogue!$B$7:$B$19,0)),"#N/A"))</f>
        <v/>
      </c>
      <c r="J54" s="30">
        <f>IF(ISNUMBER(I54),I54-K54,"")</f>
        <v/>
      </c>
      <c r="K54" s="31">
        <f>IF(OR(F54="",H54=""),"",IFERROR(H54*INDEX(Catalogue!$F$7:$F$19,MATCH(F54,Catalogue!$B$7:$B$19,0)),"#N/A"))</f>
        <v/>
      </c>
      <c r="L54" s="31">
        <f>IF(ISNUMBER(J54),J54*IFERROR(INDEX(Paramètres!$C$7:$C$12,MATCH(INDEX(Effectif!$D$7:$D$21,MATCH(D54,Effectif!$C$7:$C$21,0)),Paramètres!$B$7:$B$12,0)),0),"")</f>
        <v/>
      </c>
      <c r="M54" s="1" t="n"/>
    </row>
    <row r="55">
      <c r="A55" s="1" t="n"/>
      <c r="B55" s="24" t="n">
        <v>49</v>
      </c>
      <c r="C55" s="25" t="n"/>
      <c r="D55" s="26" t="n"/>
      <c r="E55" s="26" t="n"/>
      <c r="F55" s="26" t="n"/>
      <c r="G55" s="27">
        <f>IF(F55="","",IFERROR(INDEX(Catalogue!$C$7:$C$19,MATCH(F55,Catalogue!$B$7:$B$19,0)),"#N/A"))</f>
        <v/>
      </c>
      <c r="H55" s="28" t="n"/>
      <c r="I55" s="29">
        <f>IF(OR(F55="",H55=""),"",IFERROR(H55*INDEX(Catalogue!$G$7:$G$19,MATCH(F55,Catalogue!$B$7:$B$19,0)),"#N/A"))</f>
        <v/>
      </c>
      <c r="J55" s="30">
        <f>IF(ISNUMBER(I55),I55-K55,"")</f>
        <v/>
      </c>
      <c r="K55" s="31">
        <f>IF(OR(F55="",H55=""),"",IFERROR(H55*INDEX(Catalogue!$F$7:$F$19,MATCH(F55,Catalogue!$B$7:$B$19,0)),"#N/A"))</f>
        <v/>
      </c>
      <c r="L55" s="31">
        <f>IF(ISNUMBER(J55),J55*IFERROR(INDEX(Paramètres!$C$7:$C$12,MATCH(INDEX(Effectif!$D$7:$D$21,MATCH(D55,Effectif!$C$7:$C$21,0)),Paramètres!$B$7:$B$12,0)),0),"")</f>
        <v/>
      </c>
      <c r="M55" s="1" t="n"/>
    </row>
    <row r="56">
      <c r="A56" s="1" t="n"/>
      <c r="B56" s="24" t="n">
        <v>50</v>
      </c>
      <c r="C56" s="25" t="n"/>
      <c r="D56" s="26" t="n"/>
      <c r="E56" s="26" t="n"/>
      <c r="F56" s="26" t="n"/>
      <c r="G56" s="27">
        <f>IF(F56="","",IFERROR(INDEX(Catalogue!$C$7:$C$19,MATCH(F56,Catalogue!$B$7:$B$19,0)),"#N/A"))</f>
        <v/>
      </c>
      <c r="H56" s="28" t="n"/>
      <c r="I56" s="29">
        <f>IF(OR(F56="",H56=""),"",IFERROR(H56*INDEX(Catalogue!$G$7:$G$19,MATCH(F56,Catalogue!$B$7:$B$19,0)),"#N/A"))</f>
        <v/>
      </c>
      <c r="J56" s="30">
        <f>IF(ISNUMBER(I56),I56-K56,"")</f>
        <v/>
      </c>
      <c r="K56" s="31">
        <f>IF(OR(F56="",H56=""),"",IFERROR(H56*INDEX(Catalogue!$F$7:$F$19,MATCH(F56,Catalogue!$B$7:$B$19,0)),"#N/A"))</f>
        <v/>
      </c>
      <c r="L56" s="31">
        <f>IF(ISNUMBER(J56),J56*IFERROR(INDEX(Paramètres!$C$7:$C$12,MATCH(INDEX(Effectif!$D$7:$D$21,MATCH(D56,Effectif!$C$7:$C$21,0)),Paramètres!$B$7:$B$12,0)),0),"")</f>
        <v/>
      </c>
      <c r="M56" s="1" t="n"/>
    </row>
    <row r="57">
      <c r="A57" s="1" t="n"/>
      <c r="B57" s="24" t="n">
        <v>51</v>
      </c>
      <c r="C57" s="25" t="n"/>
      <c r="D57" s="26" t="n"/>
      <c r="E57" s="26" t="n"/>
      <c r="F57" s="26" t="n"/>
      <c r="G57" s="27">
        <f>IF(F57="","",IFERROR(INDEX(Catalogue!$C$7:$C$19,MATCH(F57,Catalogue!$B$7:$B$19,0)),"#N/A"))</f>
        <v/>
      </c>
      <c r="H57" s="28" t="n"/>
      <c r="I57" s="29">
        <f>IF(OR(F57="",H57=""),"",IFERROR(H57*INDEX(Catalogue!$G$7:$G$19,MATCH(F57,Catalogue!$B$7:$B$19,0)),"#N/A"))</f>
        <v/>
      </c>
      <c r="J57" s="30">
        <f>IF(ISNUMBER(I57),I57-K57,"")</f>
        <v/>
      </c>
      <c r="K57" s="31">
        <f>IF(OR(F57="",H57=""),"",IFERROR(H57*INDEX(Catalogue!$F$7:$F$19,MATCH(F57,Catalogue!$B$7:$B$19,0)),"#N/A"))</f>
        <v/>
      </c>
      <c r="L57" s="31">
        <f>IF(ISNUMBER(J57),J57*IFERROR(INDEX(Paramètres!$C$7:$C$12,MATCH(INDEX(Effectif!$D$7:$D$21,MATCH(D57,Effectif!$C$7:$C$21,0)),Paramètres!$B$7:$B$12,0)),0),"")</f>
        <v/>
      </c>
      <c r="M57" s="1" t="n"/>
    </row>
    <row r="58">
      <c r="A58" s="1" t="n"/>
      <c r="B58" s="24" t="n">
        <v>52</v>
      </c>
      <c r="C58" s="25" t="n"/>
      <c r="D58" s="26" t="n"/>
      <c r="E58" s="26" t="n"/>
      <c r="F58" s="26" t="n"/>
      <c r="G58" s="27">
        <f>IF(F58="","",IFERROR(INDEX(Catalogue!$C$7:$C$19,MATCH(F58,Catalogue!$B$7:$B$19,0)),"#N/A"))</f>
        <v/>
      </c>
      <c r="H58" s="28" t="n"/>
      <c r="I58" s="29">
        <f>IF(OR(F58="",H58=""),"",IFERROR(H58*INDEX(Catalogue!$G$7:$G$19,MATCH(F58,Catalogue!$B$7:$B$19,0)),"#N/A"))</f>
        <v/>
      </c>
      <c r="J58" s="30">
        <f>IF(ISNUMBER(I58),I58-K58,"")</f>
        <v/>
      </c>
      <c r="K58" s="31">
        <f>IF(OR(F58="",H58=""),"",IFERROR(H58*INDEX(Catalogue!$F$7:$F$19,MATCH(F58,Catalogue!$B$7:$B$19,0)),"#N/A"))</f>
        <v/>
      </c>
      <c r="L58" s="31">
        <f>IF(ISNUMBER(J58),J58*IFERROR(INDEX(Paramètres!$C$7:$C$12,MATCH(INDEX(Effectif!$D$7:$D$21,MATCH(D58,Effectif!$C$7:$C$21,0)),Paramètres!$B$7:$B$12,0)),0),"")</f>
        <v/>
      </c>
      <c r="M58" s="1" t="n"/>
    </row>
    <row r="59">
      <c r="A59" s="1" t="n"/>
      <c r="B59" s="24" t="n">
        <v>53</v>
      </c>
      <c r="C59" s="25" t="n"/>
      <c r="D59" s="26" t="n"/>
      <c r="E59" s="26" t="n"/>
      <c r="F59" s="26" t="n"/>
      <c r="G59" s="27">
        <f>IF(F59="","",IFERROR(INDEX(Catalogue!$C$7:$C$19,MATCH(F59,Catalogue!$B$7:$B$19,0)),"#N/A"))</f>
        <v/>
      </c>
      <c r="H59" s="28" t="n"/>
      <c r="I59" s="29">
        <f>IF(OR(F59="",H59=""),"",IFERROR(H59*INDEX(Catalogue!$G$7:$G$19,MATCH(F59,Catalogue!$B$7:$B$19,0)),"#N/A"))</f>
        <v/>
      </c>
      <c r="J59" s="30">
        <f>IF(ISNUMBER(I59),I59-K59,"")</f>
        <v/>
      </c>
      <c r="K59" s="31">
        <f>IF(OR(F59="",H59=""),"",IFERROR(H59*INDEX(Catalogue!$F$7:$F$19,MATCH(F59,Catalogue!$B$7:$B$19,0)),"#N/A"))</f>
        <v/>
      </c>
      <c r="L59" s="31">
        <f>IF(ISNUMBER(J59),J59*IFERROR(INDEX(Paramètres!$C$7:$C$12,MATCH(INDEX(Effectif!$D$7:$D$21,MATCH(D59,Effectif!$C$7:$C$21,0)),Paramètres!$B$7:$B$12,0)),0),"")</f>
        <v/>
      </c>
      <c r="M59" s="1" t="n"/>
    </row>
    <row r="60">
      <c r="A60" s="1" t="n"/>
      <c r="B60" s="24" t="n">
        <v>54</v>
      </c>
      <c r="C60" s="25" t="n"/>
      <c r="D60" s="26" t="n"/>
      <c r="E60" s="26" t="n"/>
      <c r="F60" s="26" t="n"/>
      <c r="G60" s="27">
        <f>IF(F60="","",IFERROR(INDEX(Catalogue!$C$7:$C$19,MATCH(F60,Catalogue!$B$7:$B$19,0)),"#N/A"))</f>
        <v/>
      </c>
      <c r="H60" s="28" t="n"/>
      <c r="I60" s="29">
        <f>IF(OR(F60="",H60=""),"",IFERROR(H60*INDEX(Catalogue!$G$7:$G$19,MATCH(F60,Catalogue!$B$7:$B$19,0)),"#N/A"))</f>
        <v/>
      </c>
      <c r="J60" s="30">
        <f>IF(ISNUMBER(I60),I60-K60,"")</f>
        <v/>
      </c>
      <c r="K60" s="31">
        <f>IF(OR(F60="",H60=""),"",IFERROR(H60*INDEX(Catalogue!$F$7:$F$19,MATCH(F60,Catalogue!$B$7:$B$19,0)),"#N/A"))</f>
        <v/>
      </c>
      <c r="L60" s="31">
        <f>IF(ISNUMBER(J60),J60*IFERROR(INDEX(Paramètres!$C$7:$C$12,MATCH(INDEX(Effectif!$D$7:$D$21,MATCH(D60,Effectif!$C$7:$C$21,0)),Paramètres!$B$7:$B$12,0)),0),"")</f>
        <v/>
      </c>
      <c r="M60" s="1" t="n"/>
    </row>
    <row r="61">
      <c r="A61" s="1" t="n"/>
      <c r="B61" s="24" t="n">
        <v>55</v>
      </c>
      <c r="C61" s="25" t="n"/>
      <c r="D61" s="26" t="n"/>
      <c r="E61" s="26" t="n"/>
      <c r="F61" s="26" t="n"/>
      <c r="G61" s="27">
        <f>IF(F61="","",IFERROR(INDEX(Catalogue!$C$7:$C$19,MATCH(F61,Catalogue!$B$7:$B$19,0)),"#N/A"))</f>
        <v/>
      </c>
      <c r="H61" s="28" t="n"/>
      <c r="I61" s="29">
        <f>IF(OR(F61="",H61=""),"",IFERROR(H61*INDEX(Catalogue!$G$7:$G$19,MATCH(F61,Catalogue!$B$7:$B$19,0)),"#N/A"))</f>
        <v/>
      </c>
      <c r="J61" s="30">
        <f>IF(ISNUMBER(I61),I61-K61,"")</f>
        <v/>
      </c>
      <c r="K61" s="31">
        <f>IF(OR(F61="",H61=""),"",IFERROR(H61*INDEX(Catalogue!$F$7:$F$19,MATCH(F61,Catalogue!$B$7:$B$19,0)),"#N/A"))</f>
        <v/>
      </c>
      <c r="L61" s="31">
        <f>IF(ISNUMBER(J61),J61*IFERROR(INDEX(Paramètres!$C$7:$C$12,MATCH(INDEX(Effectif!$D$7:$D$21,MATCH(D61,Effectif!$C$7:$C$21,0)),Paramètres!$B$7:$B$12,0)),0),"")</f>
        <v/>
      </c>
      <c r="M61" s="1" t="n"/>
    </row>
    <row r="62">
      <c r="A62" s="1" t="n"/>
      <c r="B62" s="24" t="n">
        <v>56</v>
      </c>
      <c r="C62" s="25" t="n"/>
      <c r="D62" s="26" t="n"/>
      <c r="E62" s="26" t="n"/>
      <c r="F62" s="26" t="n"/>
      <c r="G62" s="27">
        <f>IF(F62="","",IFERROR(INDEX(Catalogue!$C$7:$C$19,MATCH(F62,Catalogue!$B$7:$B$19,0)),"#N/A"))</f>
        <v/>
      </c>
      <c r="H62" s="28" t="n"/>
      <c r="I62" s="29">
        <f>IF(OR(F62="",H62=""),"",IFERROR(H62*INDEX(Catalogue!$G$7:$G$19,MATCH(F62,Catalogue!$B$7:$B$19,0)),"#N/A"))</f>
        <v/>
      </c>
      <c r="J62" s="30">
        <f>IF(ISNUMBER(I62),I62-K62,"")</f>
        <v/>
      </c>
      <c r="K62" s="31">
        <f>IF(OR(F62="",H62=""),"",IFERROR(H62*INDEX(Catalogue!$F$7:$F$19,MATCH(F62,Catalogue!$B$7:$B$19,0)),"#N/A"))</f>
        <v/>
      </c>
      <c r="L62" s="31">
        <f>IF(ISNUMBER(J62),J62*IFERROR(INDEX(Paramètres!$C$7:$C$12,MATCH(INDEX(Effectif!$D$7:$D$21,MATCH(D62,Effectif!$C$7:$C$21,0)),Paramètres!$B$7:$B$12,0)),0),"")</f>
        <v/>
      </c>
      <c r="M62" s="1" t="n"/>
    </row>
    <row r="63">
      <c r="A63" s="1" t="n"/>
      <c r="B63" s="24" t="n">
        <v>57</v>
      </c>
      <c r="C63" s="25" t="n"/>
      <c r="D63" s="26" t="n"/>
      <c r="E63" s="26" t="n"/>
      <c r="F63" s="26" t="n"/>
      <c r="G63" s="27">
        <f>IF(F63="","",IFERROR(INDEX(Catalogue!$C$7:$C$19,MATCH(F63,Catalogue!$B$7:$B$19,0)),"#N/A"))</f>
        <v/>
      </c>
      <c r="H63" s="28" t="n"/>
      <c r="I63" s="29">
        <f>IF(OR(F63="",H63=""),"",IFERROR(H63*INDEX(Catalogue!$G$7:$G$19,MATCH(F63,Catalogue!$B$7:$B$19,0)),"#N/A"))</f>
        <v/>
      </c>
      <c r="J63" s="30">
        <f>IF(ISNUMBER(I63),I63-K63,"")</f>
        <v/>
      </c>
      <c r="K63" s="31">
        <f>IF(OR(F63="",H63=""),"",IFERROR(H63*INDEX(Catalogue!$F$7:$F$19,MATCH(F63,Catalogue!$B$7:$B$19,0)),"#N/A"))</f>
        <v/>
      </c>
      <c r="L63" s="31">
        <f>IF(ISNUMBER(J63),J63*IFERROR(INDEX(Paramètres!$C$7:$C$12,MATCH(INDEX(Effectif!$D$7:$D$21,MATCH(D63,Effectif!$C$7:$C$21,0)),Paramètres!$B$7:$B$12,0)),0),"")</f>
        <v/>
      </c>
      <c r="M63" s="1" t="n"/>
    </row>
    <row r="64">
      <c r="A64" s="1" t="n"/>
      <c r="B64" s="24" t="n">
        <v>58</v>
      </c>
      <c r="C64" s="25" t="n"/>
      <c r="D64" s="26" t="n"/>
      <c r="E64" s="26" t="n"/>
      <c r="F64" s="26" t="n"/>
      <c r="G64" s="27">
        <f>IF(F64="","",IFERROR(INDEX(Catalogue!$C$7:$C$19,MATCH(F64,Catalogue!$B$7:$B$19,0)),"#N/A"))</f>
        <v/>
      </c>
      <c r="H64" s="28" t="n"/>
      <c r="I64" s="29">
        <f>IF(OR(F64="",H64=""),"",IFERROR(H64*INDEX(Catalogue!$G$7:$G$19,MATCH(F64,Catalogue!$B$7:$B$19,0)),"#N/A"))</f>
        <v/>
      </c>
      <c r="J64" s="30">
        <f>IF(ISNUMBER(I64),I64-K64,"")</f>
        <v/>
      </c>
      <c r="K64" s="31">
        <f>IF(OR(F64="",H64=""),"",IFERROR(H64*INDEX(Catalogue!$F$7:$F$19,MATCH(F64,Catalogue!$B$7:$B$19,0)),"#N/A"))</f>
        <v/>
      </c>
      <c r="L64" s="31">
        <f>IF(ISNUMBER(J64),J64*IFERROR(INDEX(Paramètres!$C$7:$C$12,MATCH(INDEX(Effectif!$D$7:$D$21,MATCH(D64,Effectif!$C$7:$C$21,0)),Paramètres!$B$7:$B$12,0)),0),"")</f>
        <v/>
      </c>
      <c r="M64" s="1" t="n"/>
    </row>
    <row r="65">
      <c r="A65" s="1" t="n"/>
      <c r="B65" s="24" t="n">
        <v>59</v>
      </c>
      <c r="C65" s="25" t="n"/>
      <c r="D65" s="26" t="n"/>
      <c r="E65" s="26" t="n"/>
      <c r="F65" s="26" t="n"/>
      <c r="G65" s="27">
        <f>IF(F65="","",IFERROR(INDEX(Catalogue!$C$7:$C$19,MATCH(F65,Catalogue!$B$7:$B$19,0)),"#N/A"))</f>
        <v/>
      </c>
      <c r="H65" s="28" t="n"/>
      <c r="I65" s="29">
        <f>IF(OR(F65="",H65=""),"",IFERROR(H65*INDEX(Catalogue!$G$7:$G$19,MATCH(F65,Catalogue!$B$7:$B$19,0)),"#N/A"))</f>
        <v/>
      </c>
      <c r="J65" s="30">
        <f>IF(ISNUMBER(I65),I65-K65,"")</f>
        <v/>
      </c>
      <c r="K65" s="31">
        <f>IF(OR(F65="",H65=""),"",IFERROR(H65*INDEX(Catalogue!$F$7:$F$19,MATCH(F65,Catalogue!$B$7:$B$19,0)),"#N/A"))</f>
        <v/>
      </c>
      <c r="L65" s="31">
        <f>IF(ISNUMBER(J65),J65*IFERROR(INDEX(Paramètres!$C$7:$C$12,MATCH(INDEX(Effectif!$D$7:$D$21,MATCH(D65,Effectif!$C$7:$C$21,0)),Paramètres!$B$7:$B$12,0)),0),"")</f>
        <v/>
      </c>
      <c r="M65" s="1" t="n"/>
    </row>
    <row r="66">
      <c r="A66" s="1" t="n"/>
      <c r="B66" s="24" t="n">
        <v>60</v>
      </c>
      <c r="C66" s="25" t="n"/>
      <c r="D66" s="26" t="n"/>
      <c r="E66" s="26" t="n"/>
      <c r="F66" s="26" t="n"/>
      <c r="G66" s="27">
        <f>IF(F66="","",IFERROR(INDEX(Catalogue!$C$7:$C$19,MATCH(F66,Catalogue!$B$7:$B$19,0)),"#N/A"))</f>
        <v/>
      </c>
      <c r="H66" s="28" t="n"/>
      <c r="I66" s="29">
        <f>IF(OR(F66="",H66=""),"",IFERROR(H66*INDEX(Catalogue!$G$7:$G$19,MATCH(F66,Catalogue!$B$7:$B$19,0)),"#N/A"))</f>
        <v/>
      </c>
      <c r="J66" s="30">
        <f>IF(ISNUMBER(I66),I66-K66,"")</f>
        <v/>
      </c>
      <c r="K66" s="31">
        <f>IF(OR(F66="",H66=""),"",IFERROR(H66*INDEX(Catalogue!$F$7:$F$19,MATCH(F66,Catalogue!$B$7:$B$19,0)),"#N/A"))</f>
        <v/>
      </c>
      <c r="L66" s="31">
        <f>IF(ISNUMBER(J66),J66*IFERROR(INDEX(Paramètres!$C$7:$C$12,MATCH(INDEX(Effectif!$D$7:$D$21,MATCH(D66,Effectif!$C$7:$C$21,0)),Paramètres!$B$7:$B$12,0)),0),"")</f>
        <v/>
      </c>
      <c r="M66" s="1" t="n"/>
    </row>
    <row r="67">
      <c r="A67" s="1" t="n"/>
      <c r="B67" s="24" t="n">
        <v>61</v>
      </c>
      <c r="C67" s="25" t="n"/>
      <c r="D67" s="26" t="n"/>
      <c r="E67" s="26" t="n"/>
      <c r="F67" s="26" t="n"/>
      <c r="G67" s="27">
        <f>IF(F67="","",IFERROR(INDEX(Catalogue!$C$7:$C$19,MATCH(F67,Catalogue!$B$7:$B$19,0)),"#N/A"))</f>
        <v/>
      </c>
      <c r="H67" s="28" t="n"/>
      <c r="I67" s="29">
        <f>IF(OR(F67="",H67=""),"",IFERROR(H67*INDEX(Catalogue!$G$7:$G$19,MATCH(F67,Catalogue!$B$7:$B$19,0)),"#N/A"))</f>
        <v/>
      </c>
      <c r="J67" s="30">
        <f>IF(ISNUMBER(I67),I67-K67,"")</f>
        <v/>
      </c>
      <c r="K67" s="31">
        <f>IF(OR(F67="",H67=""),"",IFERROR(H67*INDEX(Catalogue!$F$7:$F$19,MATCH(F67,Catalogue!$B$7:$B$19,0)),"#N/A"))</f>
        <v/>
      </c>
      <c r="L67" s="31">
        <f>IF(ISNUMBER(J67),J67*IFERROR(INDEX(Paramètres!$C$7:$C$12,MATCH(INDEX(Effectif!$D$7:$D$21,MATCH(D67,Effectif!$C$7:$C$21,0)),Paramètres!$B$7:$B$12,0)),0),"")</f>
        <v/>
      </c>
      <c r="M67" s="1" t="n"/>
    </row>
    <row r="68">
      <c r="A68" s="1" t="n"/>
      <c r="B68" s="24" t="n">
        <v>62</v>
      </c>
      <c r="C68" s="25" t="n"/>
      <c r="D68" s="26" t="n"/>
      <c r="E68" s="26" t="n"/>
      <c r="F68" s="26" t="n"/>
      <c r="G68" s="27">
        <f>IF(F68="","",IFERROR(INDEX(Catalogue!$C$7:$C$19,MATCH(F68,Catalogue!$B$7:$B$19,0)),"#N/A"))</f>
        <v/>
      </c>
      <c r="H68" s="28" t="n"/>
      <c r="I68" s="29">
        <f>IF(OR(F68="",H68=""),"",IFERROR(H68*INDEX(Catalogue!$G$7:$G$19,MATCH(F68,Catalogue!$B$7:$B$19,0)),"#N/A"))</f>
        <v/>
      </c>
      <c r="J68" s="30">
        <f>IF(ISNUMBER(I68),I68-K68,"")</f>
        <v/>
      </c>
      <c r="K68" s="31">
        <f>IF(OR(F68="",H68=""),"",IFERROR(H68*INDEX(Catalogue!$F$7:$F$19,MATCH(F68,Catalogue!$B$7:$B$19,0)),"#N/A"))</f>
        <v/>
      </c>
      <c r="L68" s="31">
        <f>IF(ISNUMBER(J68),J68*IFERROR(INDEX(Paramètres!$C$7:$C$12,MATCH(INDEX(Effectif!$D$7:$D$21,MATCH(D68,Effectif!$C$7:$C$21,0)),Paramètres!$B$7:$B$12,0)),0),"")</f>
        <v/>
      </c>
      <c r="M68" s="1" t="n"/>
    </row>
    <row r="69">
      <c r="A69" s="1" t="n"/>
      <c r="B69" s="24" t="n">
        <v>63</v>
      </c>
      <c r="C69" s="25" t="n"/>
      <c r="D69" s="26" t="n"/>
      <c r="E69" s="26" t="n"/>
      <c r="F69" s="26" t="n"/>
      <c r="G69" s="27">
        <f>IF(F69="","",IFERROR(INDEX(Catalogue!$C$7:$C$19,MATCH(F69,Catalogue!$B$7:$B$19,0)),"#N/A"))</f>
        <v/>
      </c>
      <c r="H69" s="28" t="n"/>
      <c r="I69" s="29">
        <f>IF(OR(F69="",H69=""),"",IFERROR(H69*INDEX(Catalogue!$G$7:$G$19,MATCH(F69,Catalogue!$B$7:$B$19,0)),"#N/A"))</f>
        <v/>
      </c>
      <c r="J69" s="30">
        <f>IF(ISNUMBER(I69),I69-K69,"")</f>
        <v/>
      </c>
      <c r="K69" s="31">
        <f>IF(OR(F69="",H69=""),"",IFERROR(H69*INDEX(Catalogue!$F$7:$F$19,MATCH(F69,Catalogue!$B$7:$B$19,0)),"#N/A"))</f>
        <v/>
      </c>
      <c r="L69" s="31">
        <f>IF(ISNUMBER(J69),J69*IFERROR(INDEX(Paramètres!$C$7:$C$12,MATCH(INDEX(Effectif!$D$7:$D$21,MATCH(D69,Effectif!$C$7:$C$21,0)),Paramètres!$B$7:$B$12,0)),0),"")</f>
        <v/>
      </c>
      <c r="M69" s="1" t="n"/>
    </row>
    <row r="70">
      <c r="A70" s="1" t="n"/>
      <c r="B70" s="24" t="n">
        <v>64</v>
      </c>
      <c r="C70" s="25" t="n"/>
      <c r="D70" s="26" t="n"/>
      <c r="E70" s="26" t="n"/>
      <c r="F70" s="26" t="n"/>
      <c r="G70" s="27">
        <f>IF(F70="","",IFERROR(INDEX(Catalogue!$C$7:$C$19,MATCH(F70,Catalogue!$B$7:$B$19,0)),"#N/A"))</f>
        <v/>
      </c>
      <c r="H70" s="28" t="n"/>
      <c r="I70" s="29">
        <f>IF(OR(F70="",H70=""),"",IFERROR(H70*INDEX(Catalogue!$G$7:$G$19,MATCH(F70,Catalogue!$B$7:$B$19,0)),"#N/A"))</f>
        <v/>
      </c>
      <c r="J70" s="30">
        <f>IF(ISNUMBER(I70),I70-K70,"")</f>
        <v/>
      </c>
      <c r="K70" s="31">
        <f>IF(OR(F70="",H70=""),"",IFERROR(H70*INDEX(Catalogue!$F$7:$F$19,MATCH(F70,Catalogue!$B$7:$B$19,0)),"#N/A"))</f>
        <v/>
      </c>
      <c r="L70" s="31">
        <f>IF(ISNUMBER(J70),J70*IFERROR(INDEX(Paramètres!$C$7:$C$12,MATCH(INDEX(Effectif!$D$7:$D$21,MATCH(D70,Effectif!$C$7:$C$21,0)),Paramètres!$B$7:$B$12,0)),0),"")</f>
        <v/>
      </c>
      <c r="M70" s="1" t="n"/>
    </row>
    <row r="71">
      <c r="A71" s="1" t="n"/>
      <c r="B71" s="24" t="n">
        <v>65</v>
      </c>
      <c r="C71" s="25" t="n"/>
      <c r="D71" s="26" t="n"/>
      <c r="E71" s="26" t="n"/>
      <c r="F71" s="26" t="n"/>
      <c r="G71" s="27">
        <f>IF(F71="","",IFERROR(INDEX(Catalogue!$C$7:$C$19,MATCH(F71,Catalogue!$B$7:$B$19,0)),"#N/A"))</f>
        <v/>
      </c>
      <c r="H71" s="28" t="n"/>
      <c r="I71" s="29">
        <f>IF(OR(F71="",H71=""),"",IFERROR(H71*INDEX(Catalogue!$G$7:$G$19,MATCH(F71,Catalogue!$B$7:$B$19,0)),"#N/A"))</f>
        <v/>
      </c>
      <c r="J71" s="30">
        <f>IF(ISNUMBER(I71),I71-K71,"")</f>
        <v/>
      </c>
      <c r="K71" s="31">
        <f>IF(OR(F71="",H71=""),"",IFERROR(H71*INDEX(Catalogue!$F$7:$F$19,MATCH(F71,Catalogue!$B$7:$B$19,0)),"#N/A"))</f>
        <v/>
      </c>
      <c r="L71" s="31">
        <f>IF(ISNUMBER(J71),J71*IFERROR(INDEX(Paramètres!$C$7:$C$12,MATCH(INDEX(Effectif!$D$7:$D$21,MATCH(D71,Effectif!$C$7:$C$21,0)),Paramètres!$B$7:$B$12,0)),0),"")</f>
        <v/>
      </c>
      <c r="M71" s="1" t="n"/>
    </row>
    <row r="72">
      <c r="A72" s="1" t="n"/>
      <c r="B72" s="24" t="n">
        <v>66</v>
      </c>
      <c r="C72" s="25" t="n"/>
      <c r="D72" s="26" t="n"/>
      <c r="E72" s="26" t="n"/>
      <c r="F72" s="26" t="n"/>
      <c r="G72" s="27">
        <f>IF(F72="","",IFERROR(INDEX(Catalogue!$C$7:$C$19,MATCH(F72,Catalogue!$B$7:$B$19,0)),"#N/A"))</f>
        <v/>
      </c>
      <c r="H72" s="28" t="n"/>
      <c r="I72" s="29">
        <f>IF(OR(F72="",H72=""),"",IFERROR(H72*INDEX(Catalogue!$G$7:$G$19,MATCH(F72,Catalogue!$B$7:$B$19,0)),"#N/A"))</f>
        <v/>
      </c>
      <c r="J72" s="30">
        <f>IF(ISNUMBER(I72),I72-K72,"")</f>
        <v/>
      </c>
      <c r="K72" s="31">
        <f>IF(OR(F72="",H72=""),"",IFERROR(H72*INDEX(Catalogue!$F$7:$F$19,MATCH(F72,Catalogue!$B$7:$B$19,0)),"#N/A"))</f>
        <v/>
      </c>
      <c r="L72" s="31">
        <f>IF(ISNUMBER(J72),J72*IFERROR(INDEX(Paramètres!$C$7:$C$12,MATCH(INDEX(Effectif!$D$7:$D$21,MATCH(D72,Effectif!$C$7:$C$21,0)),Paramètres!$B$7:$B$12,0)),0),"")</f>
        <v/>
      </c>
      <c r="M72" s="1" t="n"/>
    </row>
    <row r="73">
      <c r="A73" s="1" t="n"/>
      <c r="B73" s="24" t="n">
        <v>67</v>
      </c>
      <c r="C73" s="25" t="n"/>
      <c r="D73" s="26" t="n"/>
      <c r="E73" s="26" t="n"/>
      <c r="F73" s="26" t="n"/>
      <c r="G73" s="27">
        <f>IF(F73="","",IFERROR(INDEX(Catalogue!$C$7:$C$19,MATCH(F73,Catalogue!$B$7:$B$19,0)),"#N/A"))</f>
        <v/>
      </c>
      <c r="H73" s="28" t="n"/>
      <c r="I73" s="29">
        <f>IF(OR(F73="",H73=""),"",IFERROR(H73*INDEX(Catalogue!$G$7:$G$19,MATCH(F73,Catalogue!$B$7:$B$19,0)),"#N/A"))</f>
        <v/>
      </c>
      <c r="J73" s="30">
        <f>IF(ISNUMBER(I73),I73-K73,"")</f>
        <v/>
      </c>
      <c r="K73" s="31">
        <f>IF(OR(F73="",H73=""),"",IFERROR(H73*INDEX(Catalogue!$F$7:$F$19,MATCH(F73,Catalogue!$B$7:$B$19,0)),"#N/A"))</f>
        <v/>
      </c>
      <c r="L73" s="31">
        <f>IF(ISNUMBER(J73),J73*IFERROR(INDEX(Paramètres!$C$7:$C$12,MATCH(INDEX(Effectif!$D$7:$D$21,MATCH(D73,Effectif!$C$7:$C$21,0)),Paramètres!$B$7:$B$12,0)),0),"")</f>
        <v/>
      </c>
      <c r="M73" s="1" t="n"/>
    </row>
    <row r="74">
      <c r="A74" s="1" t="n"/>
      <c r="B74" s="24" t="n">
        <v>68</v>
      </c>
      <c r="C74" s="25" t="n"/>
      <c r="D74" s="26" t="n"/>
      <c r="E74" s="26" t="n"/>
      <c r="F74" s="26" t="n"/>
      <c r="G74" s="27">
        <f>IF(F74="","",IFERROR(INDEX(Catalogue!$C$7:$C$19,MATCH(F74,Catalogue!$B$7:$B$19,0)),"#N/A"))</f>
        <v/>
      </c>
      <c r="H74" s="28" t="n"/>
      <c r="I74" s="29">
        <f>IF(OR(F74="",H74=""),"",IFERROR(H74*INDEX(Catalogue!$G$7:$G$19,MATCH(F74,Catalogue!$B$7:$B$19,0)),"#N/A"))</f>
        <v/>
      </c>
      <c r="J74" s="30">
        <f>IF(ISNUMBER(I74),I74-K74,"")</f>
        <v/>
      </c>
      <c r="K74" s="31">
        <f>IF(OR(F74="",H74=""),"",IFERROR(H74*INDEX(Catalogue!$F$7:$F$19,MATCH(F74,Catalogue!$B$7:$B$19,0)),"#N/A"))</f>
        <v/>
      </c>
      <c r="L74" s="31">
        <f>IF(ISNUMBER(J74),J74*IFERROR(INDEX(Paramètres!$C$7:$C$12,MATCH(INDEX(Effectif!$D$7:$D$21,MATCH(D74,Effectif!$C$7:$C$21,0)),Paramètres!$B$7:$B$12,0)),0),"")</f>
        <v/>
      </c>
      <c r="M74" s="1" t="n"/>
    </row>
    <row r="75">
      <c r="A75" s="1" t="n"/>
      <c r="B75" s="24" t="n">
        <v>69</v>
      </c>
      <c r="C75" s="25" t="n"/>
      <c r="D75" s="26" t="n"/>
      <c r="E75" s="26" t="n"/>
      <c r="F75" s="26" t="n"/>
      <c r="G75" s="27">
        <f>IF(F75="","",IFERROR(INDEX(Catalogue!$C$7:$C$19,MATCH(F75,Catalogue!$B$7:$B$19,0)),"#N/A"))</f>
        <v/>
      </c>
      <c r="H75" s="28" t="n"/>
      <c r="I75" s="29">
        <f>IF(OR(F75="",H75=""),"",IFERROR(H75*INDEX(Catalogue!$G$7:$G$19,MATCH(F75,Catalogue!$B$7:$B$19,0)),"#N/A"))</f>
        <v/>
      </c>
      <c r="J75" s="30">
        <f>IF(ISNUMBER(I75),I75-K75,"")</f>
        <v/>
      </c>
      <c r="K75" s="31">
        <f>IF(OR(F75="",H75=""),"",IFERROR(H75*INDEX(Catalogue!$F$7:$F$19,MATCH(F75,Catalogue!$B$7:$B$19,0)),"#N/A"))</f>
        <v/>
      </c>
      <c r="L75" s="31">
        <f>IF(ISNUMBER(J75),J75*IFERROR(INDEX(Paramètres!$C$7:$C$12,MATCH(INDEX(Effectif!$D$7:$D$21,MATCH(D75,Effectif!$C$7:$C$21,0)),Paramètres!$B$7:$B$12,0)),0),"")</f>
        <v/>
      </c>
      <c r="M75" s="1" t="n"/>
    </row>
    <row r="76">
      <c r="A76" s="1" t="n"/>
      <c r="B76" s="24" t="n">
        <v>70</v>
      </c>
      <c r="C76" s="25" t="n"/>
      <c r="D76" s="26" t="n"/>
      <c r="E76" s="26" t="n"/>
      <c r="F76" s="26" t="n"/>
      <c r="G76" s="27">
        <f>IF(F76="","",IFERROR(INDEX(Catalogue!$C$7:$C$19,MATCH(F76,Catalogue!$B$7:$B$19,0)),"#N/A"))</f>
        <v/>
      </c>
      <c r="H76" s="28" t="n"/>
      <c r="I76" s="29">
        <f>IF(OR(F76="",H76=""),"",IFERROR(H76*INDEX(Catalogue!$G$7:$G$19,MATCH(F76,Catalogue!$B$7:$B$19,0)),"#N/A"))</f>
        <v/>
      </c>
      <c r="J76" s="30">
        <f>IF(ISNUMBER(I76),I76-K76,"")</f>
        <v/>
      </c>
      <c r="K76" s="31">
        <f>IF(OR(F76="",H76=""),"",IFERROR(H76*INDEX(Catalogue!$F$7:$F$19,MATCH(F76,Catalogue!$B$7:$B$19,0)),"#N/A"))</f>
        <v/>
      </c>
      <c r="L76" s="31">
        <f>IF(ISNUMBER(J76),J76*IFERROR(INDEX(Paramètres!$C$7:$C$12,MATCH(INDEX(Effectif!$D$7:$D$21,MATCH(D76,Effectif!$C$7:$C$21,0)),Paramètres!$B$7:$B$12,0)),0),"")</f>
        <v/>
      </c>
      <c r="M76" s="1" t="n"/>
    </row>
    <row r="77">
      <c r="A77" s="1" t="n"/>
      <c r="B77" s="24" t="n">
        <v>71</v>
      </c>
      <c r="C77" s="25" t="n"/>
      <c r="D77" s="26" t="n"/>
      <c r="E77" s="26" t="n"/>
      <c r="F77" s="26" t="n"/>
      <c r="G77" s="27">
        <f>IF(F77="","",IFERROR(INDEX(Catalogue!$C$7:$C$19,MATCH(F77,Catalogue!$B$7:$B$19,0)),"#N/A"))</f>
        <v/>
      </c>
      <c r="H77" s="28" t="n"/>
      <c r="I77" s="29">
        <f>IF(OR(F77="",H77=""),"",IFERROR(H77*INDEX(Catalogue!$G$7:$G$19,MATCH(F77,Catalogue!$B$7:$B$19,0)),"#N/A"))</f>
        <v/>
      </c>
      <c r="J77" s="30">
        <f>IF(ISNUMBER(I77),I77-K77,"")</f>
        <v/>
      </c>
      <c r="K77" s="31">
        <f>IF(OR(F77="",H77=""),"",IFERROR(H77*INDEX(Catalogue!$F$7:$F$19,MATCH(F77,Catalogue!$B$7:$B$19,0)),"#N/A"))</f>
        <v/>
      </c>
      <c r="L77" s="31">
        <f>IF(ISNUMBER(J77),J77*IFERROR(INDEX(Paramètres!$C$7:$C$12,MATCH(INDEX(Effectif!$D$7:$D$21,MATCH(D77,Effectif!$C$7:$C$21,0)),Paramètres!$B$7:$B$12,0)),0),"")</f>
        <v/>
      </c>
      <c r="M77" s="1" t="n"/>
    </row>
    <row r="78">
      <c r="A78" s="1" t="n"/>
      <c r="B78" s="24" t="n">
        <v>72</v>
      </c>
      <c r="C78" s="25" t="n"/>
      <c r="D78" s="26" t="n"/>
      <c r="E78" s="26" t="n"/>
      <c r="F78" s="26" t="n"/>
      <c r="G78" s="27">
        <f>IF(F78="","",IFERROR(INDEX(Catalogue!$C$7:$C$19,MATCH(F78,Catalogue!$B$7:$B$19,0)),"#N/A"))</f>
        <v/>
      </c>
      <c r="H78" s="28" t="n"/>
      <c r="I78" s="29">
        <f>IF(OR(F78="",H78=""),"",IFERROR(H78*INDEX(Catalogue!$G$7:$G$19,MATCH(F78,Catalogue!$B$7:$B$19,0)),"#N/A"))</f>
        <v/>
      </c>
      <c r="J78" s="30">
        <f>IF(ISNUMBER(I78),I78-K78,"")</f>
        <v/>
      </c>
      <c r="K78" s="31">
        <f>IF(OR(F78="",H78=""),"",IFERROR(H78*INDEX(Catalogue!$F$7:$F$19,MATCH(F78,Catalogue!$B$7:$B$19,0)),"#N/A"))</f>
        <v/>
      </c>
      <c r="L78" s="31">
        <f>IF(ISNUMBER(J78),J78*IFERROR(INDEX(Paramètres!$C$7:$C$12,MATCH(INDEX(Effectif!$D$7:$D$21,MATCH(D78,Effectif!$C$7:$C$21,0)),Paramètres!$B$7:$B$12,0)),0),"")</f>
        <v/>
      </c>
      <c r="M78" s="1" t="n"/>
    </row>
    <row r="79">
      <c r="A79" s="1" t="n"/>
      <c r="B79" s="24" t="n">
        <v>73</v>
      </c>
      <c r="C79" s="25" t="n"/>
      <c r="D79" s="26" t="n"/>
      <c r="E79" s="26" t="n"/>
      <c r="F79" s="26" t="n"/>
      <c r="G79" s="27">
        <f>IF(F79="","",IFERROR(INDEX(Catalogue!$C$7:$C$19,MATCH(F79,Catalogue!$B$7:$B$19,0)),"#N/A"))</f>
        <v/>
      </c>
      <c r="H79" s="28" t="n"/>
      <c r="I79" s="29">
        <f>IF(OR(F79="",H79=""),"",IFERROR(H79*INDEX(Catalogue!$G$7:$G$19,MATCH(F79,Catalogue!$B$7:$B$19,0)),"#N/A"))</f>
        <v/>
      </c>
      <c r="J79" s="30">
        <f>IF(ISNUMBER(I79),I79-K79,"")</f>
        <v/>
      </c>
      <c r="K79" s="31">
        <f>IF(OR(F79="",H79=""),"",IFERROR(H79*INDEX(Catalogue!$F$7:$F$19,MATCH(F79,Catalogue!$B$7:$B$19,0)),"#N/A"))</f>
        <v/>
      </c>
      <c r="L79" s="31">
        <f>IF(ISNUMBER(J79),J79*IFERROR(INDEX(Paramètres!$C$7:$C$12,MATCH(INDEX(Effectif!$D$7:$D$21,MATCH(D79,Effectif!$C$7:$C$21,0)),Paramètres!$B$7:$B$12,0)),0),"")</f>
        <v/>
      </c>
      <c r="M79" s="1" t="n"/>
    </row>
    <row r="80">
      <c r="A80" s="1" t="n"/>
      <c r="B80" s="24" t="n">
        <v>74</v>
      </c>
      <c r="C80" s="25" t="n"/>
      <c r="D80" s="26" t="n"/>
      <c r="E80" s="26" t="n"/>
      <c r="F80" s="26" t="n"/>
      <c r="G80" s="27">
        <f>IF(F80="","",IFERROR(INDEX(Catalogue!$C$7:$C$19,MATCH(F80,Catalogue!$B$7:$B$19,0)),"#N/A"))</f>
        <v/>
      </c>
      <c r="H80" s="28" t="n"/>
      <c r="I80" s="29">
        <f>IF(OR(F80="",H80=""),"",IFERROR(H80*INDEX(Catalogue!$G$7:$G$19,MATCH(F80,Catalogue!$B$7:$B$19,0)),"#N/A"))</f>
        <v/>
      </c>
      <c r="J80" s="30">
        <f>IF(ISNUMBER(I80),I80-K80,"")</f>
        <v/>
      </c>
      <c r="K80" s="31">
        <f>IF(OR(F80="",H80=""),"",IFERROR(H80*INDEX(Catalogue!$F$7:$F$19,MATCH(F80,Catalogue!$B$7:$B$19,0)),"#N/A"))</f>
        <v/>
      </c>
      <c r="L80" s="31">
        <f>IF(ISNUMBER(J80),J80*IFERROR(INDEX(Paramètres!$C$7:$C$12,MATCH(INDEX(Effectif!$D$7:$D$21,MATCH(D80,Effectif!$C$7:$C$21,0)),Paramètres!$B$7:$B$12,0)),0),"")</f>
        <v/>
      </c>
      <c r="M80" s="1" t="n"/>
    </row>
    <row r="81">
      <c r="A81" s="1" t="n"/>
      <c r="B81" s="24" t="n">
        <v>75</v>
      </c>
      <c r="C81" s="25" t="n"/>
      <c r="D81" s="26" t="n"/>
      <c r="E81" s="26" t="n"/>
      <c r="F81" s="26" t="n"/>
      <c r="G81" s="27">
        <f>IF(F81="","",IFERROR(INDEX(Catalogue!$C$7:$C$19,MATCH(F81,Catalogue!$B$7:$B$19,0)),"#N/A"))</f>
        <v/>
      </c>
      <c r="H81" s="28" t="n"/>
      <c r="I81" s="29">
        <f>IF(OR(F81="",H81=""),"",IFERROR(H81*INDEX(Catalogue!$G$7:$G$19,MATCH(F81,Catalogue!$B$7:$B$19,0)),"#N/A"))</f>
        <v/>
      </c>
      <c r="J81" s="30">
        <f>IF(ISNUMBER(I81),I81-K81,"")</f>
        <v/>
      </c>
      <c r="K81" s="31">
        <f>IF(OR(F81="",H81=""),"",IFERROR(H81*INDEX(Catalogue!$F$7:$F$19,MATCH(F81,Catalogue!$B$7:$B$19,0)),"#N/A"))</f>
        <v/>
      </c>
      <c r="L81" s="31">
        <f>IF(ISNUMBER(J81),J81*IFERROR(INDEX(Paramètres!$C$7:$C$12,MATCH(INDEX(Effectif!$D$7:$D$21,MATCH(D81,Effectif!$C$7:$C$21,0)),Paramètres!$B$7:$B$12,0)),0),"")</f>
        <v/>
      </c>
      <c r="M81" s="1" t="n"/>
    </row>
    <row r="82">
      <c r="A82" s="1" t="n"/>
      <c r="B82" s="24" t="n">
        <v>76</v>
      </c>
      <c r="C82" s="25" t="n"/>
      <c r="D82" s="26" t="n"/>
      <c r="E82" s="26" t="n"/>
      <c r="F82" s="26" t="n"/>
      <c r="G82" s="27">
        <f>IF(F82="","",IFERROR(INDEX(Catalogue!$C$7:$C$19,MATCH(F82,Catalogue!$B$7:$B$19,0)),"#N/A"))</f>
        <v/>
      </c>
      <c r="H82" s="28" t="n"/>
      <c r="I82" s="29">
        <f>IF(OR(F82="",H82=""),"",IFERROR(H82*INDEX(Catalogue!$G$7:$G$19,MATCH(F82,Catalogue!$B$7:$B$19,0)),"#N/A"))</f>
        <v/>
      </c>
      <c r="J82" s="30">
        <f>IF(ISNUMBER(I82),I82-K82,"")</f>
        <v/>
      </c>
      <c r="K82" s="31">
        <f>IF(OR(F82="",H82=""),"",IFERROR(H82*INDEX(Catalogue!$F$7:$F$19,MATCH(F82,Catalogue!$B$7:$B$19,0)),"#N/A"))</f>
        <v/>
      </c>
      <c r="L82" s="31">
        <f>IF(ISNUMBER(J82),J82*IFERROR(INDEX(Paramètres!$C$7:$C$12,MATCH(INDEX(Effectif!$D$7:$D$21,MATCH(D82,Effectif!$C$7:$C$21,0)),Paramètres!$B$7:$B$12,0)),0),"")</f>
        <v/>
      </c>
      <c r="M82" s="1" t="n"/>
    </row>
    <row r="83">
      <c r="A83" s="1" t="n"/>
      <c r="B83" s="24" t="n">
        <v>77</v>
      </c>
      <c r="C83" s="25" t="n"/>
      <c r="D83" s="26" t="n"/>
      <c r="E83" s="26" t="n"/>
      <c r="F83" s="26" t="n"/>
      <c r="G83" s="27">
        <f>IF(F83="","",IFERROR(INDEX(Catalogue!$C$7:$C$19,MATCH(F83,Catalogue!$B$7:$B$19,0)),"#N/A"))</f>
        <v/>
      </c>
      <c r="H83" s="28" t="n"/>
      <c r="I83" s="29">
        <f>IF(OR(F83="",H83=""),"",IFERROR(H83*INDEX(Catalogue!$G$7:$G$19,MATCH(F83,Catalogue!$B$7:$B$19,0)),"#N/A"))</f>
        <v/>
      </c>
      <c r="J83" s="30">
        <f>IF(ISNUMBER(I83),I83-K83,"")</f>
        <v/>
      </c>
      <c r="K83" s="31">
        <f>IF(OR(F83="",H83=""),"",IFERROR(H83*INDEX(Catalogue!$F$7:$F$19,MATCH(F83,Catalogue!$B$7:$B$19,0)),"#N/A"))</f>
        <v/>
      </c>
      <c r="L83" s="31">
        <f>IF(ISNUMBER(J83),J83*IFERROR(INDEX(Paramètres!$C$7:$C$12,MATCH(INDEX(Effectif!$D$7:$D$21,MATCH(D83,Effectif!$C$7:$C$21,0)),Paramètres!$B$7:$B$12,0)),0),"")</f>
        <v/>
      </c>
      <c r="M83" s="1" t="n"/>
    </row>
    <row r="84">
      <c r="A84" s="1" t="n"/>
      <c r="B84" s="24" t="n">
        <v>78</v>
      </c>
      <c r="C84" s="25" t="n"/>
      <c r="D84" s="26" t="n"/>
      <c r="E84" s="26" t="n"/>
      <c r="F84" s="26" t="n"/>
      <c r="G84" s="27">
        <f>IF(F84="","",IFERROR(INDEX(Catalogue!$C$7:$C$19,MATCH(F84,Catalogue!$B$7:$B$19,0)),"#N/A"))</f>
        <v/>
      </c>
      <c r="H84" s="28" t="n"/>
      <c r="I84" s="29">
        <f>IF(OR(F84="",H84=""),"",IFERROR(H84*INDEX(Catalogue!$G$7:$G$19,MATCH(F84,Catalogue!$B$7:$B$19,0)),"#N/A"))</f>
        <v/>
      </c>
      <c r="J84" s="30">
        <f>IF(ISNUMBER(I84),I84-K84,"")</f>
        <v/>
      </c>
      <c r="K84" s="31">
        <f>IF(OR(F84="",H84=""),"",IFERROR(H84*INDEX(Catalogue!$F$7:$F$19,MATCH(F84,Catalogue!$B$7:$B$19,0)),"#N/A"))</f>
        <v/>
      </c>
      <c r="L84" s="31">
        <f>IF(ISNUMBER(J84),J84*IFERROR(INDEX(Paramètres!$C$7:$C$12,MATCH(INDEX(Effectif!$D$7:$D$21,MATCH(D84,Effectif!$C$7:$C$21,0)),Paramètres!$B$7:$B$12,0)),0),"")</f>
        <v/>
      </c>
      <c r="M84" s="1" t="n"/>
    </row>
    <row r="85">
      <c r="A85" s="1" t="n"/>
      <c r="B85" s="24" t="n">
        <v>79</v>
      </c>
      <c r="C85" s="25" t="n"/>
      <c r="D85" s="26" t="n"/>
      <c r="E85" s="26" t="n"/>
      <c r="F85" s="26" t="n"/>
      <c r="G85" s="27">
        <f>IF(F85="","",IFERROR(INDEX(Catalogue!$C$7:$C$19,MATCH(F85,Catalogue!$B$7:$B$19,0)),"#N/A"))</f>
        <v/>
      </c>
      <c r="H85" s="28" t="n"/>
      <c r="I85" s="29">
        <f>IF(OR(F85="",H85=""),"",IFERROR(H85*INDEX(Catalogue!$G$7:$G$19,MATCH(F85,Catalogue!$B$7:$B$19,0)),"#N/A"))</f>
        <v/>
      </c>
      <c r="J85" s="30">
        <f>IF(ISNUMBER(I85),I85-K85,"")</f>
        <v/>
      </c>
      <c r="K85" s="31">
        <f>IF(OR(F85="",H85=""),"",IFERROR(H85*INDEX(Catalogue!$F$7:$F$19,MATCH(F85,Catalogue!$B$7:$B$19,0)),"#N/A"))</f>
        <v/>
      </c>
      <c r="L85" s="31">
        <f>IF(ISNUMBER(J85),J85*IFERROR(INDEX(Paramètres!$C$7:$C$12,MATCH(INDEX(Effectif!$D$7:$D$21,MATCH(D85,Effectif!$C$7:$C$21,0)),Paramètres!$B$7:$B$12,0)),0),"")</f>
        <v/>
      </c>
      <c r="M85" s="1" t="n"/>
    </row>
    <row r="86">
      <c r="A86" s="1" t="n"/>
      <c r="B86" s="24" t="n">
        <v>80</v>
      </c>
      <c r="C86" s="25" t="n"/>
      <c r="D86" s="26" t="n"/>
      <c r="E86" s="26" t="n"/>
      <c r="F86" s="26" t="n"/>
      <c r="G86" s="27">
        <f>IF(F86="","",IFERROR(INDEX(Catalogue!$C$7:$C$19,MATCH(F86,Catalogue!$B$7:$B$19,0)),"#N/A"))</f>
        <v/>
      </c>
      <c r="H86" s="28" t="n"/>
      <c r="I86" s="29">
        <f>IF(OR(F86="",H86=""),"",IFERROR(H86*INDEX(Catalogue!$G$7:$G$19,MATCH(F86,Catalogue!$B$7:$B$19,0)),"#N/A"))</f>
        <v/>
      </c>
      <c r="J86" s="30">
        <f>IF(ISNUMBER(I86),I86-K86,"")</f>
        <v/>
      </c>
      <c r="K86" s="31">
        <f>IF(OR(F86="",H86=""),"",IFERROR(H86*INDEX(Catalogue!$F$7:$F$19,MATCH(F86,Catalogue!$B$7:$B$19,0)),"#N/A"))</f>
        <v/>
      </c>
      <c r="L86" s="31">
        <f>IF(ISNUMBER(J86),J86*IFERROR(INDEX(Paramètres!$C$7:$C$12,MATCH(INDEX(Effectif!$D$7:$D$21,MATCH(D86,Effectif!$C$7:$C$21,0)),Paramètres!$B$7:$B$12,0)),0),"")</f>
        <v/>
      </c>
      <c r="M86" s="1" t="n"/>
    </row>
    <row r="87">
      <c r="A87" s="1" t="n"/>
      <c r="B87" s="24" t="n">
        <v>81</v>
      </c>
      <c r="C87" s="25" t="n"/>
      <c r="D87" s="26" t="n"/>
      <c r="E87" s="26" t="n"/>
      <c r="F87" s="26" t="n"/>
      <c r="G87" s="27">
        <f>IF(F87="","",IFERROR(INDEX(Catalogue!$C$7:$C$19,MATCH(F87,Catalogue!$B$7:$B$19,0)),"#N/A"))</f>
        <v/>
      </c>
      <c r="H87" s="28" t="n"/>
      <c r="I87" s="29">
        <f>IF(OR(F87="",H87=""),"",IFERROR(H87*INDEX(Catalogue!$G$7:$G$19,MATCH(F87,Catalogue!$B$7:$B$19,0)),"#N/A"))</f>
        <v/>
      </c>
      <c r="J87" s="30">
        <f>IF(ISNUMBER(I87),I87-K87,"")</f>
        <v/>
      </c>
      <c r="K87" s="31">
        <f>IF(OR(F87="",H87=""),"",IFERROR(H87*INDEX(Catalogue!$F$7:$F$19,MATCH(F87,Catalogue!$B$7:$B$19,0)),"#N/A"))</f>
        <v/>
      </c>
      <c r="L87" s="31">
        <f>IF(ISNUMBER(J87),J87*IFERROR(INDEX(Paramètres!$C$7:$C$12,MATCH(INDEX(Effectif!$D$7:$D$21,MATCH(D87,Effectif!$C$7:$C$21,0)),Paramètres!$B$7:$B$12,0)),0),"")</f>
        <v/>
      </c>
      <c r="M87" s="1" t="n"/>
    </row>
    <row r="88">
      <c r="A88" s="1" t="n"/>
      <c r="B88" s="24" t="n">
        <v>82</v>
      </c>
      <c r="C88" s="25" t="n"/>
      <c r="D88" s="26" t="n"/>
      <c r="E88" s="26" t="n"/>
      <c r="F88" s="26" t="n"/>
      <c r="G88" s="27">
        <f>IF(F88="","",IFERROR(INDEX(Catalogue!$C$7:$C$19,MATCH(F88,Catalogue!$B$7:$B$19,0)),"#N/A"))</f>
        <v/>
      </c>
      <c r="H88" s="28" t="n"/>
      <c r="I88" s="29">
        <f>IF(OR(F88="",H88=""),"",IFERROR(H88*INDEX(Catalogue!$G$7:$G$19,MATCH(F88,Catalogue!$B$7:$B$19,0)),"#N/A"))</f>
        <v/>
      </c>
      <c r="J88" s="30">
        <f>IF(ISNUMBER(I88),I88-K88,"")</f>
        <v/>
      </c>
      <c r="K88" s="31">
        <f>IF(OR(F88="",H88=""),"",IFERROR(H88*INDEX(Catalogue!$F$7:$F$19,MATCH(F88,Catalogue!$B$7:$B$19,0)),"#N/A"))</f>
        <v/>
      </c>
      <c r="L88" s="31">
        <f>IF(ISNUMBER(J88),J88*IFERROR(INDEX(Paramètres!$C$7:$C$12,MATCH(INDEX(Effectif!$D$7:$D$21,MATCH(D88,Effectif!$C$7:$C$21,0)),Paramètres!$B$7:$B$12,0)),0),"")</f>
        <v/>
      </c>
      <c r="M88" s="1" t="n"/>
    </row>
    <row r="89">
      <c r="A89" s="1" t="n"/>
      <c r="B89" s="24" t="n">
        <v>83</v>
      </c>
      <c r="C89" s="25" t="n"/>
      <c r="D89" s="26" t="n"/>
      <c r="E89" s="26" t="n"/>
      <c r="F89" s="26" t="n"/>
      <c r="G89" s="27">
        <f>IF(F89="","",IFERROR(INDEX(Catalogue!$C$7:$C$19,MATCH(F89,Catalogue!$B$7:$B$19,0)),"#N/A"))</f>
        <v/>
      </c>
      <c r="H89" s="28" t="n"/>
      <c r="I89" s="29">
        <f>IF(OR(F89="",H89=""),"",IFERROR(H89*INDEX(Catalogue!$G$7:$G$19,MATCH(F89,Catalogue!$B$7:$B$19,0)),"#N/A"))</f>
        <v/>
      </c>
      <c r="J89" s="30">
        <f>IF(ISNUMBER(I89),I89-K89,"")</f>
        <v/>
      </c>
      <c r="K89" s="31">
        <f>IF(OR(F89="",H89=""),"",IFERROR(H89*INDEX(Catalogue!$F$7:$F$19,MATCH(F89,Catalogue!$B$7:$B$19,0)),"#N/A"))</f>
        <v/>
      </c>
      <c r="L89" s="31">
        <f>IF(ISNUMBER(J89),J89*IFERROR(INDEX(Paramètres!$C$7:$C$12,MATCH(INDEX(Effectif!$D$7:$D$21,MATCH(D89,Effectif!$C$7:$C$21,0)),Paramètres!$B$7:$B$12,0)),0),"")</f>
        <v/>
      </c>
      <c r="M89" s="1" t="n"/>
    </row>
    <row r="90">
      <c r="A90" s="1" t="n"/>
      <c r="B90" s="24" t="n">
        <v>84</v>
      </c>
      <c r="C90" s="25" t="n"/>
      <c r="D90" s="26" t="n"/>
      <c r="E90" s="26" t="n"/>
      <c r="F90" s="26" t="n"/>
      <c r="G90" s="27">
        <f>IF(F90="","",IFERROR(INDEX(Catalogue!$C$7:$C$19,MATCH(F90,Catalogue!$B$7:$B$19,0)),"#N/A"))</f>
        <v/>
      </c>
      <c r="H90" s="28" t="n"/>
      <c r="I90" s="29">
        <f>IF(OR(F90="",H90=""),"",IFERROR(H90*INDEX(Catalogue!$G$7:$G$19,MATCH(F90,Catalogue!$B$7:$B$19,0)),"#N/A"))</f>
        <v/>
      </c>
      <c r="J90" s="30">
        <f>IF(ISNUMBER(I90),I90-K90,"")</f>
        <v/>
      </c>
      <c r="K90" s="31">
        <f>IF(OR(F90="",H90=""),"",IFERROR(H90*INDEX(Catalogue!$F$7:$F$19,MATCH(F90,Catalogue!$B$7:$B$19,0)),"#N/A"))</f>
        <v/>
      </c>
      <c r="L90" s="31">
        <f>IF(ISNUMBER(J90),J90*IFERROR(INDEX(Paramètres!$C$7:$C$12,MATCH(INDEX(Effectif!$D$7:$D$21,MATCH(D90,Effectif!$C$7:$C$21,0)),Paramètres!$B$7:$B$12,0)),0),"")</f>
        <v/>
      </c>
      <c r="M90" s="1" t="n"/>
    </row>
    <row r="91">
      <c r="A91" s="1" t="n"/>
      <c r="B91" s="24" t="n">
        <v>85</v>
      </c>
      <c r="C91" s="25" t="n"/>
      <c r="D91" s="26" t="n"/>
      <c r="E91" s="26" t="n"/>
      <c r="F91" s="26" t="n"/>
      <c r="G91" s="27">
        <f>IF(F91="","",IFERROR(INDEX(Catalogue!$C$7:$C$19,MATCH(F91,Catalogue!$B$7:$B$19,0)),"#N/A"))</f>
        <v/>
      </c>
      <c r="H91" s="28" t="n"/>
      <c r="I91" s="29">
        <f>IF(OR(F91="",H91=""),"",IFERROR(H91*INDEX(Catalogue!$G$7:$G$19,MATCH(F91,Catalogue!$B$7:$B$19,0)),"#N/A"))</f>
        <v/>
      </c>
      <c r="J91" s="30">
        <f>IF(ISNUMBER(I91),I91-K91,"")</f>
        <v/>
      </c>
      <c r="K91" s="31">
        <f>IF(OR(F91="",H91=""),"",IFERROR(H91*INDEX(Catalogue!$F$7:$F$19,MATCH(F91,Catalogue!$B$7:$B$19,0)),"#N/A"))</f>
        <v/>
      </c>
      <c r="L91" s="31">
        <f>IF(ISNUMBER(J91),J91*IFERROR(INDEX(Paramètres!$C$7:$C$12,MATCH(INDEX(Effectif!$D$7:$D$21,MATCH(D91,Effectif!$C$7:$C$21,0)),Paramètres!$B$7:$B$12,0)),0),"")</f>
        <v/>
      </c>
      <c r="M91" s="1" t="n"/>
    </row>
    <row r="92">
      <c r="A92" s="1" t="n"/>
      <c r="B92" s="24" t="n">
        <v>86</v>
      </c>
      <c r="C92" s="25" t="n"/>
      <c r="D92" s="26" t="n"/>
      <c r="E92" s="26" t="n"/>
      <c r="F92" s="26" t="n"/>
      <c r="G92" s="27">
        <f>IF(F92="","",IFERROR(INDEX(Catalogue!$C$7:$C$19,MATCH(F92,Catalogue!$B$7:$B$19,0)),"#N/A"))</f>
        <v/>
      </c>
      <c r="H92" s="28" t="n"/>
      <c r="I92" s="29">
        <f>IF(OR(F92="",H92=""),"",IFERROR(H92*INDEX(Catalogue!$G$7:$G$19,MATCH(F92,Catalogue!$B$7:$B$19,0)),"#N/A"))</f>
        <v/>
      </c>
      <c r="J92" s="30">
        <f>IF(ISNUMBER(I92),I92-K92,"")</f>
        <v/>
      </c>
      <c r="K92" s="31">
        <f>IF(OR(F92="",H92=""),"",IFERROR(H92*INDEX(Catalogue!$F$7:$F$19,MATCH(F92,Catalogue!$B$7:$B$19,0)),"#N/A"))</f>
        <v/>
      </c>
      <c r="L92" s="31">
        <f>IF(ISNUMBER(J92),J92*IFERROR(INDEX(Paramètres!$C$7:$C$12,MATCH(INDEX(Effectif!$D$7:$D$21,MATCH(D92,Effectif!$C$7:$C$21,0)),Paramètres!$B$7:$B$12,0)),0),"")</f>
        <v/>
      </c>
      <c r="M92" s="1" t="n"/>
    </row>
    <row r="93">
      <c r="A93" s="1" t="n"/>
      <c r="B93" s="24" t="n">
        <v>87</v>
      </c>
      <c r="C93" s="25" t="n"/>
      <c r="D93" s="26" t="n"/>
      <c r="E93" s="26" t="n"/>
      <c r="F93" s="26" t="n"/>
      <c r="G93" s="27">
        <f>IF(F93="","",IFERROR(INDEX(Catalogue!$C$7:$C$19,MATCH(F93,Catalogue!$B$7:$B$19,0)),"#N/A"))</f>
        <v/>
      </c>
      <c r="H93" s="28" t="n"/>
      <c r="I93" s="29">
        <f>IF(OR(F93="",H93=""),"",IFERROR(H93*INDEX(Catalogue!$G$7:$G$19,MATCH(F93,Catalogue!$B$7:$B$19,0)),"#N/A"))</f>
        <v/>
      </c>
      <c r="J93" s="30">
        <f>IF(ISNUMBER(I93),I93-K93,"")</f>
        <v/>
      </c>
      <c r="K93" s="31">
        <f>IF(OR(F93="",H93=""),"",IFERROR(H93*INDEX(Catalogue!$F$7:$F$19,MATCH(F93,Catalogue!$B$7:$B$19,0)),"#N/A"))</f>
        <v/>
      </c>
      <c r="L93" s="31">
        <f>IF(ISNUMBER(J93),J93*IFERROR(INDEX(Paramètres!$C$7:$C$12,MATCH(INDEX(Effectif!$D$7:$D$21,MATCH(D93,Effectif!$C$7:$C$21,0)),Paramètres!$B$7:$B$12,0)),0),"")</f>
        <v/>
      </c>
      <c r="M93" s="1" t="n"/>
    </row>
    <row r="94">
      <c r="A94" s="1" t="n"/>
      <c r="B94" s="24" t="n">
        <v>88</v>
      </c>
      <c r="C94" s="25" t="n"/>
      <c r="D94" s="26" t="n"/>
      <c r="E94" s="26" t="n"/>
      <c r="F94" s="26" t="n"/>
      <c r="G94" s="27">
        <f>IF(F94="","",IFERROR(INDEX(Catalogue!$C$7:$C$19,MATCH(F94,Catalogue!$B$7:$B$19,0)),"#N/A"))</f>
        <v/>
      </c>
      <c r="H94" s="28" t="n"/>
      <c r="I94" s="29">
        <f>IF(OR(F94="",H94=""),"",IFERROR(H94*INDEX(Catalogue!$G$7:$G$19,MATCH(F94,Catalogue!$B$7:$B$19,0)),"#N/A"))</f>
        <v/>
      </c>
      <c r="J94" s="30">
        <f>IF(ISNUMBER(I94),I94-K94,"")</f>
        <v/>
      </c>
      <c r="K94" s="31">
        <f>IF(OR(F94="",H94=""),"",IFERROR(H94*INDEX(Catalogue!$F$7:$F$19,MATCH(F94,Catalogue!$B$7:$B$19,0)),"#N/A"))</f>
        <v/>
      </c>
      <c r="L94" s="31">
        <f>IF(ISNUMBER(J94),J94*IFERROR(INDEX(Paramètres!$C$7:$C$12,MATCH(INDEX(Effectif!$D$7:$D$21,MATCH(D94,Effectif!$C$7:$C$21,0)),Paramètres!$B$7:$B$12,0)),0),"")</f>
        <v/>
      </c>
      <c r="M94" s="1" t="n"/>
    </row>
    <row r="95">
      <c r="A95" s="1" t="n"/>
      <c r="B95" s="24" t="n">
        <v>89</v>
      </c>
      <c r="C95" s="25" t="n"/>
      <c r="D95" s="26" t="n"/>
      <c r="E95" s="26" t="n"/>
      <c r="F95" s="26" t="n"/>
      <c r="G95" s="27">
        <f>IF(F95="","",IFERROR(INDEX(Catalogue!$C$7:$C$19,MATCH(F95,Catalogue!$B$7:$B$19,0)),"#N/A"))</f>
        <v/>
      </c>
      <c r="H95" s="28" t="n"/>
      <c r="I95" s="29">
        <f>IF(OR(F95="",H95=""),"",IFERROR(H95*INDEX(Catalogue!$G$7:$G$19,MATCH(F95,Catalogue!$B$7:$B$19,0)),"#N/A"))</f>
        <v/>
      </c>
      <c r="J95" s="30">
        <f>IF(ISNUMBER(I95),I95-K95,"")</f>
        <v/>
      </c>
      <c r="K95" s="31">
        <f>IF(OR(F95="",H95=""),"",IFERROR(H95*INDEX(Catalogue!$F$7:$F$19,MATCH(F95,Catalogue!$B$7:$B$19,0)),"#N/A"))</f>
        <v/>
      </c>
      <c r="L95" s="31">
        <f>IF(ISNUMBER(J95),J95*IFERROR(INDEX(Paramètres!$C$7:$C$12,MATCH(INDEX(Effectif!$D$7:$D$21,MATCH(D95,Effectif!$C$7:$C$21,0)),Paramètres!$B$7:$B$12,0)),0),"")</f>
        <v/>
      </c>
      <c r="M95" s="1" t="n"/>
    </row>
    <row r="96">
      <c r="A96" s="1" t="n"/>
      <c r="B96" s="24" t="n">
        <v>90</v>
      </c>
      <c r="C96" s="25" t="n"/>
      <c r="D96" s="26" t="n"/>
      <c r="E96" s="26" t="n"/>
      <c r="F96" s="26" t="n"/>
      <c r="G96" s="27">
        <f>IF(F96="","",IFERROR(INDEX(Catalogue!$C$7:$C$19,MATCH(F96,Catalogue!$B$7:$B$19,0)),"#N/A"))</f>
        <v/>
      </c>
      <c r="H96" s="28" t="n"/>
      <c r="I96" s="29">
        <f>IF(OR(F96="",H96=""),"",IFERROR(H96*INDEX(Catalogue!$G$7:$G$19,MATCH(F96,Catalogue!$B$7:$B$19,0)),"#N/A"))</f>
        <v/>
      </c>
      <c r="J96" s="30">
        <f>IF(ISNUMBER(I96),I96-K96,"")</f>
        <v/>
      </c>
      <c r="K96" s="31">
        <f>IF(OR(F96="",H96=""),"",IFERROR(H96*INDEX(Catalogue!$F$7:$F$19,MATCH(F96,Catalogue!$B$7:$B$19,0)),"#N/A"))</f>
        <v/>
      </c>
      <c r="L96" s="31">
        <f>IF(ISNUMBER(J96),J96*IFERROR(INDEX(Paramètres!$C$7:$C$12,MATCH(INDEX(Effectif!$D$7:$D$21,MATCH(D96,Effectif!$C$7:$C$21,0)),Paramètres!$B$7:$B$12,0)),0),"")</f>
        <v/>
      </c>
      <c r="M96" s="1" t="n"/>
    </row>
    <row r="97">
      <c r="A97" s="1" t="n"/>
      <c r="B97" s="24" t="n">
        <v>91</v>
      </c>
      <c r="C97" s="25" t="n"/>
      <c r="D97" s="26" t="n"/>
      <c r="E97" s="26" t="n"/>
      <c r="F97" s="26" t="n"/>
      <c r="G97" s="27">
        <f>IF(F97="","",IFERROR(INDEX(Catalogue!$C$7:$C$19,MATCH(F97,Catalogue!$B$7:$B$19,0)),"#N/A"))</f>
        <v/>
      </c>
      <c r="H97" s="28" t="n"/>
      <c r="I97" s="29">
        <f>IF(OR(F97="",H97=""),"",IFERROR(H97*INDEX(Catalogue!$G$7:$G$19,MATCH(F97,Catalogue!$B$7:$B$19,0)),"#N/A"))</f>
        <v/>
      </c>
      <c r="J97" s="30">
        <f>IF(ISNUMBER(I97),I97-K97,"")</f>
        <v/>
      </c>
      <c r="K97" s="31">
        <f>IF(OR(F97="",H97=""),"",IFERROR(H97*INDEX(Catalogue!$F$7:$F$19,MATCH(F97,Catalogue!$B$7:$B$19,0)),"#N/A"))</f>
        <v/>
      </c>
      <c r="L97" s="31">
        <f>IF(ISNUMBER(J97),J97*IFERROR(INDEX(Paramètres!$C$7:$C$12,MATCH(INDEX(Effectif!$D$7:$D$21,MATCH(D97,Effectif!$C$7:$C$21,0)),Paramètres!$B$7:$B$12,0)),0),"")</f>
        <v/>
      </c>
      <c r="M97" s="1" t="n"/>
    </row>
    <row r="98">
      <c r="A98" s="1" t="n"/>
      <c r="B98" s="24" t="n">
        <v>92</v>
      </c>
      <c r="C98" s="25" t="n"/>
      <c r="D98" s="26" t="n"/>
      <c r="E98" s="26" t="n"/>
      <c r="F98" s="26" t="n"/>
      <c r="G98" s="27">
        <f>IF(F98="","",IFERROR(INDEX(Catalogue!$C$7:$C$19,MATCH(F98,Catalogue!$B$7:$B$19,0)),"#N/A"))</f>
        <v/>
      </c>
      <c r="H98" s="28" t="n"/>
      <c r="I98" s="29">
        <f>IF(OR(F98="",H98=""),"",IFERROR(H98*INDEX(Catalogue!$G$7:$G$19,MATCH(F98,Catalogue!$B$7:$B$19,0)),"#N/A"))</f>
        <v/>
      </c>
      <c r="J98" s="30">
        <f>IF(ISNUMBER(I98),I98-K98,"")</f>
        <v/>
      </c>
      <c r="K98" s="31">
        <f>IF(OR(F98="",H98=""),"",IFERROR(H98*INDEX(Catalogue!$F$7:$F$19,MATCH(F98,Catalogue!$B$7:$B$19,0)),"#N/A"))</f>
        <v/>
      </c>
      <c r="L98" s="31">
        <f>IF(ISNUMBER(J98),J98*IFERROR(INDEX(Paramètres!$C$7:$C$12,MATCH(INDEX(Effectif!$D$7:$D$21,MATCH(D98,Effectif!$C$7:$C$21,0)),Paramètres!$B$7:$B$12,0)),0),"")</f>
        <v/>
      </c>
      <c r="M98" s="1" t="n"/>
    </row>
    <row r="99">
      <c r="A99" s="1" t="n"/>
      <c r="B99" s="24" t="n">
        <v>93</v>
      </c>
      <c r="C99" s="25" t="n"/>
      <c r="D99" s="26" t="n"/>
      <c r="E99" s="26" t="n"/>
      <c r="F99" s="26" t="n"/>
      <c r="G99" s="27">
        <f>IF(F99="","",IFERROR(INDEX(Catalogue!$C$7:$C$19,MATCH(F99,Catalogue!$B$7:$B$19,0)),"#N/A"))</f>
        <v/>
      </c>
      <c r="H99" s="28" t="n"/>
      <c r="I99" s="29">
        <f>IF(OR(F99="",H99=""),"",IFERROR(H99*INDEX(Catalogue!$G$7:$G$19,MATCH(F99,Catalogue!$B$7:$B$19,0)),"#N/A"))</f>
        <v/>
      </c>
      <c r="J99" s="30">
        <f>IF(ISNUMBER(I99),I99-K99,"")</f>
        <v/>
      </c>
      <c r="K99" s="31">
        <f>IF(OR(F99="",H99=""),"",IFERROR(H99*INDEX(Catalogue!$F$7:$F$19,MATCH(F99,Catalogue!$B$7:$B$19,0)),"#N/A"))</f>
        <v/>
      </c>
      <c r="L99" s="31">
        <f>IF(ISNUMBER(J99),J99*IFERROR(INDEX(Paramètres!$C$7:$C$12,MATCH(INDEX(Effectif!$D$7:$D$21,MATCH(D99,Effectif!$C$7:$C$21,0)),Paramètres!$B$7:$B$12,0)),0),"")</f>
        <v/>
      </c>
      <c r="M99" s="1" t="n"/>
    </row>
    <row r="100">
      <c r="A100" s="1" t="n"/>
      <c r="B100" s="24" t="n">
        <v>94</v>
      </c>
      <c r="C100" s="25" t="n"/>
      <c r="D100" s="26" t="n"/>
      <c r="E100" s="26" t="n"/>
      <c r="F100" s="26" t="n"/>
      <c r="G100" s="27">
        <f>IF(F100="","",IFERROR(INDEX(Catalogue!$C$7:$C$19,MATCH(F100,Catalogue!$B$7:$B$19,0)),"#N/A"))</f>
        <v/>
      </c>
      <c r="H100" s="28" t="n"/>
      <c r="I100" s="29">
        <f>IF(OR(F100="",H100=""),"",IFERROR(H100*INDEX(Catalogue!$G$7:$G$19,MATCH(F100,Catalogue!$B$7:$B$19,0)),"#N/A"))</f>
        <v/>
      </c>
      <c r="J100" s="30">
        <f>IF(ISNUMBER(I100),I100-K100,"")</f>
        <v/>
      </c>
      <c r="K100" s="31">
        <f>IF(OR(F100="",H100=""),"",IFERROR(H100*INDEX(Catalogue!$F$7:$F$19,MATCH(F100,Catalogue!$B$7:$B$19,0)),"#N/A"))</f>
        <v/>
      </c>
      <c r="L100" s="31">
        <f>IF(ISNUMBER(J100),J100*IFERROR(INDEX(Paramètres!$C$7:$C$12,MATCH(INDEX(Effectif!$D$7:$D$21,MATCH(D100,Effectif!$C$7:$C$21,0)),Paramètres!$B$7:$B$12,0)),0),"")</f>
        <v/>
      </c>
      <c r="M100" s="1" t="n"/>
    </row>
    <row r="101">
      <c r="A101" s="1" t="n"/>
      <c r="B101" s="24" t="n">
        <v>95</v>
      </c>
      <c r="C101" s="25" t="n"/>
      <c r="D101" s="26" t="n"/>
      <c r="E101" s="26" t="n"/>
      <c r="F101" s="26" t="n"/>
      <c r="G101" s="27">
        <f>IF(F101="","",IFERROR(INDEX(Catalogue!$C$7:$C$19,MATCH(F101,Catalogue!$B$7:$B$19,0)),"#N/A"))</f>
        <v/>
      </c>
      <c r="H101" s="28" t="n"/>
      <c r="I101" s="29">
        <f>IF(OR(F101="",H101=""),"",IFERROR(H101*INDEX(Catalogue!$G$7:$G$19,MATCH(F101,Catalogue!$B$7:$B$19,0)),"#N/A"))</f>
        <v/>
      </c>
      <c r="J101" s="30">
        <f>IF(ISNUMBER(I101),I101-K101,"")</f>
        <v/>
      </c>
      <c r="K101" s="31">
        <f>IF(OR(F101="",H101=""),"",IFERROR(H101*INDEX(Catalogue!$F$7:$F$19,MATCH(F101,Catalogue!$B$7:$B$19,0)),"#N/A"))</f>
        <v/>
      </c>
      <c r="L101" s="31">
        <f>IF(ISNUMBER(J101),J101*IFERROR(INDEX(Paramètres!$C$7:$C$12,MATCH(INDEX(Effectif!$D$7:$D$21,MATCH(D101,Effectif!$C$7:$C$21,0)),Paramètres!$B$7:$B$12,0)),0),"")</f>
        <v/>
      </c>
      <c r="M101" s="1" t="n"/>
    </row>
    <row r="102">
      <c r="A102" s="1" t="n"/>
      <c r="B102" s="24" t="n">
        <v>96</v>
      </c>
      <c r="C102" s="25" t="n"/>
      <c r="D102" s="26" t="n"/>
      <c r="E102" s="26" t="n"/>
      <c r="F102" s="26" t="n"/>
      <c r="G102" s="27">
        <f>IF(F102="","",IFERROR(INDEX(Catalogue!$C$7:$C$19,MATCH(F102,Catalogue!$B$7:$B$19,0)),"#N/A"))</f>
        <v/>
      </c>
      <c r="H102" s="28" t="n"/>
      <c r="I102" s="29">
        <f>IF(OR(F102="",H102=""),"",IFERROR(H102*INDEX(Catalogue!$G$7:$G$19,MATCH(F102,Catalogue!$B$7:$B$19,0)),"#N/A"))</f>
        <v/>
      </c>
      <c r="J102" s="30">
        <f>IF(ISNUMBER(I102),I102-K102,"")</f>
        <v/>
      </c>
      <c r="K102" s="31">
        <f>IF(OR(F102="",H102=""),"",IFERROR(H102*INDEX(Catalogue!$F$7:$F$19,MATCH(F102,Catalogue!$B$7:$B$19,0)),"#N/A"))</f>
        <v/>
      </c>
      <c r="L102" s="31">
        <f>IF(ISNUMBER(J102),J102*IFERROR(INDEX(Paramètres!$C$7:$C$12,MATCH(INDEX(Effectif!$D$7:$D$21,MATCH(D102,Effectif!$C$7:$C$21,0)),Paramètres!$B$7:$B$12,0)),0),"")</f>
        <v/>
      </c>
      <c r="M102" s="1" t="n"/>
    </row>
    <row r="103">
      <c r="A103" s="1" t="n"/>
      <c r="B103" s="24" t="n">
        <v>97</v>
      </c>
      <c r="C103" s="25" t="n"/>
      <c r="D103" s="26" t="n"/>
      <c r="E103" s="26" t="n"/>
      <c r="F103" s="26" t="n"/>
      <c r="G103" s="27">
        <f>IF(F103="","",IFERROR(INDEX(Catalogue!$C$7:$C$19,MATCH(F103,Catalogue!$B$7:$B$19,0)),"#N/A"))</f>
        <v/>
      </c>
      <c r="H103" s="28" t="n"/>
      <c r="I103" s="29">
        <f>IF(OR(F103="",H103=""),"",IFERROR(H103*INDEX(Catalogue!$G$7:$G$19,MATCH(F103,Catalogue!$B$7:$B$19,0)),"#N/A"))</f>
        <v/>
      </c>
      <c r="J103" s="30">
        <f>IF(ISNUMBER(I103),I103-K103,"")</f>
        <v/>
      </c>
      <c r="K103" s="31">
        <f>IF(OR(F103="",H103=""),"",IFERROR(H103*INDEX(Catalogue!$F$7:$F$19,MATCH(F103,Catalogue!$B$7:$B$19,0)),"#N/A"))</f>
        <v/>
      </c>
      <c r="L103" s="31">
        <f>IF(ISNUMBER(J103),J103*IFERROR(INDEX(Paramètres!$C$7:$C$12,MATCH(INDEX(Effectif!$D$7:$D$21,MATCH(D103,Effectif!$C$7:$C$21,0)),Paramètres!$B$7:$B$12,0)),0),"")</f>
        <v/>
      </c>
      <c r="M103" s="1" t="n"/>
    </row>
    <row r="104">
      <c r="A104" s="1" t="n"/>
      <c r="B104" s="24" t="n">
        <v>98</v>
      </c>
      <c r="C104" s="25" t="n"/>
      <c r="D104" s="26" t="n"/>
      <c r="E104" s="26" t="n"/>
      <c r="F104" s="26" t="n"/>
      <c r="G104" s="27">
        <f>IF(F104="","",IFERROR(INDEX(Catalogue!$C$7:$C$19,MATCH(F104,Catalogue!$B$7:$B$19,0)),"#N/A"))</f>
        <v/>
      </c>
      <c r="H104" s="28" t="n"/>
      <c r="I104" s="29">
        <f>IF(OR(F104="",H104=""),"",IFERROR(H104*INDEX(Catalogue!$G$7:$G$19,MATCH(F104,Catalogue!$B$7:$B$19,0)),"#N/A"))</f>
        <v/>
      </c>
      <c r="J104" s="30">
        <f>IF(ISNUMBER(I104),I104-K104,"")</f>
        <v/>
      </c>
      <c r="K104" s="31">
        <f>IF(OR(F104="",H104=""),"",IFERROR(H104*INDEX(Catalogue!$F$7:$F$19,MATCH(F104,Catalogue!$B$7:$B$19,0)),"#N/A"))</f>
        <v/>
      </c>
      <c r="L104" s="31">
        <f>IF(ISNUMBER(J104),J104*IFERROR(INDEX(Paramètres!$C$7:$C$12,MATCH(INDEX(Effectif!$D$7:$D$21,MATCH(D104,Effectif!$C$7:$C$21,0)),Paramètres!$B$7:$B$12,0)),0),"")</f>
        <v/>
      </c>
      <c r="M104" s="1" t="n"/>
    </row>
    <row r="105">
      <c r="A105" s="1" t="n"/>
      <c r="B105" s="24" t="n">
        <v>99</v>
      </c>
      <c r="C105" s="25" t="n"/>
      <c r="D105" s="26" t="n"/>
      <c r="E105" s="26" t="n"/>
      <c r="F105" s="26" t="n"/>
      <c r="G105" s="27">
        <f>IF(F105="","",IFERROR(INDEX(Catalogue!$C$7:$C$19,MATCH(F105,Catalogue!$B$7:$B$19,0)),"#N/A"))</f>
        <v/>
      </c>
      <c r="H105" s="28" t="n"/>
      <c r="I105" s="29">
        <f>IF(OR(F105="",H105=""),"",IFERROR(H105*INDEX(Catalogue!$G$7:$G$19,MATCH(F105,Catalogue!$B$7:$B$19,0)),"#N/A"))</f>
        <v/>
      </c>
      <c r="J105" s="30">
        <f>IF(ISNUMBER(I105),I105-K105,"")</f>
        <v/>
      </c>
      <c r="K105" s="31">
        <f>IF(OR(F105="",H105=""),"",IFERROR(H105*INDEX(Catalogue!$F$7:$F$19,MATCH(F105,Catalogue!$B$7:$B$19,0)),"#N/A"))</f>
        <v/>
      </c>
      <c r="L105" s="31">
        <f>IF(ISNUMBER(J105),J105*IFERROR(INDEX(Paramètres!$C$7:$C$12,MATCH(INDEX(Effectif!$D$7:$D$21,MATCH(D105,Effectif!$C$7:$C$21,0)),Paramètres!$B$7:$B$12,0)),0),"")</f>
        <v/>
      </c>
      <c r="M105" s="1" t="n"/>
    </row>
    <row r="106">
      <c r="A106" s="1" t="n"/>
      <c r="B106" s="24" t="n">
        <v>100</v>
      </c>
      <c r="C106" s="25" t="n"/>
      <c r="D106" s="26" t="n"/>
      <c r="E106" s="26" t="n"/>
      <c r="F106" s="26" t="n"/>
      <c r="G106" s="27">
        <f>IF(F106="","",IFERROR(INDEX(Catalogue!$C$7:$C$19,MATCH(F106,Catalogue!$B$7:$B$19,0)),"#N/A"))</f>
        <v/>
      </c>
      <c r="H106" s="28" t="n"/>
      <c r="I106" s="29">
        <f>IF(OR(F106="",H106=""),"",IFERROR(H106*INDEX(Catalogue!$G$7:$G$19,MATCH(F106,Catalogue!$B$7:$B$19,0)),"#N/A"))</f>
        <v/>
      </c>
      <c r="J106" s="30">
        <f>IF(ISNUMBER(I106),I106-K106,"")</f>
        <v/>
      </c>
      <c r="K106" s="31">
        <f>IF(OR(F106="",H106=""),"",IFERROR(H106*INDEX(Catalogue!$F$7:$F$19,MATCH(F106,Catalogue!$B$7:$B$19,0)),"#N/A"))</f>
        <v/>
      </c>
      <c r="L106" s="31">
        <f>IF(ISNUMBER(J106),J106*IFERROR(INDEX(Paramètres!$C$7:$C$12,MATCH(INDEX(Effectif!$D$7:$D$21,MATCH(D106,Effectif!$C$7:$C$21,0)),Paramètres!$B$7:$B$12,0)),0),"")</f>
        <v/>
      </c>
      <c r="M106" s="1" t="n"/>
    </row>
    <row r="107">
      <c r="A107" s="1" t="n"/>
      <c r="B107" s="24" t="n">
        <v>101</v>
      </c>
      <c r="C107" s="25" t="n"/>
      <c r="D107" s="26" t="n"/>
      <c r="E107" s="26" t="n"/>
      <c r="F107" s="26" t="n"/>
      <c r="G107" s="27">
        <f>IF(F107="","",IFERROR(INDEX(Catalogue!$C$7:$C$19,MATCH(F107,Catalogue!$B$7:$B$19,0)),"#N/A"))</f>
        <v/>
      </c>
      <c r="H107" s="28" t="n"/>
      <c r="I107" s="29">
        <f>IF(OR(F107="",H107=""),"",IFERROR(H107*INDEX(Catalogue!$G$7:$G$19,MATCH(F107,Catalogue!$B$7:$B$19,0)),"#N/A"))</f>
        <v/>
      </c>
      <c r="J107" s="30">
        <f>IF(ISNUMBER(I107),I107-K107,"")</f>
        <v/>
      </c>
      <c r="K107" s="31">
        <f>IF(OR(F107="",H107=""),"",IFERROR(H107*INDEX(Catalogue!$F$7:$F$19,MATCH(F107,Catalogue!$B$7:$B$19,0)),"#N/A"))</f>
        <v/>
      </c>
      <c r="L107" s="31">
        <f>IF(ISNUMBER(J107),J107*IFERROR(INDEX(Paramètres!$C$7:$C$12,MATCH(INDEX(Effectif!$D$7:$D$21,MATCH(D107,Effectif!$C$7:$C$21,0)),Paramètres!$B$7:$B$12,0)),0),"")</f>
        <v/>
      </c>
      <c r="M107" s="1" t="n"/>
    </row>
    <row r="108">
      <c r="A108" s="1" t="n"/>
      <c r="B108" s="24" t="n">
        <v>102</v>
      </c>
      <c r="C108" s="25" t="n"/>
      <c r="D108" s="26" t="n"/>
      <c r="E108" s="26" t="n"/>
      <c r="F108" s="26" t="n"/>
      <c r="G108" s="27">
        <f>IF(F108="","",IFERROR(INDEX(Catalogue!$C$7:$C$19,MATCH(F108,Catalogue!$B$7:$B$19,0)),"#N/A"))</f>
        <v/>
      </c>
      <c r="H108" s="28" t="n"/>
      <c r="I108" s="29">
        <f>IF(OR(F108="",H108=""),"",IFERROR(H108*INDEX(Catalogue!$G$7:$G$19,MATCH(F108,Catalogue!$B$7:$B$19,0)),"#N/A"))</f>
        <v/>
      </c>
      <c r="J108" s="30">
        <f>IF(ISNUMBER(I108),I108-K108,"")</f>
        <v/>
      </c>
      <c r="K108" s="31">
        <f>IF(OR(F108="",H108=""),"",IFERROR(H108*INDEX(Catalogue!$F$7:$F$19,MATCH(F108,Catalogue!$B$7:$B$19,0)),"#N/A"))</f>
        <v/>
      </c>
      <c r="L108" s="31">
        <f>IF(ISNUMBER(J108),J108*IFERROR(INDEX(Paramètres!$C$7:$C$12,MATCH(INDEX(Effectif!$D$7:$D$21,MATCH(D108,Effectif!$C$7:$C$21,0)),Paramètres!$B$7:$B$12,0)),0),"")</f>
        <v/>
      </c>
      <c r="M108" s="1" t="n"/>
    </row>
    <row r="109">
      <c r="A109" s="1" t="n"/>
      <c r="B109" s="24" t="n">
        <v>103</v>
      </c>
      <c r="C109" s="25" t="n"/>
      <c r="D109" s="26" t="n"/>
      <c r="E109" s="26" t="n"/>
      <c r="F109" s="26" t="n"/>
      <c r="G109" s="27">
        <f>IF(F109="","",IFERROR(INDEX(Catalogue!$C$7:$C$19,MATCH(F109,Catalogue!$B$7:$B$19,0)),"#N/A"))</f>
        <v/>
      </c>
      <c r="H109" s="28" t="n"/>
      <c r="I109" s="29">
        <f>IF(OR(F109="",H109=""),"",IFERROR(H109*INDEX(Catalogue!$G$7:$G$19,MATCH(F109,Catalogue!$B$7:$B$19,0)),"#N/A"))</f>
        <v/>
      </c>
      <c r="J109" s="30">
        <f>IF(ISNUMBER(I109),I109-K109,"")</f>
        <v/>
      </c>
      <c r="K109" s="31">
        <f>IF(OR(F109="",H109=""),"",IFERROR(H109*INDEX(Catalogue!$F$7:$F$19,MATCH(F109,Catalogue!$B$7:$B$19,0)),"#N/A"))</f>
        <v/>
      </c>
      <c r="L109" s="31">
        <f>IF(ISNUMBER(J109),J109*IFERROR(INDEX(Paramètres!$C$7:$C$12,MATCH(INDEX(Effectif!$D$7:$D$21,MATCH(D109,Effectif!$C$7:$C$21,0)),Paramètres!$B$7:$B$12,0)),0),"")</f>
        <v/>
      </c>
      <c r="M109" s="1" t="n"/>
    </row>
    <row r="110">
      <c r="A110" s="1" t="n"/>
      <c r="B110" s="24" t="n">
        <v>104</v>
      </c>
      <c r="C110" s="25" t="n"/>
      <c r="D110" s="26" t="n"/>
      <c r="E110" s="26" t="n"/>
      <c r="F110" s="26" t="n"/>
      <c r="G110" s="27">
        <f>IF(F110="","",IFERROR(INDEX(Catalogue!$C$7:$C$19,MATCH(F110,Catalogue!$B$7:$B$19,0)),"#N/A"))</f>
        <v/>
      </c>
      <c r="H110" s="28" t="n"/>
      <c r="I110" s="29">
        <f>IF(OR(F110="",H110=""),"",IFERROR(H110*INDEX(Catalogue!$G$7:$G$19,MATCH(F110,Catalogue!$B$7:$B$19,0)),"#N/A"))</f>
        <v/>
      </c>
      <c r="J110" s="30">
        <f>IF(ISNUMBER(I110),I110-K110,"")</f>
        <v/>
      </c>
      <c r="K110" s="31">
        <f>IF(OR(F110="",H110=""),"",IFERROR(H110*INDEX(Catalogue!$F$7:$F$19,MATCH(F110,Catalogue!$B$7:$B$19,0)),"#N/A"))</f>
        <v/>
      </c>
      <c r="L110" s="31">
        <f>IF(ISNUMBER(J110),J110*IFERROR(INDEX(Paramètres!$C$7:$C$12,MATCH(INDEX(Effectif!$D$7:$D$21,MATCH(D110,Effectif!$C$7:$C$21,0)),Paramètres!$B$7:$B$12,0)),0),"")</f>
        <v/>
      </c>
      <c r="M110" s="1" t="n"/>
    </row>
    <row r="111">
      <c r="A111" s="1" t="n"/>
      <c r="B111" s="24" t="n">
        <v>105</v>
      </c>
      <c r="C111" s="25" t="n"/>
      <c r="D111" s="26" t="n"/>
      <c r="E111" s="26" t="n"/>
      <c r="F111" s="26" t="n"/>
      <c r="G111" s="27">
        <f>IF(F111="","",IFERROR(INDEX(Catalogue!$C$7:$C$19,MATCH(F111,Catalogue!$B$7:$B$19,0)),"#N/A"))</f>
        <v/>
      </c>
      <c r="H111" s="28" t="n"/>
      <c r="I111" s="29">
        <f>IF(OR(F111="",H111=""),"",IFERROR(H111*INDEX(Catalogue!$G$7:$G$19,MATCH(F111,Catalogue!$B$7:$B$19,0)),"#N/A"))</f>
        <v/>
      </c>
      <c r="J111" s="30">
        <f>IF(ISNUMBER(I111),I111-K111,"")</f>
        <v/>
      </c>
      <c r="K111" s="31">
        <f>IF(OR(F111="",H111=""),"",IFERROR(H111*INDEX(Catalogue!$F$7:$F$19,MATCH(F111,Catalogue!$B$7:$B$19,0)),"#N/A"))</f>
        <v/>
      </c>
      <c r="L111" s="31">
        <f>IF(ISNUMBER(J111),J111*IFERROR(INDEX(Paramètres!$C$7:$C$12,MATCH(INDEX(Effectif!$D$7:$D$21,MATCH(D111,Effectif!$C$7:$C$21,0)),Paramètres!$B$7:$B$12,0)),0),"")</f>
        <v/>
      </c>
      <c r="M111" s="1" t="n"/>
    </row>
    <row r="112">
      <c r="A112" s="1" t="n"/>
      <c r="B112" s="24" t="n">
        <v>106</v>
      </c>
      <c r="C112" s="25" t="n"/>
      <c r="D112" s="26" t="n"/>
      <c r="E112" s="26" t="n"/>
      <c r="F112" s="26" t="n"/>
      <c r="G112" s="27">
        <f>IF(F112="","",IFERROR(INDEX(Catalogue!$C$7:$C$19,MATCH(F112,Catalogue!$B$7:$B$19,0)),"#N/A"))</f>
        <v/>
      </c>
      <c r="H112" s="28" t="n"/>
      <c r="I112" s="29">
        <f>IF(OR(F112="",H112=""),"",IFERROR(H112*INDEX(Catalogue!$G$7:$G$19,MATCH(F112,Catalogue!$B$7:$B$19,0)),"#N/A"))</f>
        <v/>
      </c>
      <c r="J112" s="30">
        <f>IF(ISNUMBER(I112),I112-K112,"")</f>
        <v/>
      </c>
      <c r="K112" s="31">
        <f>IF(OR(F112="",H112=""),"",IFERROR(H112*INDEX(Catalogue!$F$7:$F$19,MATCH(F112,Catalogue!$B$7:$B$19,0)),"#N/A"))</f>
        <v/>
      </c>
      <c r="L112" s="31">
        <f>IF(ISNUMBER(J112),J112*IFERROR(INDEX(Paramètres!$C$7:$C$12,MATCH(INDEX(Effectif!$D$7:$D$21,MATCH(D112,Effectif!$C$7:$C$21,0)),Paramètres!$B$7:$B$12,0)),0),"")</f>
        <v/>
      </c>
      <c r="M112" s="1" t="n"/>
    </row>
    <row r="113">
      <c r="A113" s="1" t="n"/>
      <c r="B113" s="24" t="n">
        <v>107</v>
      </c>
      <c r="C113" s="25" t="n"/>
      <c r="D113" s="26" t="n"/>
      <c r="E113" s="26" t="n"/>
      <c r="F113" s="26" t="n"/>
      <c r="G113" s="27">
        <f>IF(F113="","",IFERROR(INDEX(Catalogue!$C$7:$C$19,MATCH(F113,Catalogue!$B$7:$B$19,0)),"#N/A"))</f>
        <v/>
      </c>
      <c r="H113" s="28" t="n"/>
      <c r="I113" s="29">
        <f>IF(OR(F113="",H113=""),"",IFERROR(H113*INDEX(Catalogue!$G$7:$G$19,MATCH(F113,Catalogue!$B$7:$B$19,0)),"#N/A"))</f>
        <v/>
      </c>
      <c r="J113" s="30">
        <f>IF(ISNUMBER(I113),I113-K113,"")</f>
        <v/>
      </c>
      <c r="K113" s="31">
        <f>IF(OR(F113="",H113=""),"",IFERROR(H113*INDEX(Catalogue!$F$7:$F$19,MATCH(F113,Catalogue!$B$7:$B$19,0)),"#N/A"))</f>
        <v/>
      </c>
      <c r="L113" s="31">
        <f>IF(ISNUMBER(J113),J113*IFERROR(INDEX(Paramètres!$C$7:$C$12,MATCH(INDEX(Effectif!$D$7:$D$21,MATCH(D113,Effectif!$C$7:$C$21,0)),Paramètres!$B$7:$B$12,0)),0),"")</f>
        <v/>
      </c>
      <c r="M113" s="1" t="n"/>
    </row>
    <row r="114">
      <c r="A114" s="1" t="n"/>
      <c r="B114" s="24" t="n">
        <v>108</v>
      </c>
      <c r="C114" s="25" t="n"/>
      <c r="D114" s="26" t="n"/>
      <c r="E114" s="26" t="n"/>
      <c r="F114" s="26" t="n"/>
      <c r="G114" s="27">
        <f>IF(F114="","",IFERROR(INDEX(Catalogue!$C$7:$C$19,MATCH(F114,Catalogue!$B$7:$B$19,0)),"#N/A"))</f>
        <v/>
      </c>
      <c r="H114" s="28" t="n"/>
      <c r="I114" s="29">
        <f>IF(OR(F114="",H114=""),"",IFERROR(H114*INDEX(Catalogue!$G$7:$G$19,MATCH(F114,Catalogue!$B$7:$B$19,0)),"#N/A"))</f>
        <v/>
      </c>
      <c r="J114" s="30">
        <f>IF(ISNUMBER(I114),I114-K114,"")</f>
        <v/>
      </c>
      <c r="K114" s="31">
        <f>IF(OR(F114="",H114=""),"",IFERROR(H114*INDEX(Catalogue!$F$7:$F$19,MATCH(F114,Catalogue!$B$7:$B$19,0)),"#N/A"))</f>
        <v/>
      </c>
      <c r="L114" s="31">
        <f>IF(ISNUMBER(J114),J114*IFERROR(INDEX(Paramètres!$C$7:$C$12,MATCH(INDEX(Effectif!$D$7:$D$21,MATCH(D114,Effectif!$C$7:$C$21,0)),Paramètres!$B$7:$B$12,0)),0),"")</f>
        <v/>
      </c>
      <c r="M114" s="1" t="n"/>
    </row>
    <row r="115">
      <c r="A115" s="1" t="n"/>
      <c r="B115" s="24" t="n">
        <v>109</v>
      </c>
      <c r="C115" s="25" t="n"/>
      <c r="D115" s="26" t="n"/>
      <c r="E115" s="26" t="n"/>
      <c r="F115" s="26" t="n"/>
      <c r="G115" s="27">
        <f>IF(F115="","",IFERROR(INDEX(Catalogue!$C$7:$C$19,MATCH(F115,Catalogue!$B$7:$B$19,0)),"#N/A"))</f>
        <v/>
      </c>
      <c r="H115" s="28" t="n"/>
      <c r="I115" s="29">
        <f>IF(OR(F115="",H115=""),"",IFERROR(H115*INDEX(Catalogue!$G$7:$G$19,MATCH(F115,Catalogue!$B$7:$B$19,0)),"#N/A"))</f>
        <v/>
      </c>
      <c r="J115" s="30">
        <f>IF(ISNUMBER(I115),I115-K115,"")</f>
        <v/>
      </c>
      <c r="K115" s="31">
        <f>IF(OR(F115="",H115=""),"",IFERROR(H115*INDEX(Catalogue!$F$7:$F$19,MATCH(F115,Catalogue!$B$7:$B$19,0)),"#N/A"))</f>
        <v/>
      </c>
      <c r="L115" s="31">
        <f>IF(ISNUMBER(J115),J115*IFERROR(INDEX(Paramètres!$C$7:$C$12,MATCH(INDEX(Effectif!$D$7:$D$21,MATCH(D115,Effectif!$C$7:$C$21,0)),Paramètres!$B$7:$B$12,0)),0),"")</f>
        <v/>
      </c>
      <c r="M115" s="1" t="n"/>
    </row>
    <row r="116">
      <c r="A116" s="1" t="n"/>
      <c r="B116" s="24" t="n">
        <v>110</v>
      </c>
      <c r="C116" s="25" t="n"/>
      <c r="D116" s="26" t="n"/>
      <c r="E116" s="26" t="n"/>
      <c r="F116" s="26" t="n"/>
      <c r="G116" s="27">
        <f>IF(F116="","",IFERROR(INDEX(Catalogue!$C$7:$C$19,MATCH(F116,Catalogue!$B$7:$B$19,0)),"#N/A"))</f>
        <v/>
      </c>
      <c r="H116" s="28" t="n"/>
      <c r="I116" s="29">
        <f>IF(OR(F116="",H116=""),"",IFERROR(H116*INDEX(Catalogue!$G$7:$G$19,MATCH(F116,Catalogue!$B$7:$B$19,0)),"#N/A"))</f>
        <v/>
      </c>
      <c r="J116" s="30">
        <f>IF(ISNUMBER(I116),I116-K116,"")</f>
        <v/>
      </c>
      <c r="K116" s="31">
        <f>IF(OR(F116="",H116=""),"",IFERROR(H116*INDEX(Catalogue!$F$7:$F$19,MATCH(F116,Catalogue!$B$7:$B$19,0)),"#N/A"))</f>
        <v/>
      </c>
      <c r="L116" s="31">
        <f>IF(ISNUMBER(J116),J116*IFERROR(INDEX(Paramètres!$C$7:$C$12,MATCH(INDEX(Effectif!$D$7:$D$21,MATCH(D116,Effectif!$C$7:$C$21,0)),Paramètres!$B$7:$B$12,0)),0),"")</f>
        <v/>
      </c>
      <c r="M116" s="1" t="n"/>
    </row>
    <row r="117">
      <c r="A117" s="1" t="n"/>
      <c r="B117" s="24" t="n">
        <v>111</v>
      </c>
      <c r="C117" s="25" t="n"/>
      <c r="D117" s="26" t="n"/>
      <c r="E117" s="26" t="n"/>
      <c r="F117" s="26" t="n"/>
      <c r="G117" s="27">
        <f>IF(F117="","",IFERROR(INDEX(Catalogue!$C$7:$C$19,MATCH(F117,Catalogue!$B$7:$B$19,0)),"#N/A"))</f>
        <v/>
      </c>
      <c r="H117" s="28" t="n"/>
      <c r="I117" s="29">
        <f>IF(OR(F117="",H117=""),"",IFERROR(H117*INDEX(Catalogue!$G$7:$G$19,MATCH(F117,Catalogue!$B$7:$B$19,0)),"#N/A"))</f>
        <v/>
      </c>
      <c r="J117" s="30">
        <f>IF(ISNUMBER(I117),I117-K117,"")</f>
        <v/>
      </c>
      <c r="K117" s="31">
        <f>IF(OR(F117="",H117=""),"",IFERROR(H117*INDEX(Catalogue!$F$7:$F$19,MATCH(F117,Catalogue!$B$7:$B$19,0)),"#N/A"))</f>
        <v/>
      </c>
      <c r="L117" s="31">
        <f>IF(ISNUMBER(J117),J117*IFERROR(INDEX(Paramètres!$C$7:$C$12,MATCH(INDEX(Effectif!$D$7:$D$21,MATCH(D117,Effectif!$C$7:$C$21,0)),Paramètres!$B$7:$B$12,0)),0),"")</f>
        <v/>
      </c>
      <c r="M117" s="1" t="n"/>
    </row>
    <row r="118">
      <c r="A118" s="1" t="n"/>
      <c r="B118" s="24" t="n">
        <v>112</v>
      </c>
      <c r="C118" s="25" t="n"/>
      <c r="D118" s="26" t="n"/>
      <c r="E118" s="26" t="n"/>
      <c r="F118" s="26" t="n"/>
      <c r="G118" s="27">
        <f>IF(F118="","",IFERROR(INDEX(Catalogue!$C$7:$C$19,MATCH(F118,Catalogue!$B$7:$B$19,0)),"#N/A"))</f>
        <v/>
      </c>
      <c r="H118" s="28" t="n"/>
      <c r="I118" s="29">
        <f>IF(OR(F118="",H118=""),"",IFERROR(H118*INDEX(Catalogue!$G$7:$G$19,MATCH(F118,Catalogue!$B$7:$B$19,0)),"#N/A"))</f>
        <v/>
      </c>
      <c r="J118" s="30">
        <f>IF(ISNUMBER(I118),I118-K118,"")</f>
        <v/>
      </c>
      <c r="K118" s="31">
        <f>IF(OR(F118="",H118=""),"",IFERROR(H118*INDEX(Catalogue!$F$7:$F$19,MATCH(F118,Catalogue!$B$7:$B$19,0)),"#N/A"))</f>
        <v/>
      </c>
      <c r="L118" s="31">
        <f>IF(ISNUMBER(J118),J118*IFERROR(INDEX(Paramètres!$C$7:$C$12,MATCH(INDEX(Effectif!$D$7:$D$21,MATCH(D118,Effectif!$C$7:$C$21,0)),Paramètres!$B$7:$B$12,0)),0),"")</f>
        <v/>
      </c>
      <c r="M118" s="1" t="n"/>
    </row>
    <row r="119">
      <c r="A119" s="1" t="n"/>
      <c r="B119" s="24" t="n">
        <v>113</v>
      </c>
      <c r="C119" s="25" t="n"/>
      <c r="D119" s="26" t="n"/>
      <c r="E119" s="26" t="n"/>
      <c r="F119" s="26" t="n"/>
      <c r="G119" s="27">
        <f>IF(F119="","",IFERROR(INDEX(Catalogue!$C$7:$C$19,MATCH(F119,Catalogue!$B$7:$B$19,0)),"#N/A"))</f>
        <v/>
      </c>
      <c r="H119" s="28" t="n"/>
      <c r="I119" s="29">
        <f>IF(OR(F119="",H119=""),"",IFERROR(H119*INDEX(Catalogue!$G$7:$G$19,MATCH(F119,Catalogue!$B$7:$B$19,0)),"#N/A"))</f>
        <v/>
      </c>
      <c r="J119" s="30">
        <f>IF(ISNUMBER(I119),I119-K119,"")</f>
        <v/>
      </c>
      <c r="K119" s="31">
        <f>IF(OR(F119="",H119=""),"",IFERROR(H119*INDEX(Catalogue!$F$7:$F$19,MATCH(F119,Catalogue!$B$7:$B$19,0)),"#N/A"))</f>
        <v/>
      </c>
      <c r="L119" s="31">
        <f>IF(ISNUMBER(J119),J119*IFERROR(INDEX(Paramètres!$C$7:$C$12,MATCH(INDEX(Effectif!$D$7:$D$21,MATCH(D119,Effectif!$C$7:$C$21,0)),Paramètres!$B$7:$B$12,0)),0),"")</f>
        <v/>
      </c>
      <c r="M119" s="1" t="n"/>
    </row>
    <row r="120">
      <c r="A120" s="1" t="n"/>
      <c r="B120" s="24" t="n">
        <v>114</v>
      </c>
      <c r="C120" s="25" t="n"/>
      <c r="D120" s="26" t="n"/>
      <c r="E120" s="26" t="n"/>
      <c r="F120" s="26" t="n"/>
      <c r="G120" s="27">
        <f>IF(F120="","",IFERROR(INDEX(Catalogue!$C$7:$C$19,MATCH(F120,Catalogue!$B$7:$B$19,0)),"#N/A"))</f>
        <v/>
      </c>
      <c r="H120" s="28" t="n"/>
      <c r="I120" s="29">
        <f>IF(OR(F120="",H120=""),"",IFERROR(H120*INDEX(Catalogue!$G$7:$G$19,MATCH(F120,Catalogue!$B$7:$B$19,0)),"#N/A"))</f>
        <v/>
      </c>
      <c r="J120" s="30">
        <f>IF(ISNUMBER(I120),I120-K120,"")</f>
        <v/>
      </c>
      <c r="K120" s="31">
        <f>IF(OR(F120="",H120=""),"",IFERROR(H120*INDEX(Catalogue!$F$7:$F$19,MATCH(F120,Catalogue!$B$7:$B$19,0)),"#N/A"))</f>
        <v/>
      </c>
      <c r="L120" s="31">
        <f>IF(ISNUMBER(J120),J120*IFERROR(INDEX(Paramètres!$C$7:$C$12,MATCH(INDEX(Effectif!$D$7:$D$21,MATCH(D120,Effectif!$C$7:$C$21,0)),Paramètres!$B$7:$B$12,0)),0),"")</f>
        <v/>
      </c>
      <c r="M120" s="1" t="n"/>
    </row>
    <row r="121">
      <c r="A121" s="1" t="n"/>
      <c r="B121" s="24" t="n">
        <v>115</v>
      </c>
      <c r="C121" s="25" t="n"/>
      <c r="D121" s="26" t="n"/>
      <c r="E121" s="26" t="n"/>
      <c r="F121" s="26" t="n"/>
      <c r="G121" s="27">
        <f>IF(F121="","",IFERROR(INDEX(Catalogue!$C$7:$C$19,MATCH(F121,Catalogue!$B$7:$B$19,0)),"#N/A"))</f>
        <v/>
      </c>
      <c r="H121" s="28" t="n"/>
      <c r="I121" s="29">
        <f>IF(OR(F121="",H121=""),"",IFERROR(H121*INDEX(Catalogue!$G$7:$G$19,MATCH(F121,Catalogue!$B$7:$B$19,0)),"#N/A"))</f>
        <v/>
      </c>
      <c r="J121" s="30">
        <f>IF(ISNUMBER(I121),I121-K121,"")</f>
        <v/>
      </c>
      <c r="K121" s="31">
        <f>IF(OR(F121="",H121=""),"",IFERROR(H121*INDEX(Catalogue!$F$7:$F$19,MATCH(F121,Catalogue!$B$7:$B$19,0)),"#N/A"))</f>
        <v/>
      </c>
      <c r="L121" s="31">
        <f>IF(ISNUMBER(J121),J121*IFERROR(INDEX(Paramètres!$C$7:$C$12,MATCH(INDEX(Effectif!$D$7:$D$21,MATCH(D121,Effectif!$C$7:$C$21,0)),Paramètres!$B$7:$B$12,0)),0),"")</f>
        <v/>
      </c>
      <c r="M121" s="1" t="n"/>
    </row>
    <row r="122">
      <c r="A122" s="1" t="n"/>
      <c r="B122" s="24" t="n">
        <v>116</v>
      </c>
      <c r="C122" s="25" t="n"/>
      <c r="D122" s="26" t="n"/>
      <c r="E122" s="26" t="n"/>
      <c r="F122" s="26" t="n"/>
      <c r="G122" s="27">
        <f>IF(F122="","",IFERROR(INDEX(Catalogue!$C$7:$C$19,MATCH(F122,Catalogue!$B$7:$B$19,0)),"#N/A"))</f>
        <v/>
      </c>
      <c r="H122" s="28" t="n"/>
      <c r="I122" s="29">
        <f>IF(OR(F122="",H122=""),"",IFERROR(H122*INDEX(Catalogue!$G$7:$G$19,MATCH(F122,Catalogue!$B$7:$B$19,0)),"#N/A"))</f>
        <v/>
      </c>
      <c r="J122" s="30">
        <f>IF(ISNUMBER(I122),I122-K122,"")</f>
        <v/>
      </c>
      <c r="K122" s="31">
        <f>IF(OR(F122="",H122=""),"",IFERROR(H122*INDEX(Catalogue!$F$7:$F$19,MATCH(F122,Catalogue!$B$7:$B$19,0)),"#N/A"))</f>
        <v/>
      </c>
      <c r="L122" s="31">
        <f>IF(ISNUMBER(J122),J122*IFERROR(INDEX(Paramètres!$C$7:$C$12,MATCH(INDEX(Effectif!$D$7:$D$21,MATCH(D122,Effectif!$C$7:$C$21,0)),Paramètres!$B$7:$B$12,0)),0),"")</f>
        <v/>
      </c>
      <c r="M122" s="1" t="n"/>
    </row>
    <row r="123">
      <c r="A123" s="1" t="n"/>
      <c r="B123" s="24" t="n">
        <v>117</v>
      </c>
      <c r="C123" s="25" t="n"/>
      <c r="D123" s="26" t="n"/>
      <c r="E123" s="26" t="n"/>
      <c r="F123" s="26" t="n"/>
      <c r="G123" s="27">
        <f>IF(F123="","",IFERROR(INDEX(Catalogue!$C$7:$C$19,MATCH(F123,Catalogue!$B$7:$B$19,0)),"#N/A"))</f>
        <v/>
      </c>
      <c r="H123" s="28" t="n"/>
      <c r="I123" s="29">
        <f>IF(OR(F123="",H123=""),"",IFERROR(H123*INDEX(Catalogue!$G$7:$G$19,MATCH(F123,Catalogue!$B$7:$B$19,0)),"#N/A"))</f>
        <v/>
      </c>
      <c r="J123" s="30">
        <f>IF(ISNUMBER(I123),I123-K123,"")</f>
        <v/>
      </c>
      <c r="K123" s="31">
        <f>IF(OR(F123="",H123=""),"",IFERROR(H123*INDEX(Catalogue!$F$7:$F$19,MATCH(F123,Catalogue!$B$7:$B$19,0)),"#N/A"))</f>
        <v/>
      </c>
      <c r="L123" s="31">
        <f>IF(ISNUMBER(J123),J123*IFERROR(INDEX(Paramètres!$C$7:$C$12,MATCH(INDEX(Effectif!$D$7:$D$21,MATCH(D123,Effectif!$C$7:$C$21,0)),Paramètres!$B$7:$B$12,0)),0),"")</f>
        <v/>
      </c>
      <c r="M123" s="1" t="n"/>
    </row>
    <row r="124">
      <c r="A124" s="1" t="n"/>
      <c r="B124" s="24" t="n">
        <v>118</v>
      </c>
      <c r="C124" s="25" t="n"/>
      <c r="D124" s="26" t="n"/>
      <c r="E124" s="26" t="n"/>
      <c r="F124" s="26" t="n"/>
      <c r="G124" s="27">
        <f>IF(F124="","",IFERROR(INDEX(Catalogue!$C$7:$C$19,MATCH(F124,Catalogue!$B$7:$B$19,0)),"#N/A"))</f>
        <v/>
      </c>
      <c r="H124" s="28" t="n"/>
      <c r="I124" s="29">
        <f>IF(OR(F124="",H124=""),"",IFERROR(H124*INDEX(Catalogue!$G$7:$G$19,MATCH(F124,Catalogue!$B$7:$B$19,0)),"#N/A"))</f>
        <v/>
      </c>
      <c r="J124" s="30">
        <f>IF(ISNUMBER(I124),I124-K124,"")</f>
        <v/>
      </c>
      <c r="K124" s="31">
        <f>IF(OR(F124="",H124=""),"",IFERROR(H124*INDEX(Catalogue!$F$7:$F$19,MATCH(F124,Catalogue!$B$7:$B$19,0)),"#N/A"))</f>
        <v/>
      </c>
      <c r="L124" s="31">
        <f>IF(ISNUMBER(J124),J124*IFERROR(INDEX(Paramètres!$C$7:$C$12,MATCH(INDEX(Effectif!$D$7:$D$21,MATCH(D124,Effectif!$C$7:$C$21,0)),Paramètres!$B$7:$B$12,0)),0),"")</f>
        <v/>
      </c>
      <c r="M124" s="1" t="n"/>
    </row>
    <row r="125">
      <c r="A125" s="1" t="n"/>
      <c r="B125" s="24" t="n">
        <v>119</v>
      </c>
      <c r="C125" s="25" t="n"/>
      <c r="D125" s="26" t="n"/>
      <c r="E125" s="26" t="n"/>
      <c r="F125" s="26" t="n"/>
      <c r="G125" s="27">
        <f>IF(F125="","",IFERROR(INDEX(Catalogue!$C$7:$C$19,MATCH(F125,Catalogue!$B$7:$B$19,0)),"#N/A"))</f>
        <v/>
      </c>
      <c r="H125" s="28" t="n"/>
      <c r="I125" s="29">
        <f>IF(OR(F125="",H125=""),"",IFERROR(H125*INDEX(Catalogue!$G$7:$G$19,MATCH(F125,Catalogue!$B$7:$B$19,0)),"#N/A"))</f>
        <v/>
      </c>
      <c r="J125" s="30">
        <f>IF(ISNUMBER(I125),I125-K125,"")</f>
        <v/>
      </c>
      <c r="K125" s="31">
        <f>IF(OR(F125="",H125=""),"",IFERROR(H125*INDEX(Catalogue!$F$7:$F$19,MATCH(F125,Catalogue!$B$7:$B$19,0)),"#N/A"))</f>
        <v/>
      </c>
      <c r="L125" s="31">
        <f>IF(ISNUMBER(J125),J125*IFERROR(INDEX(Paramètres!$C$7:$C$12,MATCH(INDEX(Effectif!$D$7:$D$21,MATCH(D125,Effectif!$C$7:$C$21,0)),Paramètres!$B$7:$B$12,0)),0),"")</f>
        <v/>
      </c>
      <c r="M125" s="1" t="n"/>
    </row>
    <row r="126">
      <c r="A126" s="1" t="n"/>
      <c r="B126" s="24" t="n">
        <v>120</v>
      </c>
      <c r="C126" s="25" t="n"/>
      <c r="D126" s="26" t="n"/>
      <c r="E126" s="26" t="n"/>
      <c r="F126" s="26" t="n"/>
      <c r="G126" s="27">
        <f>IF(F126="","",IFERROR(INDEX(Catalogue!$C$7:$C$19,MATCH(F126,Catalogue!$B$7:$B$19,0)),"#N/A"))</f>
        <v/>
      </c>
      <c r="H126" s="28" t="n"/>
      <c r="I126" s="29">
        <f>IF(OR(F126="",H126=""),"",IFERROR(H126*INDEX(Catalogue!$G$7:$G$19,MATCH(F126,Catalogue!$B$7:$B$19,0)),"#N/A"))</f>
        <v/>
      </c>
      <c r="J126" s="30">
        <f>IF(ISNUMBER(I126),I126-K126,"")</f>
        <v/>
      </c>
      <c r="K126" s="31">
        <f>IF(OR(F126="",H126=""),"",IFERROR(H126*INDEX(Catalogue!$F$7:$F$19,MATCH(F126,Catalogue!$B$7:$B$19,0)),"#N/A"))</f>
        <v/>
      </c>
      <c r="L126" s="31">
        <f>IF(ISNUMBER(J126),J126*IFERROR(INDEX(Paramètres!$C$7:$C$12,MATCH(INDEX(Effectif!$D$7:$D$21,MATCH(D126,Effectif!$C$7:$C$21,0)),Paramètres!$B$7:$B$12,0)),0),"")</f>
        <v/>
      </c>
      <c r="M126" s="1" t="n"/>
    </row>
    <row r="127">
      <c r="A127" s="1" t="n"/>
      <c r="B127" s="24" t="n">
        <v>121</v>
      </c>
      <c r="C127" s="25" t="n"/>
      <c r="D127" s="26" t="n"/>
      <c r="E127" s="26" t="n"/>
      <c r="F127" s="26" t="n"/>
      <c r="G127" s="27">
        <f>IF(F127="","",IFERROR(INDEX(Catalogue!$C$7:$C$19,MATCH(F127,Catalogue!$B$7:$B$19,0)),"#N/A"))</f>
        <v/>
      </c>
      <c r="H127" s="28" t="n"/>
      <c r="I127" s="29">
        <f>IF(OR(F127="",H127=""),"",IFERROR(H127*INDEX(Catalogue!$G$7:$G$19,MATCH(F127,Catalogue!$B$7:$B$19,0)),"#N/A"))</f>
        <v/>
      </c>
      <c r="J127" s="30">
        <f>IF(ISNUMBER(I127),I127-K127,"")</f>
        <v/>
      </c>
      <c r="K127" s="31">
        <f>IF(OR(F127="",H127=""),"",IFERROR(H127*INDEX(Catalogue!$F$7:$F$19,MATCH(F127,Catalogue!$B$7:$B$19,0)),"#N/A"))</f>
        <v/>
      </c>
      <c r="L127" s="31">
        <f>IF(ISNUMBER(J127),J127*IFERROR(INDEX(Paramètres!$C$7:$C$12,MATCH(INDEX(Effectif!$D$7:$D$21,MATCH(D127,Effectif!$C$7:$C$21,0)),Paramètres!$B$7:$B$12,0)),0),"")</f>
        <v/>
      </c>
      <c r="M127" s="1" t="n"/>
    </row>
    <row r="128">
      <c r="A128" s="1" t="n"/>
      <c r="B128" s="24" t="n">
        <v>122</v>
      </c>
      <c r="C128" s="25" t="n"/>
      <c r="D128" s="26" t="n"/>
      <c r="E128" s="26" t="n"/>
      <c r="F128" s="26" t="n"/>
      <c r="G128" s="27">
        <f>IF(F128="","",IFERROR(INDEX(Catalogue!$C$7:$C$19,MATCH(F128,Catalogue!$B$7:$B$19,0)),"#N/A"))</f>
        <v/>
      </c>
      <c r="H128" s="28" t="n"/>
      <c r="I128" s="29">
        <f>IF(OR(F128="",H128=""),"",IFERROR(H128*INDEX(Catalogue!$G$7:$G$19,MATCH(F128,Catalogue!$B$7:$B$19,0)),"#N/A"))</f>
        <v/>
      </c>
      <c r="J128" s="30">
        <f>IF(ISNUMBER(I128),I128-K128,"")</f>
        <v/>
      </c>
      <c r="K128" s="31">
        <f>IF(OR(F128="",H128=""),"",IFERROR(H128*INDEX(Catalogue!$F$7:$F$19,MATCH(F128,Catalogue!$B$7:$B$19,0)),"#N/A"))</f>
        <v/>
      </c>
      <c r="L128" s="31">
        <f>IF(ISNUMBER(J128),J128*IFERROR(INDEX(Paramètres!$C$7:$C$12,MATCH(INDEX(Effectif!$D$7:$D$21,MATCH(D128,Effectif!$C$7:$C$21,0)),Paramètres!$B$7:$B$12,0)),0),"")</f>
        <v/>
      </c>
      <c r="M128" s="1" t="n"/>
    </row>
    <row r="129">
      <c r="A129" s="1" t="n"/>
      <c r="B129" s="24" t="n">
        <v>123</v>
      </c>
      <c r="C129" s="25" t="n"/>
      <c r="D129" s="26" t="n"/>
      <c r="E129" s="26" t="n"/>
      <c r="F129" s="26" t="n"/>
      <c r="G129" s="27">
        <f>IF(F129="","",IFERROR(INDEX(Catalogue!$C$7:$C$19,MATCH(F129,Catalogue!$B$7:$B$19,0)),"#N/A"))</f>
        <v/>
      </c>
      <c r="H129" s="28" t="n"/>
      <c r="I129" s="29">
        <f>IF(OR(F129="",H129=""),"",IFERROR(H129*INDEX(Catalogue!$G$7:$G$19,MATCH(F129,Catalogue!$B$7:$B$19,0)),"#N/A"))</f>
        <v/>
      </c>
      <c r="J129" s="30">
        <f>IF(ISNUMBER(I129),I129-K129,"")</f>
        <v/>
      </c>
      <c r="K129" s="31">
        <f>IF(OR(F129="",H129=""),"",IFERROR(H129*INDEX(Catalogue!$F$7:$F$19,MATCH(F129,Catalogue!$B$7:$B$19,0)),"#N/A"))</f>
        <v/>
      </c>
      <c r="L129" s="31">
        <f>IF(ISNUMBER(J129),J129*IFERROR(INDEX(Paramètres!$C$7:$C$12,MATCH(INDEX(Effectif!$D$7:$D$21,MATCH(D129,Effectif!$C$7:$C$21,0)),Paramètres!$B$7:$B$12,0)),0),"")</f>
        <v/>
      </c>
      <c r="M129" s="1" t="n"/>
    </row>
    <row r="130">
      <c r="A130" s="1" t="n"/>
      <c r="B130" s="24" t="n">
        <v>124</v>
      </c>
      <c r="C130" s="25" t="n"/>
      <c r="D130" s="26" t="n"/>
      <c r="E130" s="26" t="n"/>
      <c r="F130" s="26" t="n"/>
      <c r="G130" s="27">
        <f>IF(F130="","",IFERROR(INDEX(Catalogue!$C$7:$C$19,MATCH(F130,Catalogue!$B$7:$B$19,0)),"#N/A"))</f>
        <v/>
      </c>
      <c r="H130" s="28" t="n"/>
      <c r="I130" s="29">
        <f>IF(OR(F130="",H130=""),"",IFERROR(H130*INDEX(Catalogue!$G$7:$G$19,MATCH(F130,Catalogue!$B$7:$B$19,0)),"#N/A"))</f>
        <v/>
      </c>
      <c r="J130" s="30">
        <f>IF(ISNUMBER(I130),I130-K130,"")</f>
        <v/>
      </c>
      <c r="K130" s="31">
        <f>IF(OR(F130="",H130=""),"",IFERROR(H130*INDEX(Catalogue!$F$7:$F$19,MATCH(F130,Catalogue!$B$7:$B$19,0)),"#N/A"))</f>
        <v/>
      </c>
      <c r="L130" s="31">
        <f>IF(ISNUMBER(J130),J130*IFERROR(INDEX(Paramètres!$C$7:$C$12,MATCH(INDEX(Effectif!$D$7:$D$21,MATCH(D130,Effectif!$C$7:$C$21,0)),Paramètres!$B$7:$B$12,0)),0),"")</f>
        <v/>
      </c>
      <c r="M130" s="1" t="n"/>
    </row>
    <row r="131">
      <c r="A131" s="1" t="n"/>
      <c r="B131" s="24" t="n">
        <v>125</v>
      </c>
      <c r="C131" s="25" t="n"/>
      <c r="D131" s="26" t="n"/>
      <c r="E131" s="26" t="n"/>
      <c r="F131" s="26" t="n"/>
      <c r="G131" s="27">
        <f>IF(F131="","",IFERROR(INDEX(Catalogue!$C$7:$C$19,MATCH(F131,Catalogue!$B$7:$B$19,0)),"#N/A"))</f>
        <v/>
      </c>
      <c r="H131" s="28" t="n"/>
      <c r="I131" s="29">
        <f>IF(OR(F131="",H131=""),"",IFERROR(H131*INDEX(Catalogue!$G$7:$G$19,MATCH(F131,Catalogue!$B$7:$B$19,0)),"#N/A"))</f>
        <v/>
      </c>
      <c r="J131" s="30">
        <f>IF(ISNUMBER(I131),I131-K131,"")</f>
        <v/>
      </c>
      <c r="K131" s="31">
        <f>IF(OR(F131="",H131=""),"",IFERROR(H131*INDEX(Catalogue!$F$7:$F$19,MATCH(F131,Catalogue!$B$7:$B$19,0)),"#N/A"))</f>
        <v/>
      </c>
      <c r="L131" s="31">
        <f>IF(ISNUMBER(J131),J131*IFERROR(INDEX(Paramètres!$C$7:$C$12,MATCH(INDEX(Effectif!$D$7:$D$21,MATCH(D131,Effectif!$C$7:$C$21,0)),Paramètres!$B$7:$B$12,0)),0),"")</f>
        <v/>
      </c>
      <c r="M131" s="1" t="n"/>
    </row>
    <row r="132">
      <c r="A132" s="1" t="n"/>
      <c r="B132" s="24" t="n">
        <v>126</v>
      </c>
      <c r="C132" s="25" t="n"/>
      <c r="D132" s="26" t="n"/>
      <c r="E132" s="26" t="n"/>
      <c r="F132" s="26" t="n"/>
      <c r="G132" s="27">
        <f>IF(F132="","",IFERROR(INDEX(Catalogue!$C$7:$C$19,MATCH(F132,Catalogue!$B$7:$B$19,0)),"#N/A"))</f>
        <v/>
      </c>
      <c r="H132" s="28" t="n"/>
      <c r="I132" s="29">
        <f>IF(OR(F132="",H132=""),"",IFERROR(H132*INDEX(Catalogue!$G$7:$G$19,MATCH(F132,Catalogue!$B$7:$B$19,0)),"#N/A"))</f>
        <v/>
      </c>
      <c r="J132" s="30">
        <f>IF(ISNUMBER(I132),I132-K132,"")</f>
        <v/>
      </c>
      <c r="K132" s="31">
        <f>IF(OR(F132="",H132=""),"",IFERROR(H132*INDEX(Catalogue!$F$7:$F$19,MATCH(F132,Catalogue!$B$7:$B$19,0)),"#N/A"))</f>
        <v/>
      </c>
      <c r="L132" s="31">
        <f>IF(ISNUMBER(J132),J132*IFERROR(INDEX(Paramètres!$C$7:$C$12,MATCH(INDEX(Effectif!$D$7:$D$21,MATCH(D132,Effectif!$C$7:$C$21,0)),Paramètres!$B$7:$B$12,0)),0),"")</f>
        <v/>
      </c>
      <c r="M132" s="1" t="n"/>
    </row>
    <row r="133">
      <c r="A133" s="1" t="n"/>
      <c r="B133" s="24" t="n">
        <v>127</v>
      </c>
      <c r="C133" s="25" t="n"/>
      <c r="D133" s="26" t="n"/>
      <c r="E133" s="26" t="n"/>
      <c r="F133" s="26" t="n"/>
      <c r="G133" s="27">
        <f>IF(F133="","",IFERROR(INDEX(Catalogue!$C$7:$C$19,MATCH(F133,Catalogue!$B$7:$B$19,0)),"#N/A"))</f>
        <v/>
      </c>
      <c r="H133" s="28" t="n"/>
      <c r="I133" s="29">
        <f>IF(OR(F133="",H133=""),"",IFERROR(H133*INDEX(Catalogue!$G$7:$G$19,MATCH(F133,Catalogue!$B$7:$B$19,0)),"#N/A"))</f>
        <v/>
      </c>
      <c r="J133" s="30">
        <f>IF(ISNUMBER(I133),I133-K133,"")</f>
        <v/>
      </c>
      <c r="K133" s="31">
        <f>IF(OR(F133="",H133=""),"",IFERROR(H133*INDEX(Catalogue!$F$7:$F$19,MATCH(F133,Catalogue!$B$7:$B$19,0)),"#N/A"))</f>
        <v/>
      </c>
      <c r="L133" s="31">
        <f>IF(ISNUMBER(J133),J133*IFERROR(INDEX(Paramètres!$C$7:$C$12,MATCH(INDEX(Effectif!$D$7:$D$21,MATCH(D133,Effectif!$C$7:$C$21,0)),Paramètres!$B$7:$B$12,0)),0),"")</f>
        <v/>
      </c>
      <c r="M133" s="1" t="n"/>
    </row>
    <row r="134">
      <c r="A134" s="1" t="n"/>
      <c r="B134" s="24" t="n">
        <v>128</v>
      </c>
      <c r="C134" s="25" t="n"/>
      <c r="D134" s="26" t="n"/>
      <c r="E134" s="26" t="n"/>
      <c r="F134" s="26" t="n"/>
      <c r="G134" s="27">
        <f>IF(F134="","",IFERROR(INDEX(Catalogue!$C$7:$C$19,MATCH(F134,Catalogue!$B$7:$B$19,0)),"#N/A"))</f>
        <v/>
      </c>
      <c r="H134" s="28" t="n"/>
      <c r="I134" s="29">
        <f>IF(OR(F134="",H134=""),"",IFERROR(H134*INDEX(Catalogue!$G$7:$G$19,MATCH(F134,Catalogue!$B$7:$B$19,0)),"#N/A"))</f>
        <v/>
      </c>
      <c r="J134" s="30">
        <f>IF(ISNUMBER(I134),I134-K134,"")</f>
        <v/>
      </c>
      <c r="K134" s="31">
        <f>IF(OR(F134="",H134=""),"",IFERROR(H134*INDEX(Catalogue!$F$7:$F$19,MATCH(F134,Catalogue!$B$7:$B$19,0)),"#N/A"))</f>
        <v/>
      </c>
      <c r="L134" s="31">
        <f>IF(ISNUMBER(J134),J134*IFERROR(INDEX(Paramètres!$C$7:$C$12,MATCH(INDEX(Effectif!$D$7:$D$21,MATCH(D134,Effectif!$C$7:$C$21,0)),Paramètres!$B$7:$B$12,0)),0),"")</f>
        <v/>
      </c>
      <c r="M134" s="1" t="n"/>
    </row>
    <row r="135">
      <c r="A135" s="1" t="n"/>
      <c r="B135" s="24" t="n">
        <v>129</v>
      </c>
      <c r="C135" s="25" t="n"/>
      <c r="D135" s="26" t="n"/>
      <c r="E135" s="26" t="n"/>
      <c r="F135" s="26" t="n"/>
      <c r="G135" s="27">
        <f>IF(F135="","",IFERROR(INDEX(Catalogue!$C$7:$C$19,MATCH(F135,Catalogue!$B$7:$B$19,0)),"#N/A"))</f>
        <v/>
      </c>
      <c r="H135" s="28" t="n"/>
      <c r="I135" s="29">
        <f>IF(OR(F135="",H135=""),"",IFERROR(H135*INDEX(Catalogue!$G$7:$G$19,MATCH(F135,Catalogue!$B$7:$B$19,0)),"#N/A"))</f>
        <v/>
      </c>
      <c r="J135" s="30">
        <f>IF(ISNUMBER(I135),I135-K135,"")</f>
        <v/>
      </c>
      <c r="K135" s="31">
        <f>IF(OR(F135="",H135=""),"",IFERROR(H135*INDEX(Catalogue!$F$7:$F$19,MATCH(F135,Catalogue!$B$7:$B$19,0)),"#N/A"))</f>
        <v/>
      </c>
      <c r="L135" s="31">
        <f>IF(ISNUMBER(J135),J135*IFERROR(INDEX(Paramètres!$C$7:$C$12,MATCH(INDEX(Effectif!$D$7:$D$21,MATCH(D135,Effectif!$C$7:$C$21,0)),Paramètres!$B$7:$B$12,0)),0),"")</f>
        <v/>
      </c>
      <c r="M135" s="1" t="n"/>
    </row>
    <row r="136">
      <c r="A136" s="1" t="n"/>
      <c r="B136" s="24" t="n">
        <v>130</v>
      </c>
      <c r="C136" s="25" t="n"/>
      <c r="D136" s="26" t="n"/>
      <c r="E136" s="26" t="n"/>
      <c r="F136" s="26" t="n"/>
      <c r="G136" s="27">
        <f>IF(F136="","",IFERROR(INDEX(Catalogue!$C$7:$C$19,MATCH(F136,Catalogue!$B$7:$B$19,0)),"#N/A"))</f>
        <v/>
      </c>
      <c r="H136" s="28" t="n"/>
      <c r="I136" s="29">
        <f>IF(OR(F136="",H136=""),"",IFERROR(H136*INDEX(Catalogue!$G$7:$G$19,MATCH(F136,Catalogue!$B$7:$B$19,0)),"#N/A"))</f>
        <v/>
      </c>
      <c r="J136" s="30">
        <f>IF(ISNUMBER(I136),I136-K136,"")</f>
        <v/>
      </c>
      <c r="K136" s="31">
        <f>IF(OR(F136="",H136=""),"",IFERROR(H136*INDEX(Catalogue!$F$7:$F$19,MATCH(F136,Catalogue!$B$7:$B$19,0)),"#N/A"))</f>
        <v/>
      </c>
      <c r="L136" s="31">
        <f>IF(ISNUMBER(J136),J136*IFERROR(INDEX(Paramètres!$C$7:$C$12,MATCH(INDEX(Effectif!$D$7:$D$21,MATCH(D136,Effectif!$C$7:$C$21,0)),Paramètres!$B$7:$B$12,0)),0),"")</f>
        <v/>
      </c>
      <c r="M136" s="1" t="n"/>
    </row>
    <row r="137">
      <c r="A137" s="1" t="n"/>
      <c r="B137" s="24" t="n">
        <v>131</v>
      </c>
      <c r="C137" s="25" t="n"/>
      <c r="D137" s="26" t="n"/>
      <c r="E137" s="26" t="n"/>
      <c r="F137" s="26" t="n"/>
      <c r="G137" s="27">
        <f>IF(F137="","",IFERROR(INDEX(Catalogue!$C$7:$C$19,MATCH(F137,Catalogue!$B$7:$B$19,0)),"#N/A"))</f>
        <v/>
      </c>
      <c r="H137" s="28" t="n"/>
      <c r="I137" s="29">
        <f>IF(OR(F137="",H137=""),"",IFERROR(H137*INDEX(Catalogue!$G$7:$G$19,MATCH(F137,Catalogue!$B$7:$B$19,0)),"#N/A"))</f>
        <v/>
      </c>
      <c r="J137" s="30">
        <f>IF(ISNUMBER(I137),I137-K137,"")</f>
        <v/>
      </c>
      <c r="K137" s="31">
        <f>IF(OR(F137="",H137=""),"",IFERROR(H137*INDEX(Catalogue!$F$7:$F$19,MATCH(F137,Catalogue!$B$7:$B$19,0)),"#N/A"))</f>
        <v/>
      </c>
      <c r="L137" s="31">
        <f>IF(ISNUMBER(J137),J137*IFERROR(INDEX(Paramètres!$C$7:$C$12,MATCH(INDEX(Effectif!$D$7:$D$21,MATCH(D137,Effectif!$C$7:$C$21,0)),Paramètres!$B$7:$B$12,0)),0),"")</f>
        <v/>
      </c>
      <c r="M137" s="1" t="n"/>
    </row>
    <row r="138">
      <c r="A138" s="1" t="n"/>
      <c r="B138" s="24" t="n">
        <v>132</v>
      </c>
      <c r="C138" s="25" t="n"/>
      <c r="D138" s="26" t="n"/>
      <c r="E138" s="26" t="n"/>
      <c r="F138" s="26" t="n"/>
      <c r="G138" s="27">
        <f>IF(F138="","",IFERROR(INDEX(Catalogue!$C$7:$C$19,MATCH(F138,Catalogue!$B$7:$B$19,0)),"#N/A"))</f>
        <v/>
      </c>
      <c r="H138" s="28" t="n"/>
      <c r="I138" s="29">
        <f>IF(OR(F138="",H138=""),"",IFERROR(H138*INDEX(Catalogue!$G$7:$G$19,MATCH(F138,Catalogue!$B$7:$B$19,0)),"#N/A"))</f>
        <v/>
      </c>
      <c r="J138" s="30">
        <f>IF(ISNUMBER(I138),I138-K138,"")</f>
        <v/>
      </c>
      <c r="K138" s="31">
        <f>IF(OR(F138="",H138=""),"",IFERROR(H138*INDEX(Catalogue!$F$7:$F$19,MATCH(F138,Catalogue!$B$7:$B$19,0)),"#N/A"))</f>
        <v/>
      </c>
      <c r="L138" s="31">
        <f>IF(ISNUMBER(J138),J138*IFERROR(INDEX(Paramètres!$C$7:$C$12,MATCH(INDEX(Effectif!$D$7:$D$21,MATCH(D138,Effectif!$C$7:$C$21,0)),Paramètres!$B$7:$B$12,0)),0),"")</f>
        <v/>
      </c>
      <c r="M138" s="1" t="n"/>
    </row>
    <row r="139">
      <c r="A139" s="1" t="n"/>
      <c r="B139" s="24" t="n">
        <v>133</v>
      </c>
      <c r="C139" s="25" t="n"/>
      <c r="D139" s="26" t="n"/>
      <c r="E139" s="26" t="n"/>
      <c r="F139" s="26" t="n"/>
      <c r="G139" s="27">
        <f>IF(F139="","",IFERROR(INDEX(Catalogue!$C$7:$C$19,MATCH(F139,Catalogue!$B$7:$B$19,0)),"#N/A"))</f>
        <v/>
      </c>
      <c r="H139" s="28" t="n"/>
      <c r="I139" s="29">
        <f>IF(OR(F139="",H139=""),"",IFERROR(H139*INDEX(Catalogue!$G$7:$G$19,MATCH(F139,Catalogue!$B$7:$B$19,0)),"#N/A"))</f>
        <v/>
      </c>
      <c r="J139" s="30">
        <f>IF(ISNUMBER(I139),I139-K139,"")</f>
        <v/>
      </c>
      <c r="K139" s="31">
        <f>IF(OR(F139="",H139=""),"",IFERROR(H139*INDEX(Catalogue!$F$7:$F$19,MATCH(F139,Catalogue!$B$7:$B$19,0)),"#N/A"))</f>
        <v/>
      </c>
      <c r="L139" s="31">
        <f>IF(ISNUMBER(J139),J139*IFERROR(INDEX(Paramètres!$C$7:$C$12,MATCH(INDEX(Effectif!$D$7:$D$21,MATCH(D139,Effectif!$C$7:$C$21,0)),Paramètres!$B$7:$B$12,0)),0),"")</f>
        <v/>
      </c>
      <c r="M139" s="1" t="n"/>
    </row>
    <row r="140">
      <c r="A140" s="1" t="n"/>
      <c r="B140" s="24" t="n">
        <v>134</v>
      </c>
      <c r="C140" s="25" t="n"/>
      <c r="D140" s="26" t="n"/>
      <c r="E140" s="26" t="n"/>
      <c r="F140" s="26" t="n"/>
      <c r="G140" s="27">
        <f>IF(F140="","",IFERROR(INDEX(Catalogue!$C$7:$C$19,MATCH(F140,Catalogue!$B$7:$B$19,0)),"#N/A"))</f>
        <v/>
      </c>
      <c r="H140" s="28" t="n"/>
      <c r="I140" s="29">
        <f>IF(OR(F140="",H140=""),"",IFERROR(H140*INDEX(Catalogue!$G$7:$G$19,MATCH(F140,Catalogue!$B$7:$B$19,0)),"#N/A"))</f>
        <v/>
      </c>
      <c r="J140" s="30">
        <f>IF(ISNUMBER(I140),I140-K140,"")</f>
        <v/>
      </c>
      <c r="K140" s="31">
        <f>IF(OR(F140="",H140=""),"",IFERROR(H140*INDEX(Catalogue!$F$7:$F$19,MATCH(F140,Catalogue!$B$7:$B$19,0)),"#N/A"))</f>
        <v/>
      </c>
      <c r="L140" s="31">
        <f>IF(ISNUMBER(J140),J140*IFERROR(INDEX(Paramètres!$C$7:$C$12,MATCH(INDEX(Effectif!$D$7:$D$21,MATCH(D140,Effectif!$C$7:$C$21,0)),Paramètres!$B$7:$B$12,0)),0),"")</f>
        <v/>
      </c>
      <c r="M140" s="1" t="n"/>
    </row>
    <row r="141">
      <c r="A141" s="1" t="n"/>
      <c r="B141" s="24" t="n">
        <v>135</v>
      </c>
      <c r="C141" s="25" t="n"/>
      <c r="D141" s="26" t="n"/>
      <c r="E141" s="26" t="n"/>
      <c r="F141" s="26" t="n"/>
      <c r="G141" s="27">
        <f>IF(F141="","",IFERROR(INDEX(Catalogue!$C$7:$C$19,MATCH(F141,Catalogue!$B$7:$B$19,0)),"#N/A"))</f>
        <v/>
      </c>
      <c r="H141" s="28" t="n"/>
      <c r="I141" s="29">
        <f>IF(OR(F141="",H141=""),"",IFERROR(H141*INDEX(Catalogue!$G$7:$G$19,MATCH(F141,Catalogue!$B$7:$B$19,0)),"#N/A"))</f>
        <v/>
      </c>
      <c r="J141" s="30">
        <f>IF(ISNUMBER(I141),I141-K141,"")</f>
        <v/>
      </c>
      <c r="K141" s="31">
        <f>IF(OR(F141="",H141=""),"",IFERROR(H141*INDEX(Catalogue!$F$7:$F$19,MATCH(F141,Catalogue!$B$7:$B$19,0)),"#N/A"))</f>
        <v/>
      </c>
      <c r="L141" s="31">
        <f>IF(ISNUMBER(J141),J141*IFERROR(INDEX(Paramètres!$C$7:$C$12,MATCH(INDEX(Effectif!$D$7:$D$21,MATCH(D141,Effectif!$C$7:$C$21,0)),Paramètres!$B$7:$B$12,0)),0),"")</f>
        <v/>
      </c>
      <c r="M141" s="1" t="n"/>
    </row>
    <row r="142">
      <c r="A142" s="1" t="n"/>
      <c r="B142" s="24" t="n">
        <v>136</v>
      </c>
      <c r="C142" s="25" t="n"/>
      <c r="D142" s="26" t="n"/>
      <c r="E142" s="26" t="n"/>
      <c r="F142" s="26" t="n"/>
      <c r="G142" s="27">
        <f>IF(F142="","",IFERROR(INDEX(Catalogue!$C$7:$C$19,MATCH(F142,Catalogue!$B$7:$B$19,0)),"#N/A"))</f>
        <v/>
      </c>
      <c r="H142" s="28" t="n"/>
      <c r="I142" s="29">
        <f>IF(OR(F142="",H142=""),"",IFERROR(H142*INDEX(Catalogue!$G$7:$G$19,MATCH(F142,Catalogue!$B$7:$B$19,0)),"#N/A"))</f>
        <v/>
      </c>
      <c r="J142" s="30">
        <f>IF(ISNUMBER(I142),I142-K142,"")</f>
        <v/>
      </c>
      <c r="K142" s="31">
        <f>IF(OR(F142="",H142=""),"",IFERROR(H142*INDEX(Catalogue!$F$7:$F$19,MATCH(F142,Catalogue!$B$7:$B$19,0)),"#N/A"))</f>
        <v/>
      </c>
      <c r="L142" s="31">
        <f>IF(ISNUMBER(J142),J142*IFERROR(INDEX(Paramètres!$C$7:$C$12,MATCH(INDEX(Effectif!$D$7:$D$21,MATCH(D142,Effectif!$C$7:$C$21,0)),Paramètres!$B$7:$B$12,0)),0),"")</f>
        <v/>
      </c>
      <c r="M142" s="1" t="n"/>
    </row>
    <row r="143">
      <c r="A143" s="1" t="n"/>
      <c r="B143" s="24" t="n">
        <v>137</v>
      </c>
      <c r="C143" s="25" t="n"/>
      <c r="D143" s="26" t="n"/>
      <c r="E143" s="26" t="n"/>
      <c r="F143" s="26" t="n"/>
      <c r="G143" s="27">
        <f>IF(F143="","",IFERROR(INDEX(Catalogue!$C$7:$C$19,MATCH(F143,Catalogue!$B$7:$B$19,0)),"#N/A"))</f>
        <v/>
      </c>
      <c r="H143" s="28" t="n"/>
      <c r="I143" s="29">
        <f>IF(OR(F143="",H143=""),"",IFERROR(H143*INDEX(Catalogue!$G$7:$G$19,MATCH(F143,Catalogue!$B$7:$B$19,0)),"#N/A"))</f>
        <v/>
      </c>
      <c r="J143" s="30">
        <f>IF(ISNUMBER(I143),I143-K143,"")</f>
        <v/>
      </c>
      <c r="K143" s="31">
        <f>IF(OR(F143="",H143=""),"",IFERROR(H143*INDEX(Catalogue!$F$7:$F$19,MATCH(F143,Catalogue!$B$7:$B$19,0)),"#N/A"))</f>
        <v/>
      </c>
      <c r="L143" s="31">
        <f>IF(ISNUMBER(J143),J143*IFERROR(INDEX(Paramètres!$C$7:$C$12,MATCH(INDEX(Effectif!$D$7:$D$21,MATCH(D143,Effectif!$C$7:$C$21,0)),Paramètres!$B$7:$B$12,0)),0),"")</f>
        <v/>
      </c>
      <c r="M143" s="1" t="n"/>
    </row>
    <row r="144">
      <c r="A144" s="1" t="n"/>
      <c r="B144" s="24" t="n">
        <v>138</v>
      </c>
      <c r="C144" s="25" t="n"/>
      <c r="D144" s="26" t="n"/>
      <c r="E144" s="26" t="n"/>
      <c r="F144" s="26" t="n"/>
      <c r="G144" s="27">
        <f>IF(F144="","",IFERROR(INDEX(Catalogue!$C$7:$C$19,MATCH(F144,Catalogue!$B$7:$B$19,0)),"#N/A"))</f>
        <v/>
      </c>
      <c r="H144" s="28" t="n"/>
      <c r="I144" s="29">
        <f>IF(OR(F144="",H144=""),"",IFERROR(H144*INDEX(Catalogue!$G$7:$G$19,MATCH(F144,Catalogue!$B$7:$B$19,0)),"#N/A"))</f>
        <v/>
      </c>
      <c r="J144" s="30">
        <f>IF(ISNUMBER(I144),I144-K144,"")</f>
        <v/>
      </c>
      <c r="K144" s="31">
        <f>IF(OR(F144="",H144=""),"",IFERROR(H144*INDEX(Catalogue!$F$7:$F$19,MATCH(F144,Catalogue!$B$7:$B$19,0)),"#N/A"))</f>
        <v/>
      </c>
      <c r="L144" s="31">
        <f>IF(ISNUMBER(J144),J144*IFERROR(INDEX(Paramètres!$C$7:$C$12,MATCH(INDEX(Effectif!$D$7:$D$21,MATCH(D144,Effectif!$C$7:$C$21,0)),Paramètres!$B$7:$B$12,0)),0),"")</f>
        <v/>
      </c>
      <c r="M144" s="1" t="n"/>
    </row>
    <row r="145">
      <c r="A145" s="1" t="n"/>
      <c r="B145" s="24" t="n">
        <v>139</v>
      </c>
      <c r="C145" s="25" t="n"/>
      <c r="D145" s="26" t="n"/>
      <c r="E145" s="26" t="n"/>
      <c r="F145" s="26" t="n"/>
      <c r="G145" s="27">
        <f>IF(F145="","",IFERROR(INDEX(Catalogue!$C$7:$C$19,MATCH(F145,Catalogue!$B$7:$B$19,0)),"#N/A"))</f>
        <v/>
      </c>
      <c r="H145" s="28" t="n"/>
      <c r="I145" s="29">
        <f>IF(OR(F145="",H145=""),"",IFERROR(H145*INDEX(Catalogue!$G$7:$G$19,MATCH(F145,Catalogue!$B$7:$B$19,0)),"#N/A"))</f>
        <v/>
      </c>
      <c r="J145" s="30">
        <f>IF(ISNUMBER(I145),I145-K145,"")</f>
        <v/>
      </c>
      <c r="K145" s="31">
        <f>IF(OR(F145="",H145=""),"",IFERROR(H145*INDEX(Catalogue!$F$7:$F$19,MATCH(F145,Catalogue!$B$7:$B$19,0)),"#N/A"))</f>
        <v/>
      </c>
      <c r="L145" s="31">
        <f>IF(ISNUMBER(J145),J145*IFERROR(INDEX(Paramètres!$C$7:$C$12,MATCH(INDEX(Effectif!$D$7:$D$21,MATCH(D145,Effectif!$C$7:$C$21,0)),Paramètres!$B$7:$B$12,0)),0),"")</f>
        <v/>
      </c>
      <c r="M145" s="1" t="n"/>
    </row>
    <row r="146">
      <c r="A146" s="1" t="n"/>
      <c r="B146" s="24" t="n">
        <v>140</v>
      </c>
      <c r="C146" s="25" t="n"/>
      <c r="D146" s="26" t="n"/>
      <c r="E146" s="26" t="n"/>
      <c r="F146" s="26" t="n"/>
      <c r="G146" s="27">
        <f>IF(F146="","",IFERROR(INDEX(Catalogue!$C$7:$C$19,MATCH(F146,Catalogue!$B$7:$B$19,0)),"#N/A"))</f>
        <v/>
      </c>
      <c r="H146" s="28" t="n"/>
      <c r="I146" s="29">
        <f>IF(OR(F146="",H146=""),"",IFERROR(H146*INDEX(Catalogue!$G$7:$G$19,MATCH(F146,Catalogue!$B$7:$B$19,0)),"#N/A"))</f>
        <v/>
      </c>
      <c r="J146" s="30">
        <f>IF(ISNUMBER(I146),I146-K146,"")</f>
        <v/>
      </c>
      <c r="K146" s="31">
        <f>IF(OR(F146="",H146=""),"",IFERROR(H146*INDEX(Catalogue!$F$7:$F$19,MATCH(F146,Catalogue!$B$7:$B$19,0)),"#N/A"))</f>
        <v/>
      </c>
      <c r="L146" s="31">
        <f>IF(ISNUMBER(J146),J146*IFERROR(INDEX(Paramètres!$C$7:$C$12,MATCH(INDEX(Effectif!$D$7:$D$21,MATCH(D146,Effectif!$C$7:$C$21,0)),Paramètres!$B$7:$B$12,0)),0),"")</f>
        <v/>
      </c>
      <c r="M146" s="1" t="n"/>
    </row>
    <row r="147">
      <c r="A147" s="1" t="n"/>
      <c r="B147" s="24" t="n">
        <v>141</v>
      </c>
      <c r="C147" s="25" t="n"/>
      <c r="D147" s="26" t="n"/>
      <c r="E147" s="26" t="n"/>
      <c r="F147" s="26" t="n"/>
      <c r="G147" s="27">
        <f>IF(F147="","",IFERROR(INDEX(Catalogue!$C$7:$C$19,MATCH(F147,Catalogue!$B$7:$B$19,0)),"#N/A"))</f>
        <v/>
      </c>
      <c r="H147" s="28" t="n"/>
      <c r="I147" s="29">
        <f>IF(OR(F147="",H147=""),"",IFERROR(H147*INDEX(Catalogue!$G$7:$G$19,MATCH(F147,Catalogue!$B$7:$B$19,0)),"#N/A"))</f>
        <v/>
      </c>
      <c r="J147" s="30">
        <f>IF(ISNUMBER(I147),I147-K147,"")</f>
        <v/>
      </c>
      <c r="K147" s="31">
        <f>IF(OR(F147="",H147=""),"",IFERROR(H147*INDEX(Catalogue!$F$7:$F$19,MATCH(F147,Catalogue!$B$7:$B$19,0)),"#N/A"))</f>
        <v/>
      </c>
      <c r="L147" s="31">
        <f>IF(ISNUMBER(J147),J147*IFERROR(INDEX(Paramètres!$C$7:$C$12,MATCH(INDEX(Effectif!$D$7:$D$21,MATCH(D147,Effectif!$C$7:$C$21,0)),Paramètres!$B$7:$B$12,0)),0),"")</f>
        <v/>
      </c>
      <c r="M147" s="1" t="n"/>
    </row>
    <row r="148">
      <c r="A148" s="1" t="n"/>
      <c r="B148" s="24" t="n">
        <v>142</v>
      </c>
      <c r="C148" s="25" t="n"/>
      <c r="D148" s="26" t="n"/>
      <c r="E148" s="26" t="n"/>
      <c r="F148" s="26" t="n"/>
      <c r="G148" s="27">
        <f>IF(F148="","",IFERROR(INDEX(Catalogue!$C$7:$C$19,MATCH(F148,Catalogue!$B$7:$B$19,0)),"#N/A"))</f>
        <v/>
      </c>
      <c r="H148" s="28" t="n"/>
      <c r="I148" s="29">
        <f>IF(OR(F148="",H148=""),"",IFERROR(H148*INDEX(Catalogue!$G$7:$G$19,MATCH(F148,Catalogue!$B$7:$B$19,0)),"#N/A"))</f>
        <v/>
      </c>
      <c r="J148" s="30">
        <f>IF(ISNUMBER(I148),I148-K148,"")</f>
        <v/>
      </c>
      <c r="K148" s="31">
        <f>IF(OR(F148="",H148=""),"",IFERROR(H148*INDEX(Catalogue!$F$7:$F$19,MATCH(F148,Catalogue!$B$7:$B$19,0)),"#N/A"))</f>
        <v/>
      </c>
      <c r="L148" s="31">
        <f>IF(ISNUMBER(J148),J148*IFERROR(INDEX(Paramètres!$C$7:$C$12,MATCH(INDEX(Effectif!$D$7:$D$21,MATCH(D148,Effectif!$C$7:$C$21,0)),Paramètres!$B$7:$B$12,0)),0),"")</f>
        <v/>
      </c>
      <c r="M148" s="1" t="n"/>
    </row>
    <row r="149">
      <c r="A149" s="1" t="n"/>
      <c r="B149" s="24" t="n">
        <v>143</v>
      </c>
      <c r="C149" s="25" t="n"/>
      <c r="D149" s="26" t="n"/>
      <c r="E149" s="26" t="n"/>
      <c r="F149" s="26" t="n"/>
      <c r="G149" s="27">
        <f>IF(F149="","",IFERROR(INDEX(Catalogue!$C$7:$C$19,MATCH(F149,Catalogue!$B$7:$B$19,0)),"#N/A"))</f>
        <v/>
      </c>
      <c r="H149" s="28" t="n"/>
      <c r="I149" s="29">
        <f>IF(OR(F149="",H149=""),"",IFERROR(H149*INDEX(Catalogue!$G$7:$G$19,MATCH(F149,Catalogue!$B$7:$B$19,0)),"#N/A"))</f>
        <v/>
      </c>
      <c r="J149" s="30">
        <f>IF(ISNUMBER(I149),I149-K149,"")</f>
        <v/>
      </c>
      <c r="K149" s="31">
        <f>IF(OR(F149="",H149=""),"",IFERROR(H149*INDEX(Catalogue!$F$7:$F$19,MATCH(F149,Catalogue!$B$7:$B$19,0)),"#N/A"))</f>
        <v/>
      </c>
      <c r="L149" s="31">
        <f>IF(ISNUMBER(J149),J149*IFERROR(INDEX(Paramètres!$C$7:$C$12,MATCH(INDEX(Effectif!$D$7:$D$21,MATCH(D149,Effectif!$C$7:$C$21,0)),Paramètres!$B$7:$B$12,0)),0),"")</f>
        <v/>
      </c>
      <c r="M149" s="1" t="n"/>
    </row>
    <row r="150">
      <c r="A150" s="1" t="n"/>
      <c r="B150" s="24" t="n">
        <v>144</v>
      </c>
      <c r="C150" s="25" t="n"/>
      <c r="D150" s="26" t="n"/>
      <c r="E150" s="26" t="n"/>
      <c r="F150" s="26" t="n"/>
      <c r="G150" s="27">
        <f>IF(F150="","",IFERROR(INDEX(Catalogue!$C$7:$C$19,MATCH(F150,Catalogue!$B$7:$B$19,0)),"#N/A"))</f>
        <v/>
      </c>
      <c r="H150" s="28" t="n"/>
      <c r="I150" s="29">
        <f>IF(OR(F150="",H150=""),"",IFERROR(H150*INDEX(Catalogue!$G$7:$G$19,MATCH(F150,Catalogue!$B$7:$B$19,0)),"#N/A"))</f>
        <v/>
      </c>
      <c r="J150" s="30">
        <f>IF(ISNUMBER(I150),I150-K150,"")</f>
        <v/>
      </c>
      <c r="K150" s="31">
        <f>IF(OR(F150="",H150=""),"",IFERROR(H150*INDEX(Catalogue!$F$7:$F$19,MATCH(F150,Catalogue!$B$7:$B$19,0)),"#N/A"))</f>
        <v/>
      </c>
      <c r="L150" s="31">
        <f>IF(ISNUMBER(J150),J150*IFERROR(INDEX(Paramètres!$C$7:$C$12,MATCH(INDEX(Effectif!$D$7:$D$21,MATCH(D150,Effectif!$C$7:$C$21,0)),Paramètres!$B$7:$B$12,0)),0),"")</f>
        <v/>
      </c>
      <c r="M150" s="1" t="n"/>
    </row>
    <row r="151">
      <c r="A151" s="1" t="n"/>
      <c r="B151" s="24" t="n">
        <v>145</v>
      </c>
      <c r="C151" s="25" t="n"/>
      <c r="D151" s="26" t="n"/>
      <c r="E151" s="26" t="n"/>
      <c r="F151" s="26" t="n"/>
      <c r="G151" s="27">
        <f>IF(F151="","",IFERROR(INDEX(Catalogue!$C$7:$C$19,MATCH(F151,Catalogue!$B$7:$B$19,0)),"#N/A"))</f>
        <v/>
      </c>
      <c r="H151" s="28" t="n"/>
      <c r="I151" s="29">
        <f>IF(OR(F151="",H151=""),"",IFERROR(H151*INDEX(Catalogue!$G$7:$G$19,MATCH(F151,Catalogue!$B$7:$B$19,0)),"#N/A"))</f>
        <v/>
      </c>
      <c r="J151" s="30">
        <f>IF(ISNUMBER(I151),I151-K151,"")</f>
        <v/>
      </c>
      <c r="K151" s="31">
        <f>IF(OR(F151="",H151=""),"",IFERROR(H151*INDEX(Catalogue!$F$7:$F$19,MATCH(F151,Catalogue!$B$7:$B$19,0)),"#N/A"))</f>
        <v/>
      </c>
      <c r="L151" s="31">
        <f>IF(ISNUMBER(J151),J151*IFERROR(INDEX(Paramètres!$C$7:$C$12,MATCH(INDEX(Effectif!$D$7:$D$21,MATCH(D151,Effectif!$C$7:$C$21,0)),Paramètres!$B$7:$B$12,0)),0),"")</f>
        <v/>
      </c>
      <c r="M151" s="1" t="n"/>
    </row>
    <row r="152">
      <c r="A152" s="1" t="n"/>
      <c r="B152" s="24" t="n">
        <v>146</v>
      </c>
      <c r="C152" s="25" t="n"/>
      <c r="D152" s="26" t="n"/>
      <c r="E152" s="26" t="n"/>
      <c r="F152" s="26" t="n"/>
      <c r="G152" s="27">
        <f>IF(F152="","",IFERROR(INDEX(Catalogue!$C$7:$C$19,MATCH(F152,Catalogue!$B$7:$B$19,0)),"#N/A"))</f>
        <v/>
      </c>
      <c r="H152" s="28" t="n"/>
      <c r="I152" s="29">
        <f>IF(OR(F152="",H152=""),"",IFERROR(H152*INDEX(Catalogue!$G$7:$G$19,MATCH(F152,Catalogue!$B$7:$B$19,0)),"#N/A"))</f>
        <v/>
      </c>
      <c r="J152" s="30">
        <f>IF(ISNUMBER(I152),I152-K152,"")</f>
        <v/>
      </c>
      <c r="K152" s="31">
        <f>IF(OR(F152="",H152=""),"",IFERROR(H152*INDEX(Catalogue!$F$7:$F$19,MATCH(F152,Catalogue!$B$7:$B$19,0)),"#N/A"))</f>
        <v/>
      </c>
      <c r="L152" s="31">
        <f>IF(ISNUMBER(J152),J152*IFERROR(INDEX(Paramètres!$C$7:$C$12,MATCH(INDEX(Effectif!$D$7:$D$21,MATCH(D152,Effectif!$C$7:$C$21,0)),Paramètres!$B$7:$B$12,0)),0),"")</f>
        <v/>
      </c>
      <c r="M152" s="1" t="n"/>
    </row>
    <row r="153">
      <c r="A153" s="1" t="n"/>
      <c r="B153" s="24" t="n">
        <v>147</v>
      </c>
      <c r="C153" s="25" t="n"/>
      <c r="D153" s="26" t="n"/>
      <c r="E153" s="26" t="n"/>
      <c r="F153" s="26" t="n"/>
      <c r="G153" s="27">
        <f>IF(F153="","",IFERROR(INDEX(Catalogue!$C$7:$C$19,MATCH(F153,Catalogue!$B$7:$B$19,0)),"#N/A"))</f>
        <v/>
      </c>
      <c r="H153" s="28" t="n"/>
      <c r="I153" s="29">
        <f>IF(OR(F153="",H153=""),"",IFERROR(H153*INDEX(Catalogue!$G$7:$G$19,MATCH(F153,Catalogue!$B$7:$B$19,0)),"#N/A"))</f>
        <v/>
      </c>
      <c r="J153" s="30">
        <f>IF(ISNUMBER(I153),I153-K153,"")</f>
        <v/>
      </c>
      <c r="K153" s="31">
        <f>IF(OR(F153="",H153=""),"",IFERROR(H153*INDEX(Catalogue!$F$7:$F$19,MATCH(F153,Catalogue!$B$7:$B$19,0)),"#N/A"))</f>
        <v/>
      </c>
      <c r="L153" s="31">
        <f>IF(ISNUMBER(J153),J153*IFERROR(INDEX(Paramètres!$C$7:$C$12,MATCH(INDEX(Effectif!$D$7:$D$21,MATCH(D153,Effectif!$C$7:$C$21,0)),Paramètres!$B$7:$B$12,0)),0),"")</f>
        <v/>
      </c>
      <c r="M153" s="1" t="n"/>
    </row>
    <row r="154">
      <c r="A154" s="1" t="n"/>
      <c r="B154" s="24" t="n">
        <v>148</v>
      </c>
      <c r="C154" s="25" t="n"/>
      <c r="D154" s="26" t="n"/>
      <c r="E154" s="26" t="n"/>
      <c r="F154" s="26" t="n"/>
      <c r="G154" s="27">
        <f>IF(F154="","",IFERROR(INDEX(Catalogue!$C$7:$C$19,MATCH(F154,Catalogue!$B$7:$B$19,0)),"#N/A"))</f>
        <v/>
      </c>
      <c r="H154" s="28" t="n"/>
      <c r="I154" s="29">
        <f>IF(OR(F154="",H154=""),"",IFERROR(H154*INDEX(Catalogue!$G$7:$G$19,MATCH(F154,Catalogue!$B$7:$B$19,0)),"#N/A"))</f>
        <v/>
      </c>
      <c r="J154" s="30">
        <f>IF(ISNUMBER(I154),I154-K154,"")</f>
        <v/>
      </c>
      <c r="K154" s="31">
        <f>IF(OR(F154="",H154=""),"",IFERROR(H154*INDEX(Catalogue!$F$7:$F$19,MATCH(F154,Catalogue!$B$7:$B$19,0)),"#N/A"))</f>
        <v/>
      </c>
      <c r="L154" s="31">
        <f>IF(ISNUMBER(J154),J154*IFERROR(INDEX(Paramètres!$C$7:$C$12,MATCH(INDEX(Effectif!$D$7:$D$21,MATCH(D154,Effectif!$C$7:$C$21,0)),Paramètres!$B$7:$B$12,0)),0),"")</f>
        <v/>
      </c>
      <c r="M154" s="1" t="n"/>
    </row>
    <row r="155">
      <c r="A155" s="1" t="n"/>
      <c r="B155" s="24" t="n">
        <v>149</v>
      </c>
      <c r="C155" s="25" t="n"/>
      <c r="D155" s="26" t="n"/>
      <c r="E155" s="26" t="n"/>
      <c r="F155" s="26" t="n"/>
      <c r="G155" s="27">
        <f>IF(F155="","",IFERROR(INDEX(Catalogue!$C$7:$C$19,MATCH(F155,Catalogue!$B$7:$B$19,0)),"#N/A"))</f>
        <v/>
      </c>
      <c r="H155" s="28" t="n"/>
      <c r="I155" s="29">
        <f>IF(OR(F155="",H155=""),"",IFERROR(H155*INDEX(Catalogue!$G$7:$G$19,MATCH(F155,Catalogue!$B$7:$B$19,0)),"#N/A"))</f>
        <v/>
      </c>
      <c r="J155" s="30">
        <f>IF(ISNUMBER(I155),I155-K155,"")</f>
        <v/>
      </c>
      <c r="K155" s="31">
        <f>IF(OR(F155="",H155=""),"",IFERROR(H155*INDEX(Catalogue!$F$7:$F$19,MATCH(F155,Catalogue!$B$7:$B$19,0)),"#N/A"))</f>
        <v/>
      </c>
      <c r="L155" s="31">
        <f>IF(ISNUMBER(J155),J155*IFERROR(INDEX(Paramètres!$C$7:$C$12,MATCH(INDEX(Effectif!$D$7:$D$21,MATCH(D155,Effectif!$C$7:$C$21,0)),Paramètres!$B$7:$B$12,0)),0),"")</f>
        <v/>
      </c>
      <c r="M155" s="1" t="n"/>
    </row>
    <row r="156">
      <c r="A156" s="1" t="n"/>
      <c r="B156" s="24" t="n">
        <v>150</v>
      </c>
      <c r="C156" s="25" t="n"/>
      <c r="D156" s="26" t="n"/>
      <c r="E156" s="26" t="n"/>
      <c r="F156" s="26" t="n"/>
      <c r="G156" s="27">
        <f>IF(F156="","",IFERROR(INDEX(Catalogue!$C$7:$C$19,MATCH(F156,Catalogue!$B$7:$B$19,0)),"#N/A"))</f>
        <v/>
      </c>
      <c r="H156" s="28" t="n"/>
      <c r="I156" s="29">
        <f>IF(OR(F156="",H156=""),"",IFERROR(H156*INDEX(Catalogue!$G$7:$G$19,MATCH(F156,Catalogue!$B$7:$B$19,0)),"#N/A"))</f>
        <v/>
      </c>
      <c r="J156" s="30">
        <f>IF(ISNUMBER(I156),I156-K156,"")</f>
        <v/>
      </c>
      <c r="K156" s="31">
        <f>IF(OR(F156="",H156=""),"",IFERROR(H156*INDEX(Catalogue!$F$7:$F$19,MATCH(F156,Catalogue!$B$7:$B$19,0)),"#N/A"))</f>
        <v/>
      </c>
      <c r="L156" s="31">
        <f>IF(ISNUMBER(J156),J156*IFERROR(INDEX(Paramètres!$C$7:$C$12,MATCH(INDEX(Effectif!$D$7:$D$21,MATCH(D156,Effectif!$C$7:$C$21,0)),Paramètres!$B$7:$B$12,0)),0),"")</f>
        <v/>
      </c>
      <c r="M156" s="1" t="n"/>
    </row>
    <row r="157">
      <c r="A157" s="1" t="n"/>
      <c r="B157" s="24" t="n">
        <v>151</v>
      </c>
      <c r="C157" s="25" t="n"/>
      <c r="D157" s="26" t="n"/>
      <c r="E157" s="26" t="n"/>
      <c r="F157" s="26" t="n"/>
      <c r="G157" s="27">
        <f>IF(F157="","",IFERROR(INDEX(Catalogue!$C$7:$C$19,MATCH(F157,Catalogue!$B$7:$B$19,0)),"#N/A"))</f>
        <v/>
      </c>
      <c r="H157" s="28" t="n"/>
      <c r="I157" s="29">
        <f>IF(OR(F157="",H157=""),"",IFERROR(H157*INDEX(Catalogue!$G$7:$G$19,MATCH(F157,Catalogue!$B$7:$B$19,0)),"#N/A"))</f>
        <v/>
      </c>
      <c r="J157" s="30">
        <f>IF(ISNUMBER(I157),I157-K157,"")</f>
        <v/>
      </c>
      <c r="K157" s="31">
        <f>IF(OR(F157="",H157=""),"",IFERROR(H157*INDEX(Catalogue!$F$7:$F$19,MATCH(F157,Catalogue!$B$7:$B$19,0)),"#N/A"))</f>
        <v/>
      </c>
      <c r="L157" s="31">
        <f>IF(ISNUMBER(J157),J157*IFERROR(INDEX(Paramètres!$C$7:$C$12,MATCH(INDEX(Effectif!$D$7:$D$21,MATCH(D157,Effectif!$C$7:$C$21,0)),Paramètres!$B$7:$B$12,0)),0),"")</f>
        <v/>
      </c>
      <c r="M157" s="1" t="n"/>
    </row>
    <row r="158">
      <c r="A158" s="1" t="n"/>
      <c r="B158" s="24" t="n">
        <v>152</v>
      </c>
      <c r="C158" s="25" t="n"/>
      <c r="D158" s="26" t="n"/>
      <c r="E158" s="26" t="n"/>
      <c r="F158" s="26" t="n"/>
      <c r="G158" s="27">
        <f>IF(F158="","",IFERROR(INDEX(Catalogue!$C$7:$C$19,MATCH(F158,Catalogue!$B$7:$B$19,0)),"#N/A"))</f>
        <v/>
      </c>
      <c r="H158" s="28" t="n"/>
      <c r="I158" s="29">
        <f>IF(OR(F158="",H158=""),"",IFERROR(H158*INDEX(Catalogue!$G$7:$G$19,MATCH(F158,Catalogue!$B$7:$B$19,0)),"#N/A"))</f>
        <v/>
      </c>
      <c r="J158" s="30">
        <f>IF(ISNUMBER(I158),I158-K158,"")</f>
        <v/>
      </c>
      <c r="K158" s="31">
        <f>IF(OR(F158="",H158=""),"",IFERROR(H158*INDEX(Catalogue!$F$7:$F$19,MATCH(F158,Catalogue!$B$7:$B$19,0)),"#N/A"))</f>
        <v/>
      </c>
      <c r="L158" s="31">
        <f>IF(ISNUMBER(J158),J158*IFERROR(INDEX(Paramètres!$C$7:$C$12,MATCH(INDEX(Effectif!$D$7:$D$21,MATCH(D158,Effectif!$C$7:$C$21,0)),Paramètres!$B$7:$B$12,0)),0),"")</f>
        <v/>
      </c>
      <c r="M158" s="1" t="n"/>
    </row>
    <row r="159">
      <c r="A159" s="1" t="n"/>
      <c r="B159" s="24" t="n">
        <v>153</v>
      </c>
      <c r="C159" s="25" t="n"/>
      <c r="D159" s="26" t="n"/>
      <c r="E159" s="26" t="n"/>
      <c r="F159" s="26" t="n"/>
      <c r="G159" s="27">
        <f>IF(F159="","",IFERROR(INDEX(Catalogue!$C$7:$C$19,MATCH(F159,Catalogue!$B$7:$B$19,0)),"#N/A"))</f>
        <v/>
      </c>
      <c r="H159" s="28" t="n"/>
      <c r="I159" s="29">
        <f>IF(OR(F159="",H159=""),"",IFERROR(H159*INDEX(Catalogue!$G$7:$G$19,MATCH(F159,Catalogue!$B$7:$B$19,0)),"#N/A"))</f>
        <v/>
      </c>
      <c r="J159" s="30">
        <f>IF(ISNUMBER(I159),I159-K159,"")</f>
        <v/>
      </c>
      <c r="K159" s="31">
        <f>IF(OR(F159="",H159=""),"",IFERROR(H159*INDEX(Catalogue!$F$7:$F$19,MATCH(F159,Catalogue!$B$7:$B$19,0)),"#N/A"))</f>
        <v/>
      </c>
      <c r="L159" s="31">
        <f>IF(ISNUMBER(J159),J159*IFERROR(INDEX(Paramètres!$C$7:$C$12,MATCH(INDEX(Effectif!$D$7:$D$21,MATCH(D159,Effectif!$C$7:$C$21,0)),Paramètres!$B$7:$B$12,0)),0),"")</f>
        <v/>
      </c>
      <c r="M159" s="1" t="n"/>
    </row>
    <row r="160">
      <c r="A160" s="1" t="n"/>
      <c r="B160" s="24" t="n">
        <v>154</v>
      </c>
      <c r="C160" s="25" t="n"/>
      <c r="D160" s="26" t="n"/>
      <c r="E160" s="26" t="n"/>
      <c r="F160" s="26" t="n"/>
      <c r="G160" s="27">
        <f>IF(F160="","",IFERROR(INDEX(Catalogue!$C$7:$C$19,MATCH(F160,Catalogue!$B$7:$B$19,0)),"#N/A"))</f>
        <v/>
      </c>
      <c r="H160" s="28" t="n"/>
      <c r="I160" s="29">
        <f>IF(OR(F160="",H160=""),"",IFERROR(H160*INDEX(Catalogue!$G$7:$G$19,MATCH(F160,Catalogue!$B$7:$B$19,0)),"#N/A"))</f>
        <v/>
      </c>
      <c r="J160" s="30">
        <f>IF(ISNUMBER(I160),I160-K160,"")</f>
        <v/>
      </c>
      <c r="K160" s="31">
        <f>IF(OR(F160="",H160=""),"",IFERROR(H160*INDEX(Catalogue!$F$7:$F$19,MATCH(F160,Catalogue!$B$7:$B$19,0)),"#N/A"))</f>
        <v/>
      </c>
      <c r="L160" s="31">
        <f>IF(ISNUMBER(J160),J160*IFERROR(INDEX(Paramètres!$C$7:$C$12,MATCH(INDEX(Effectif!$D$7:$D$21,MATCH(D160,Effectif!$C$7:$C$21,0)),Paramètres!$B$7:$B$12,0)),0),"")</f>
        <v/>
      </c>
      <c r="M160" s="1" t="n"/>
    </row>
    <row r="161">
      <c r="A161" s="1" t="n"/>
      <c r="B161" s="24" t="n">
        <v>155</v>
      </c>
      <c r="C161" s="25" t="n"/>
      <c r="D161" s="26" t="n"/>
      <c r="E161" s="26" t="n"/>
      <c r="F161" s="26" t="n"/>
      <c r="G161" s="27">
        <f>IF(F161="","",IFERROR(INDEX(Catalogue!$C$7:$C$19,MATCH(F161,Catalogue!$B$7:$B$19,0)),"#N/A"))</f>
        <v/>
      </c>
      <c r="H161" s="28" t="n"/>
      <c r="I161" s="29">
        <f>IF(OR(F161="",H161=""),"",IFERROR(H161*INDEX(Catalogue!$G$7:$G$19,MATCH(F161,Catalogue!$B$7:$B$19,0)),"#N/A"))</f>
        <v/>
      </c>
      <c r="J161" s="30">
        <f>IF(ISNUMBER(I161),I161-K161,"")</f>
        <v/>
      </c>
      <c r="K161" s="31">
        <f>IF(OR(F161="",H161=""),"",IFERROR(H161*INDEX(Catalogue!$F$7:$F$19,MATCH(F161,Catalogue!$B$7:$B$19,0)),"#N/A"))</f>
        <v/>
      </c>
      <c r="L161" s="31">
        <f>IF(ISNUMBER(J161),J161*IFERROR(INDEX(Paramètres!$C$7:$C$12,MATCH(INDEX(Effectif!$D$7:$D$21,MATCH(D161,Effectif!$C$7:$C$21,0)),Paramètres!$B$7:$B$12,0)),0),"")</f>
        <v/>
      </c>
      <c r="M161" s="1" t="n"/>
    </row>
    <row r="162">
      <c r="A162" s="1" t="n"/>
      <c r="B162" s="24" t="n">
        <v>156</v>
      </c>
      <c r="C162" s="25" t="n"/>
      <c r="D162" s="26" t="n"/>
      <c r="E162" s="26" t="n"/>
      <c r="F162" s="26" t="n"/>
      <c r="G162" s="27">
        <f>IF(F162="","",IFERROR(INDEX(Catalogue!$C$7:$C$19,MATCH(F162,Catalogue!$B$7:$B$19,0)),"#N/A"))</f>
        <v/>
      </c>
      <c r="H162" s="28" t="n"/>
      <c r="I162" s="29">
        <f>IF(OR(F162="",H162=""),"",IFERROR(H162*INDEX(Catalogue!$G$7:$G$19,MATCH(F162,Catalogue!$B$7:$B$19,0)),"#N/A"))</f>
        <v/>
      </c>
      <c r="J162" s="30">
        <f>IF(ISNUMBER(I162),I162-K162,"")</f>
        <v/>
      </c>
      <c r="K162" s="31">
        <f>IF(OR(F162="",H162=""),"",IFERROR(H162*INDEX(Catalogue!$F$7:$F$19,MATCH(F162,Catalogue!$B$7:$B$19,0)),"#N/A"))</f>
        <v/>
      </c>
      <c r="L162" s="31">
        <f>IF(ISNUMBER(J162),J162*IFERROR(INDEX(Paramètres!$C$7:$C$12,MATCH(INDEX(Effectif!$D$7:$D$21,MATCH(D162,Effectif!$C$7:$C$21,0)),Paramètres!$B$7:$B$12,0)),0),"")</f>
        <v/>
      </c>
      <c r="M162" s="1" t="n"/>
    </row>
    <row r="163">
      <c r="A163" s="1" t="n"/>
      <c r="B163" s="24" t="n">
        <v>157</v>
      </c>
      <c r="C163" s="25" t="n"/>
      <c r="D163" s="26" t="n"/>
      <c r="E163" s="26" t="n"/>
      <c r="F163" s="26" t="n"/>
      <c r="G163" s="27">
        <f>IF(F163="","",IFERROR(INDEX(Catalogue!$C$7:$C$19,MATCH(F163,Catalogue!$B$7:$B$19,0)),"#N/A"))</f>
        <v/>
      </c>
      <c r="H163" s="28" t="n"/>
      <c r="I163" s="29">
        <f>IF(OR(F163="",H163=""),"",IFERROR(H163*INDEX(Catalogue!$G$7:$G$19,MATCH(F163,Catalogue!$B$7:$B$19,0)),"#N/A"))</f>
        <v/>
      </c>
      <c r="J163" s="30">
        <f>IF(ISNUMBER(I163),I163-K163,"")</f>
        <v/>
      </c>
      <c r="K163" s="31">
        <f>IF(OR(F163="",H163=""),"",IFERROR(H163*INDEX(Catalogue!$F$7:$F$19,MATCH(F163,Catalogue!$B$7:$B$19,0)),"#N/A"))</f>
        <v/>
      </c>
      <c r="L163" s="31">
        <f>IF(ISNUMBER(J163),J163*IFERROR(INDEX(Paramètres!$C$7:$C$12,MATCH(INDEX(Effectif!$D$7:$D$21,MATCH(D163,Effectif!$C$7:$C$21,0)),Paramètres!$B$7:$B$12,0)),0),"")</f>
        <v/>
      </c>
      <c r="M163" s="1" t="n"/>
    </row>
    <row r="164">
      <c r="A164" s="1" t="n"/>
      <c r="B164" s="24" t="n">
        <v>158</v>
      </c>
      <c r="C164" s="25" t="n"/>
      <c r="D164" s="26" t="n"/>
      <c r="E164" s="26" t="n"/>
      <c r="F164" s="26" t="n"/>
      <c r="G164" s="27">
        <f>IF(F164="","",IFERROR(INDEX(Catalogue!$C$7:$C$19,MATCH(F164,Catalogue!$B$7:$B$19,0)),"#N/A"))</f>
        <v/>
      </c>
      <c r="H164" s="28" t="n"/>
      <c r="I164" s="29">
        <f>IF(OR(F164="",H164=""),"",IFERROR(H164*INDEX(Catalogue!$G$7:$G$19,MATCH(F164,Catalogue!$B$7:$B$19,0)),"#N/A"))</f>
        <v/>
      </c>
      <c r="J164" s="30">
        <f>IF(ISNUMBER(I164),I164-K164,"")</f>
        <v/>
      </c>
      <c r="K164" s="31">
        <f>IF(OR(F164="",H164=""),"",IFERROR(H164*INDEX(Catalogue!$F$7:$F$19,MATCH(F164,Catalogue!$B$7:$B$19,0)),"#N/A"))</f>
        <v/>
      </c>
      <c r="L164" s="31">
        <f>IF(ISNUMBER(J164),J164*IFERROR(INDEX(Paramètres!$C$7:$C$12,MATCH(INDEX(Effectif!$D$7:$D$21,MATCH(D164,Effectif!$C$7:$C$21,0)),Paramètres!$B$7:$B$12,0)),0),"")</f>
        <v/>
      </c>
      <c r="M164" s="1" t="n"/>
    </row>
    <row r="165">
      <c r="A165" s="1" t="n"/>
      <c r="B165" s="24" t="n">
        <v>159</v>
      </c>
      <c r="C165" s="25" t="n"/>
      <c r="D165" s="26" t="n"/>
      <c r="E165" s="26" t="n"/>
      <c r="F165" s="26" t="n"/>
      <c r="G165" s="27">
        <f>IF(F165="","",IFERROR(INDEX(Catalogue!$C$7:$C$19,MATCH(F165,Catalogue!$B$7:$B$19,0)),"#N/A"))</f>
        <v/>
      </c>
      <c r="H165" s="28" t="n"/>
      <c r="I165" s="29">
        <f>IF(OR(F165="",H165=""),"",IFERROR(H165*INDEX(Catalogue!$G$7:$G$19,MATCH(F165,Catalogue!$B$7:$B$19,0)),"#N/A"))</f>
        <v/>
      </c>
      <c r="J165" s="30">
        <f>IF(ISNUMBER(I165),I165-K165,"")</f>
        <v/>
      </c>
      <c r="K165" s="31">
        <f>IF(OR(F165="",H165=""),"",IFERROR(H165*INDEX(Catalogue!$F$7:$F$19,MATCH(F165,Catalogue!$B$7:$B$19,0)),"#N/A"))</f>
        <v/>
      </c>
      <c r="L165" s="31">
        <f>IF(ISNUMBER(J165),J165*IFERROR(INDEX(Paramètres!$C$7:$C$12,MATCH(INDEX(Effectif!$D$7:$D$21,MATCH(D165,Effectif!$C$7:$C$21,0)),Paramètres!$B$7:$B$12,0)),0),"")</f>
        <v/>
      </c>
      <c r="M165" s="1" t="n"/>
    </row>
    <row r="166">
      <c r="A166" s="1" t="n"/>
      <c r="B166" s="24" t="n">
        <v>160</v>
      </c>
      <c r="C166" s="25" t="n"/>
      <c r="D166" s="26" t="n"/>
      <c r="E166" s="26" t="n"/>
      <c r="F166" s="26" t="n"/>
      <c r="G166" s="27">
        <f>IF(F166="","",IFERROR(INDEX(Catalogue!$C$7:$C$19,MATCH(F166,Catalogue!$B$7:$B$19,0)),"#N/A"))</f>
        <v/>
      </c>
      <c r="H166" s="28" t="n"/>
      <c r="I166" s="29">
        <f>IF(OR(F166="",H166=""),"",IFERROR(H166*INDEX(Catalogue!$G$7:$G$19,MATCH(F166,Catalogue!$B$7:$B$19,0)),"#N/A"))</f>
        <v/>
      </c>
      <c r="J166" s="30">
        <f>IF(ISNUMBER(I166),I166-K166,"")</f>
        <v/>
      </c>
      <c r="K166" s="31">
        <f>IF(OR(F166="",H166=""),"",IFERROR(H166*INDEX(Catalogue!$F$7:$F$19,MATCH(F166,Catalogue!$B$7:$B$19,0)),"#N/A"))</f>
        <v/>
      </c>
      <c r="L166" s="31">
        <f>IF(ISNUMBER(J166),J166*IFERROR(INDEX(Paramètres!$C$7:$C$12,MATCH(INDEX(Effectif!$D$7:$D$21,MATCH(D166,Effectif!$C$7:$C$21,0)),Paramètres!$B$7:$B$12,0)),0),"")</f>
        <v/>
      </c>
      <c r="M166" s="1" t="n"/>
    </row>
    <row r="167">
      <c r="A167" s="1" t="n"/>
      <c r="B167" s="24" t="n">
        <v>161</v>
      </c>
      <c r="C167" s="25" t="n"/>
      <c r="D167" s="26" t="n"/>
      <c r="E167" s="26" t="n"/>
      <c r="F167" s="26" t="n"/>
      <c r="G167" s="27">
        <f>IF(F167="","",IFERROR(INDEX(Catalogue!$C$7:$C$19,MATCH(F167,Catalogue!$B$7:$B$19,0)),"#N/A"))</f>
        <v/>
      </c>
      <c r="H167" s="28" t="n"/>
      <c r="I167" s="29">
        <f>IF(OR(F167="",H167=""),"",IFERROR(H167*INDEX(Catalogue!$G$7:$G$19,MATCH(F167,Catalogue!$B$7:$B$19,0)),"#N/A"))</f>
        <v/>
      </c>
      <c r="J167" s="30">
        <f>IF(ISNUMBER(I167),I167-K167,"")</f>
        <v/>
      </c>
      <c r="K167" s="31">
        <f>IF(OR(F167="",H167=""),"",IFERROR(H167*INDEX(Catalogue!$F$7:$F$19,MATCH(F167,Catalogue!$B$7:$B$19,0)),"#N/A"))</f>
        <v/>
      </c>
      <c r="L167" s="31">
        <f>IF(ISNUMBER(J167),J167*IFERROR(INDEX(Paramètres!$C$7:$C$12,MATCH(INDEX(Effectif!$D$7:$D$21,MATCH(D167,Effectif!$C$7:$C$21,0)),Paramètres!$B$7:$B$12,0)),0),"")</f>
        <v/>
      </c>
      <c r="M167" s="1" t="n"/>
    </row>
    <row r="168">
      <c r="A168" s="1" t="n"/>
      <c r="B168" s="24" t="n">
        <v>162</v>
      </c>
      <c r="C168" s="25" t="n"/>
      <c r="D168" s="26" t="n"/>
      <c r="E168" s="26" t="n"/>
      <c r="F168" s="26" t="n"/>
      <c r="G168" s="27">
        <f>IF(F168="","",IFERROR(INDEX(Catalogue!$C$7:$C$19,MATCH(F168,Catalogue!$B$7:$B$19,0)),"#N/A"))</f>
        <v/>
      </c>
      <c r="H168" s="28" t="n"/>
      <c r="I168" s="29">
        <f>IF(OR(F168="",H168=""),"",IFERROR(H168*INDEX(Catalogue!$G$7:$G$19,MATCH(F168,Catalogue!$B$7:$B$19,0)),"#N/A"))</f>
        <v/>
      </c>
      <c r="J168" s="30">
        <f>IF(ISNUMBER(I168),I168-K168,"")</f>
        <v/>
      </c>
      <c r="K168" s="31">
        <f>IF(OR(F168="",H168=""),"",IFERROR(H168*INDEX(Catalogue!$F$7:$F$19,MATCH(F168,Catalogue!$B$7:$B$19,0)),"#N/A"))</f>
        <v/>
      </c>
      <c r="L168" s="31">
        <f>IF(ISNUMBER(J168),J168*IFERROR(INDEX(Paramètres!$C$7:$C$12,MATCH(INDEX(Effectif!$D$7:$D$21,MATCH(D168,Effectif!$C$7:$C$21,0)),Paramètres!$B$7:$B$12,0)),0),"")</f>
        <v/>
      </c>
      <c r="M168" s="1" t="n"/>
    </row>
    <row r="169">
      <c r="A169" s="1" t="n"/>
      <c r="B169" s="24" t="n">
        <v>163</v>
      </c>
      <c r="C169" s="25" t="n"/>
      <c r="D169" s="26" t="n"/>
      <c r="E169" s="26" t="n"/>
      <c r="F169" s="26" t="n"/>
      <c r="G169" s="27">
        <f>IF(F169="","",IFERROR(INDEX(Catalogue!$C$7:$C$19,MATCH(F169,Catalogue!$B$7:$B$19,0)),"#N/A"))</f>
        <v/>
      </c>
      <c r="H169" s="28" t="n"/>
      <c r="I169" s="29">
        <f>IF(OR(F169="",H169=""),"",IFERROR(H169*INDEX(Catalogue!$G$7:$G$19,MATCH(F169,Catalogue!$B$7:$B$19,0)),"#N/A"))</f>
        <v/>
      </c>
      <c r="J169" s="30">
        <f>IF(ISNUMBER(I169),I169-K169,"")</f>
        <v/>
      </c>
      <c r="K169" s="31">
        <f>IF(OR(F169="",H169=""),"",IFERROR(H169*INDEX(Catalogue!$F$7:$F$19,MATCH(F169,Catalogue!$B$7:$B$19,0)),"#N/A"))</f>
        <v/>
      </c>
      <c r="L169" s="31">
        <f>IF(ISNUMBER(J169),J169*IFERROR(INDEX(Paramètres!$C$7:$C$12,MATCH(INDEX(Effectif!$D$7:$D$21,MATCH(D169,Effectif!$C$7:$C$21,0)),Paramètres!$B$7:$B$12,0)),0),"")</f>
        <v/>
      </c>
      <c r="M169" s="1" t="n"/>
    </row>
    <row r="170">
      <c r="A170" s="1" t="n"/>
      <c r="B170" s="24" t="n">
        <v>164</v>
      </c>
      <c r="C170" s="25" t="n"/>
      <c r="D170" s="26" t="n"/>
      <c r="E170" s="26" t="n"/>
      <c r="F170" s="26" t="n"/>
      <c r="G170" s="27">
        <f>IF(F170="","",IFERROR(INDEX(Catalogue!$C$7:$C$19,MATCH(F170,Catalogue!$B$7:$B$19,0)),"#N/A"))</f>
        <v/>
      </c>
      <c r="H170" s="28" t="n"/>
      <c r="I170" s="29">
        <f>IF(OR(F170="",H170=""),"",IFERROR(H170*INDEX(Catalogue!$G$7:$G$19,MATCH(F170,Catalogue!$B$7:$B$19,0)),"#N/A"))</f>
        <v/>
      </c>
      <c r="J170" s="30">
        <f>IF(ISNUMBER(I170),I170-K170,"")</f>
        <v/>
      </c>
      <c r="K170" s="31">
        <f>IF(OR(F170="",H170=""),"",IFERROR(H170*INDEX(Catalogue!$F$7:$F$19,MATCH(F170,Catalogue!$B$7:$B$19,0)),"#N/A"))</f>
        <v/>
      </c>
      <c r="L170" s="31">
        <f>IF(ISNUMBER(J170),J170*IFERROR(INDEX(Paramètres!$C$7:$C$12,MATCH(INDEX(Effectif!$D$7:$D$21,MATCH(D170,Effectif!$C$7:$C$21,0)),Paramètres!$B$7:$B$12,0)),0),"")</f>
        <v/>
      </c>
      <c r="M170" s="1" t="n"/>
    </row>
    <row r="171">
      <c r="A171" s="1" t="n"/>
      <c r="B171" s="24" t="n">
        <v>165</v>
      </c>
      <c r="C171" s="25" t="n"/>
      <c r="D171" s="26" t="n"/>
      <c r="E171" s="26" t="n"/>
      <c r="F171" s="26" t="n"/>
      <c r="G171" s="27">
        <f>IF(F171="","",IFERROR(INDEX(Catalogue!$C$7:$C$19,MATCH(F171,Catalogue!$B$7:$B$19,0)),"#N/A"))</f>
        <v/>
      </c>
      <c r="H171" s="28" t="n"/>
      <c r="I171" s="29">
        <f>IF(OR(F171="",H171=""),"",IFERROR(H171*INDEX(Catalogue!$G$7:$G$19,MATCH(F171,Catalogue!$B$7:$B$19,0)),"#N/A"))</f>
        <v/>
      </c>
      <c r="J171" s="30">
        <f>IF(ISNUMBER(I171),I171-K171,"")</f>
        <v/>
      </c>
      <c r="K171" s="31">
        <f>IF(OR(F171="",H171=""),"",IFERROR(H171*INDEX(Catalogue!$F$7:$F$19,MATCH(F171,Catalogue!$B$7:$B$19,0)),"#N/A"))</f>
        <v/>
      </c>
      <c r="L171" s="31">
        <f>IF(ISNUMBER(J171),J171*IFERROR(INDEX(Paramètres!$C$7:$C$12,MATCH(INDEX(Effectif!$D$7:$D$21,MATCH(D171,Effectif!$C$7:$C$21,0)),Paramètres!$B$7:$B$12,0)),0),"")</f>
        <v/>
      </c>
      <c r="M171" s="1" t="n"/>
    </row>
    <row r="172">
      <c r="A172" s="1" t="n"/>
      <c r="B172" s="24" t="n">
        <v>166</v>
      </c>
      <c r="C172" s="25" t="n"/>
      <c r="D172" s="26" t="n"/>
      <c r="E172" s="26" t="n"/>
      <c r="F172" s="26" t="n"/>
      <c r="G172" s="27">
        <f>IF(F172="","",IFERROR(INDEX(Catalogue!$C$7:$C$19,MATCH(F172,Catalogue!$B$7:$B$19,0)),"#N/A"))</f>
        <v/>
      </c>
      <c r="H172" s="28" t="n"/>
      <c r="I172" s="29">
        <f>IF(OR(F172="",H172=""),"",IFERROR(H172*INDEX(Catalogue!$G$7:$G$19,MATCH(F172,Catalogue!$B$7:$B$19,0)),"#N/A"))</f>
        <v/>
      </c>
      <c r="J172" s="30">
        <f>IF(ISNUMBER(I172),I172-K172,"")</f>
        <v/>
      </c>
      <c r="K172" s="31">
        <f>IF(OR(F172="",H172=""),"",IFERROR(H172*INDEX(Catalogue!$F$7:$F$19,MATCH(F172,Catalogue!$B$7:$B$19,0)),"#N/A"))</f>
        <v/>
      </c>
      <c r="L172" s="31">
        <f>IF(ISNUMBER(J172),J172*IFERROR(INDEX(Paramètres!$C$7:$C$12,MATCH(INDEX(Effectif!$D$7:$D$21,MATCH(D172,Effectif!$C$7:$C$21,0)),Paramètres!$B$7:$B$12,0)),0),"")</f>
        <v/>
      </c>
      <c r="M172" s="1" t="n"/>
    </row>
    <row r="173">
      <c r="A173" s="1" t="n"/>
      <c r="B173" s="24" t="n">
        <v>167</v>
      </c>
      <c r="C173" s="25" t="n"/>
      <c r="D173" s="26" t="n"/>
      <c r="E173" s="26" t="n"/>
      <c r="F173" s="26" t="n"/>
      <c r="G173" s="27">
        <f>IF(F173="","",IFERROR(INDEX(Catalogue!$C$7:$C$19,MATCH(F173,Catalogue!$B$7:$B$19,0)),"#N/A"))</f>
        <v/>
      </c>
      <c r="H173" s="28" t="n"/>
      <c r="I173" s="29">
        <f>IF(OR(F173="",H173=""),"",IFERROR(H173*INDEX(Catalogue!$G$7:$G$19,MATCH(F173,Catalogue!$B$7:$B$19,0)),"#N/A"))</f>
        <v/>
      </c>
      <c r="J173" s="30">
        <f>IF(ISNUMBER(I173),I173-K173,"")</f>
        <v/>
      </c>
      <c r="K173" s="31">
        <f>IF(OR(F173="",H173=""),"",IFERROR(H173*INDEX(Catalogue!$F$7:$F$19,MATCH(F173,Catalogue!$B$7:$B$19,0)),"#N/A"))</f>
        <v/>
      </c>
      <c r="L173" s="31">
        <f>IF(ISNUMBER(J173),J173*IFERROR(INDEX(Paramètres!$C$7:$C$12,MATCH(INDEX(Effectif!$D$7:$D$21,MATCH(D173,Effectif!$C$7:$C$21,0)),Paramètres!$B$7:$B$12,0)),0),"")</f>
        <v/>
      </c>
      <c r="M173" s="1" t="n"/>
    </row>
    <row r="174">
      <c r="A174" s="1" t="n"/>
      <c r="B174" s="24" t="n">
        <v>168</v>
      </c>
      <c r="C174" s="25" t="n"/>
      <c r="D174" s="26" t="n"/>
      <c r="E174" s="26" t="n"/>
      <c r="F174" s="26" t="n"/>
      <c r="G174" s="27">
        <f>IF(F174="","",IFERROR(INDEX(Catalogue!$C$7:$C$19,MATCH(F174,Catalogue!$B$7:$B$19,0)),"#N/A"))</f>
        <v/>
      </c>
      <c r="H174" s="28" t="n"/>
      <c r="I174" s="29">
        <f>IF(OR(F174="",H174=""),"",IFERROR(H174*INDEX(Catalogue!$G$7:$G$19,MATCH(F174,Catalogue!$B$7:$B$19,0)),"#N/A"))</f>
        <v/>
      </c>
      <c r="J174" s="30">
        <f>IF(ISNUMBER(I174),I174-K174,"")</f>
        <v/>
      </c>
      <c r="K174" s="31">
        <f>IF(OR(F174="",H174=""),"",IFERROR(H174*INDEX(Catalogue!$F$7:$F$19,MATCH(F174,Catalogue!$B$7:$B$19,0)),"#N/A"))</f>
        <v/>
      </c>
      <c r="L174" s="31">
        <f>IF(ISNUMBER(J174),J174*IFERROR(INDEX(Paramètres!$C$7:$C$12,MATCH(INDEX(Effectif!$D$7:$D$21,MATCH(D174,Effectif!$C$7:$C$21,0)),Paramètres!$B$7:$B$12,0)),0),"")</f>
        <v/>
      </c>
      <c r="M174" s="1" t="n"/>
    </row>
    <row r="175">
      <c r="A175" s="1" t="n"/>
      <c r="B175" s="24" t="n">
        <v>169</v>
      </c>
      <c r="C175" s="25" t="n"/>
      <c r="D175" s="26" t="n"/>
      <c r="E175" s="26" t="n"/>
      <c r="F175" s="26" t="n"/>
      <c r="G175" s="27">
        <f>IF(F175="","",IFERROR(INDEX(Catalogue!$C$7:$C$19,MATCH(F175,Catalogue!$B$7:$B$19,0)),"#N/A"))</f>
        <v/>
      </c>
      <c r="H175" s="28" t="n"/>
      <c r="I175" s="29">
        <f>IF(OR(F175="",H175=""),"",IFERROR(H175*INDEX(Catalogue!$G$7:$G$19,MATCH(F175,Catalogue!$B$7:$B$19,0)),"#N/A"))</f>
        <v/>
      </c>
      <c r="J175" s="30">
        <f>IF(ISNUMBER(I175),I175-K175,"")</f>
        <v/>
      </c>
      <c r="K175" s="31">
        <f>IF(OR(F175="",H175=""),"",IFERROR(H175*INDEX(Catalogue!$F$7:$F$19,MATCH(F175,Catalogue!$B$7:$B$19,0)),"#N/A"))</f>
        <v/>
      </c>
      <c r="L175" s="31">
        <f>IF(ISNUMBER(J175),J175*IFERROR(INDEX(Paramètres!$C$7:$C$12,MATCH(INDEX(Effectif!$D$7:$D$21,MATCH(D175,Effectif!$C$7:$C$21,0)),Paramètres!$B$7:$B$12,0)),0),"")</f>
        <v/>
      </c>
      <c r="M175" s="1" t="n"/>
    </row>
    <row r="176">
      <c r="A176" s="1" t="n"/>
      <c r="B176" s="24" t="n">
        <v>170</v>
      </c>
      <c r="C176" s="25" t="n"/>
      <c r="D176" s="26" t="n"/>
      <c r="E176" s="26" t="n"/>
      <c r="F176" s="26" t="n"/>
      <c r="G176" s="27">
        <f>IF(F176="","",IFERROR(INDEX(Catalogue!$C$7:$C$19,MATCH(F176,Catalogue!$B$7:$B$19,0)),"#N/A"))</f>
        <v/>
      </c>
      <c r="H176" s="28" t="n"/>
      <c r="I176" s="29">
        <f>IF(OR(F176="",H176=""),"",IFERROR(H176*INDEX(Catalogue!$G$7:$G$19,MATCH(F176,Catalogue!$B$7:$B$19,0)),"#N/A"))</f>
        <v/>
      </c>
      <c r="J176" s="30">
        <f>IF(ISNUMBER(I176),I176-K176,"")</f>
        <v/>
      </c>
      <c r="K176" s="31">
        <f>IF(OR(F176="",H176=""),"",IFERROR(H176*INDEX(Catalogue!$F$7:$F$19,MATCH(F176,Catalogue!$B$7:$B$19,0)),"#N/A"))</f>
        <v/>
      </c>
      <c r="L176" s="31">
        <f>IF(ISNUMBER(J176),J176*IFERROR(INDEX(Paramètres!$C$7:$C$12,MATCH(INDEX(Effectif!$D$7:$D$21,MATCH(D176,Effectif!$C$7:$C$21,0)),Paramètres!$B$7:$B$12,0)),0),"")</f>
        <v/>
      </c>
      <c r="M176" s="1" t="n"/>
    </row>
    <row r="177">
      <c r="A177" s="1" t="n"/>
      <c r="B177" s="24" t="n">
        <v>171</v>
      </c>
      <c r="C177" s="25" t="n"/>
      <c r="D177" s="26" t="n"/>
      <c r="E177" s="26" t="n"/>
      <c r="F177" s="26" t="n"/>
      <c r="G177" s="27">
        <f>IF(F177="","",IFERROR(INDEX(Catalogue!$C$7:$C$19,MATCH(F177,Catalogue!$B$7:$B$19,0)),"#N/A"))</f>
        <v/>
      </c>
      <c r="H177" s="28" t="n"/>
      <c r="I177" s="29">
        <f>IF(OR(F177="",H177=""),"",IFERROR(H177*INDEX(Catalogue!$G$7:$G$19,MATCH(F177,Catalogue!$B$7:$B$19,0)),"#N/A"))</f>
        <v/>
      </c>
      <c r="J177" s="30">
        <f>IF(ISNUMBER(I177),I177-K177,"")</f>
        <v/>
      </c>
      <c r="K177" s="31">
        <f>IF(OR(F177="",H177=""),"",IFERROR(H177*INDEX(Catalogue!$F$7:$F$19,MATCH(F177,Catalogue!$B$7:$B$19,0)),"#N/A"))</f>
        <v/>
      </c>
      <c r="L177" s="31">
        <f>IF(ISNUMBER(J177),J177*IFERROR(INDEX(Paramètres!$C$7:$C$12,MATCH(INDEX(Effectif!$D$7:$D$21,MATCH(D177,Effectif!$C$7:$C$21,0)),Paramètres!$B$7:$B$12,0)),0),"")</f>
        <v/>
      </c>
      <c r="M177" s="1" t="n"/>
    </row>
    <row r="178">
      <c r="A178" s="1" t="n"/>
      <c r="B178" s="24" t="n">
        <v>172</v>
      </c>
      <c r="C178" s="25" t="n"/>
      <c r="D178" s="26" t="n"/>
      <c r="E178" s="26" t="n"/>
      <c r="F178" s="26" t="n"/>
      <c r="G178" s="27">
        <f>IF(F178="","",IFERROR(INDEX(Catalogue!$C$7:$C$19,MATCH(F178,Catalogue!$B$7:$B$19,0)),"#N/A"))</f>
        <v/>
      </c>
      <c r="H178" s="28" t="n"/>
      <c r="I178" s="29">
        <f>IF(OR(F178="",H178=""),"",IFERROR(H178*INDEX(Catalogue!$G$7:$G$19,MATCH(F178,Catalogue!$B$7:$B$19,0)),"#N/A"))</f>
        <v/>
      </c>
      <c r="J178" s="30">
        <f>IF(ISNUMBER(I178),I178-K178,"")</f>
        <v/>
      </c>
      <c r="K178" s="31">
        <f>IF(OR(F178="",H178=""),"",IFERROR(H178*INDEX(Catalogue!$F$7:$F$19,MATCH(F178,Catalogue!$B$7:$B$19,0)),"#N/A"))</f>
        <v/>
      </c>
      <c r="L178" s="31">
        <f>IF(ISNUMBER(J178),J178*IFERROR(INDEX(Paramètres!$C$7:$C$12,MATCH(INDEX(Effectif!$D$7:$D$21,MATCH(D178,Effectif!$C$7:$C$21,0)),Paramètres!$B$7:$B$12,0)),0),"")</f>
        <v/>
      </c>
      <c r="M178" s="1" t="n"/>
    </row>
    <row r="179">
      <c r="A179" s="1" t="n"/>
      <c r="B179" s="24" t="n">
        <v>173</v>
      </c>
      <c r="C179" s="25" t="n"/>
      <c r="D179" s="26" t="n"/>
      <c r="E179" s="26" t="n"/>
      <c r="F179" s="26" t="n"/>
      <c r="G179" s="27">
        <f>IF(F179="","",IFERROR(INDEX(Catalogue!$C$7:$C$19,MATCH(F179,Catalogue!$B$7:$B$19,0)),"#N/A"))</f>
        <v/>
      </c>
      <c r="H179" s="28" t="n"/>
      <c r="I179" s="29">
        <f>IF(OR(F179="",H179=""),"",IFERROR(H179*INDEX(Catalogue!$G$7:$G$19,MATCH(F179,Catalogue!$B$7:$B$19,0)),"#N/A"))</f>
        <v/>
      </c>
      <c r="J179" s="30">
        <f>IF(ISNUMBER(I179),I179-K179,"")</f>
        <v/>
      </c>
      <c r="K179" s="31">
        <f>IF(OR(F179="",H179=""),"",IFERROR(H179*INDEX(Catalogue!$F$7:$F$19,MATCH(F179,Catalogue!$B$7:$B$19,0)),"#N/A"))</f>
        <v/>
      </c>
      <c r="L179" s="31">
        <f>IF(ISNUMBER(J179),J179*IFERROR(INDEX(Paramètres!$C$7:$C$12,MATCH(INDEX(Effectif!$D$7:$D$21,MATCH(D179,Effectif!$C$7:$C$21,0)),Paramètres!$B$7:$B$12,0)),0),"")</f>
        <v/>
      </c>
      <c r="M179" s="1" t="n"/>
    </row>
    <row r="180">
      <c r="A180" s="1" t="n"/>
      <c r="B180" s="24" t="n">
        <v>174</v>
      </c>
      <c r="C180" s="25" t="n"/>
      <c r="D180" s="26" t="n"/>
      <c r="E180" s="26" t="n"/>
      <c r="F180" s="26" t="n"/>
      <c r="G180" s="27">
        <f>IF(F180="","",IFERROR(INDEX(Catalogue!$C$7:$C$19,MATCH(F180,Catalogue!$B$7:$B$19,0)),"#N/A"))</f>
        <v/>
      </c>
      <c r="H180" s="28" t="n"/>
      <c r="I180" s="29">
        <f>IF(OR(F180="",H180=""),"",IFERROR(H180*INDEX(Catalogue!$G$7:$G$19,MATCH(F180,Catalogue!$B$7:$B$19,0)),"#N/A"))</f>
        <v/>
      </c>
      <c r="J180" s="30">
        <f>IF(ISNUMBER(I180),I180-K180,"")</f>
        <v/>
      </c>
      <c r="K180" s="31">
        <f>IF(OR(F180="",H180=""),"",IFERROR(H180*INDEX(Catalogue!$F$7:$F$19,MATCH(F180,Catalogue!$B$7:$B$19,0)),"#N/A"))</f>
        <v/>
      </c>
      <c r="L180" s="31">
        <f>IF(ISNUMBER(J180),J180*IFERROR(INDEX(Paramètres!$C$7:$C$12,MATCH(INDEX(Effectif!$D$7:$D$21,MATCH(D180,Effectif!$C$7:$C$21,0)),Paramètres!$B$7:$B$12,0)),0),"")</f>
        <v/>
      </c>
      <c r="M180" s="1" t="n"/>
    </row>
    <row r="181">
      <c r="A181" s="1" t="n"/>
      <c r="B181" s="24" t="n">
        <v>175</v>
      </c>
      <c r="C181" s="25" t="n"/>
      <c r="D181" s="26" t="n"/>
      <c r="E181" s="26" t="n"/>
      <c r="F181" s="26" t="n"/>
      <c r="G181" s="27">
        <f>IF(F181="","",IFERROR(INDEX(Catalogue!$C$7:$C$19,MATCH(F181,Catalogue!$B$7:$B$19,0)),"#N/A"))</f>
        <v/>
      </c>
      <c r="H181" s="28" t="n"/>
      <c r="I181" s="29">
        <f>IF(OR(F181="",H181=""),"",IFERROR(H181*INDEX(Catalogue!$G$7:$G$19,MATCH(F181,Catalogue!$B$7:$B$19,0)),"#N/A"))</f>
        <v/>
      </c>
      <c r="J181" s="30">
        <f>IF(ISNUMBER(I181),I181-K181,"")</f>
        <v/>
      </c>
      <c r="K181" s="31">
        <f>IF(OR(F181="",H181=""),"",IFERROR(H181*INDEX(Catalogue!$F$7:$F$19,MATCH(F181,Catalogue!$B$7:$B$19,0)),"#N/A"))</f>
        <v/>
      </c>
      <c r="L181" s="31">
        <f>IF(ISNUMBER(J181),J181*IFERROR(INDEX(Paramètres!$C$7:$C$12,MATCH(INDEX(Effectif!$D$7:$D$21,MATCH(D181,Effectif!$C$7:$C$21,0)),Paramètres!$B$7:$B$12,0)),0),"")</f>
        <v/>
      </c>
      <c r="M181" s="1" t="n"/>
    </row>
    <row r="182">
      <c r="A182" s="1" t="n"/>
      <c r="B182" s="24" t="n">
        <v>176</v>
      </c>
      <c r="C182" s="25" t="n"/>
      <c r="D182" s="26" t="n"/>
      <c r="E182" s="26" t="n"/>
      <c r="F182" s="26" t="n"/>
      <c r="G182" s="27">
        <f>IF(F182="","",IFERROR(INDEX(Catalogue!$C$7:$C$19,MATCH(F182,Catalogue!$B$7:$B$19,0)),"#N/A"))</f>
        <v/>
      </c>
      <c r="H182" s="28" t="n"/>
      <c r="I182" s="29">
        <f>IF(OR(F182="",H182=""),"",IFERROR(H182*INDEX(Catalogue!$G$7:$G$19,MATCH(F182,Catalogue!$B$7:$B$19,0)),"#N/A"))</f>
        <v/>
      </c>
      <c r="J182" s="30">
        <f>IF(ISNUMBER(I182),I182-K182,"")</f>
        <v/>
      </c>
      <c r="K182" s="31">
        <f>IF(OR(F182="",H182=""),"",IFERROR(H182*INDEX(Catalogue!$F$7:$F$19,MATCH(F182,Catalogue!$B$7:$B$19,0)),"#N/A"))</f>
        <v/>
      </c>
      <c r="L182" s="31">
        <f>IF(ISNUMBER(J182),J182*IFERROR(INDEX(Paramètres!$C$7:$C$12,MATCH(INDEX(Effectif!$D$7:$D$21,MATCH(D182,Effectif!$C$7:$C$21,0)),Paramètres!$B$7:$B$12,0)),0),"")</f>
        <v/>
      </c>
      <c r="M182" s="1" t="n"/>
    </row>
    <row r="183">
      <c r="A183" s="1" t="n"/>
      <c r="B183" s="24" t="n">
        <v>177</v>
      </c>
      <c r="C183" s="25" t="n"/>
      <c r="D183" s="26" t="n"/>
      <c r="E183" s="26" t="n"/>
      <c r="F183" s="26" t="n"/>
      <c r="G183" s="27">
        <f>IF(F183="","",IFERROR(INDEX(Catalogue!$C$7:$C$19,MATCH(F183,Catalogue!$B$7:$B$19,0)),"#N/A"))</f>
        <v/>
      </c>
      <c r="H183" s="28" t="n"/>
      <c r="I183" s="29">
        <f>IF(OR(F183="",H183=""),"",IFERROR(H183*INDEX(Catalogue!$G$7:$G$19,MATCH(F183,Catalogue!$B$7:$B$19,0)),"#N/A"))</f>
        <v/>
      </c>
      <c r="J183" s="30">
        <f>IF(ISNUMBER(I183),I183-K183,"")</f>
        <v/>
      </c>
      <c r="K183" s="31">
        <f>IF(OR(F183="",H183=""),"",IFERROR(H183*INDEX(Catalogue!$F$7:$F$19,MATCH(F183,Catalogue!$B$7:$B$19,0)),"#N/A"))</f>
        <v/>
      </c>
      <c r="L183" s="31">
        <f>IF(ISNUMBER(J183),J183*IFERROR(INDEX(Paramètres!$C$7:$C$12,MATCH(INDEX(Effectif!$D$7:$D$21,MATCH(D183,Effectif!$C$7:$C$21,0)),Paramètres!$B$7:$B$12,0)),0),"")</f>
        <v/>
      </c>
      <c r="M183" s="1" t="n"/>
    </row>
    <row r="184">
      <c r="A184" s="1" t="n"/>
      <c r="B184" s="24" t="n">
        <v>178</v>
      </c>
      <c r="C184" s="25" t="n"/>
      <c r="D184" s="26" t="n"/>
      <c r="E184" s="26" t="n"/>
      <c r="F184" s="26" t="n"/>
      <c r="G184" s="27">
        <f>IF(F184="","",IFERROR(INDEX(Catalogue!$C$7:$C$19,MATCH(F184,Catalogue!$B$7:$B$19,0)),"#N/A"))</f>
        <v/>
      </c>
      <c r="H184" s="28" t="n"/>
      <c r="I184" s="29">
        <f>IF(OR(F184="",H184=""),"",IFERROR(H184*INDEX(Catalogue!$G$7:$G$19,MATCH(F184,Catalogue!$B$7:$B$19,0)),"#N/A"))</f>
        <v/>
      </c>
      <c r="J184" s="30">
        <f>IF(ISNUMBER(I184),I184-K184,"")</f>
        <v/>
      </c>
      <c r="K184" s="31">
        <f>IF(OR(F184="",H184=""),"",IFERROR(H184*INDEX(Catalogue!$F$7:$F$19,MATCH(F184,Catalogue!$B$7:$B$19,0)),"#N/A"))</f>
        <v/>
      </c>
      <c r="L184" s="31">
        <f>IF(ISNUMBER(J184),J184*IFERROR(INDEX(Paramètres!$C$7:$C$12,MATCH(INDEX(Effectif!$D$7:$D$21,MATCH(D184,Effectif!$C$7:$C$21,0)),Paramètres!$B$7:$B$12,0)),0),"")</f>
        <v/>
      </c>
      <c r="M184" s="1" t="n"/>
    </row>
    <row r="185">
      <c r="A185" s="1" t="n"/>
      <c r="B185" s="24" t="n">
        <v>179</v>
      </c>
      <c r="C185" s="25" t="n"/>
      <c r="D185" s="26" t="n"/>
      <c r="E185" s="26" t="n"/>
      <c r="F185" s="26" t="n"/>
      <c r="G185" s="27">
        <f>IF(F185="","",IFERROR(INDEX(Catalogue!$C$7:$C$19,MATCH(F185,Catalogue!$B$7:$B$19,0)),"#N/A"))</f>
        <v/>
      </c>
      <c r="H185" s="28" t="n"/>
      <c r="I185" s="29">
        <f>IF(OR(F185="",H185=""),"",IFERROR(H185*INDEX(Catalogue!$G$7:$G$19,MATCH(F185,Catalogue!$B$7:$B$19,0)),"#N/A"))</f>
        <v/>
      </c>
      <c r="J185" s="30">
        <f>IF(ISNUMBER(I185),I185-K185,"")</f>
        <v/>
      </c>
      <c r="K185" s="31">
        <f>IF(OR(F185="",H185=""),"",IFERROR(H185*INDEX(Catalogue!$F$7:$F$19,MATCH(F185,Catalogue!$B$7:$B$19,0)),"#N/A"))</f>
        <v/>
      </c>
      <c r="L185" s="31">
        <f>IF(ISNUMBER(J185),J185*IFERROR(INDEX(Paramètres!$C$7:$C$12,MATCH(INDEX(Effectif!$D$7:$D$21,MATCH(D185,Effectif!$C$7:$C$21,0)),Paramètres!$B$7:$B$12,0)),0),"")</f>
        <v/>
      </c>
      <c r="M185" s="1" t="n"/>
    </row>
    <row r="186">
      <c r="A186" s="1" t="n"/>
      <c r="B186" s="24" t="n">
        <v>180</v>
      </c>
      <c r="C186" s="25" t="n"/>
      <c r="D186" s="26" t="n"/>
      <c r="E186" s="26" t="n"/>
      <c r="F186" s="26" t="n"/>
      <c r="G186" s="27">
        <f>IF(F186="","",IFERROR(INDEX(Catalogue!$C$7:$C$19,MATCH(F186,Catalogue!$B$7:$B$19,0)),"#N/A"))</f>
        <v/>
      </c>
      <c r="H186" s="28" t="n"/>
      <c r="I186" s="29">
        <f>IF(OR(F186="",H186=""),"",IFERROR(H186*INDEX(Catalogue!$G$7:$G$19,MATCH(F186,Catalogue!$B$7:$B$19,0)),"#N/A"))</f>
        <v/>
      </c>
      <c r="J186" s="30">
        <f>IF(ISNUMBER(I186),I186-K186,"")</f>
        <v/>
      </c>
      <c r="K186" s="31">
        <f>IF(OR(F186="",H186=""),"",IFERROR(H186*INDEX(Catalogue!$F$7:$F$19,MATCH(F186,Catalogue!$B$7:$B$19,0)),"#N/A"))</f>
        <v/>
      </c>
      <c r="L186" s="31">
        <f>IF(ISNUMBER(J186),J186*IFERROR(INDEX(Paramètres!$C$7:$C$12,MATCH(INDEX(Effectif!$D$7:$D$21,MATCH(D186,Effectif!$C$7:$C$21,0)),Paramètres!$B$7:$B$12,0)),0),"")</f>
        <v/>
      </c>
      <c r="M186" s="1" t="n"/>
    </row>
    <row r="187">
      <c r="A187" s="1" t="n"/>
      <c r="B187" s="24" t="n">
        <v>181</v>
      </c>
      <c r="C187" s="25" t="n"/>
      <c r="D187" s="26" t="n"/>
      <c r="E187" s="26" t="n"/>
      <c r="F187" s="26" t="n"/>
      <c r="G187" s="27">
        <f>IF(F187="","",IFERROR(INDEX(Catalogue!$C$7:$C$19,MATCH(F187,Catalogue!$B$7:$B$19,0)),"#N/A"))</f>
        <v/>
      </c>
      <c r="H187" s="28" t="n"/>
      <c r="I187" s="29">
        <f>IF(OR(F187="",H187=""),"",IFERROR(H187*INDEX(Catalogue!$G$7:$G$19,MATCH(F187,Catalogue!$B$7:$B$19,0)),"#N/A"))</f>
        <v/>
      </c>
      <c r="J187" s="30">
        <f>IF(ISNUMBER(I187),I187-K187,"")</f>
        <v/>
      </c>
      <c r="K187" s="31">
        <f>IF(OR(F187="",H187=""),"",IFERROR(H187*INDEX(Catalogue!$F$7:$F$19,MATCH(F187,Catalogue!$B$7:$B$19,0)),"#N/A"))</f>
        <v/>
      </c>
      <c r="L187" s="31">
        <f>IF(ISNUMBER(J187),J187*IFERROR(INDEX(Paramètres!$C$7:$C$12,MATCH(INDEX(Effectif!$D$7:$D$21,MATCH(D187,Effectif!$C$7:$C$21,0)),Paramètres!$B$7:$B$12,0)),0),"")</f>
        <v/>
      </c>
      <c r="M187" s="1" t="n"/>
    </row>
    <row r="188">
      <c r="A188" s="1" t="n"/>
      <c r="B188" s="24" t="n">
        <v>182</v>
      </c>
      <c r="C188" s="25" t="n"/>
      <c r="D188" s="26" t="n"/>
      <c r="E188" s="26" t="n"/>
      <c r="F188" s="26" t="n"/>
      <c r="G188" s="27">
        <f>IF(F188="","",IFERROR(INDEX(Catalogue!$C$7:$C$19,MATCH(F188,Catalogue!$B$7:$B$19,0)),"#N/A"))</f>
        <v/>
      </c>
      <c r="H188" s="28" t="n"/>
      <c r="I188" s="29">
        <f>IF(OR(F188="",H188=""),"",IFERROR(H188*INDEX(Catalogue!$G$7:$G$19,MATCH(F188,Catalogue!$B$7:$B$19,0)),"#N/A"))</f>
        <v/>
      </c>
      <c r="J188" s="30">
        <f>IF(ISNUMBER(I188),I188-K188,"")</f>
        <v/>
      </c>
      <c r="K188" s="31">
        <f>IF(OR(F188="",H188=""),"",IFERROR(H188*INDEX(Catalogue!$F$7:$F$19,MATCH(F188,Catalogue!$B$7:$B$19,0)),"#N/A"))</f>
        <v/>
      </c>
      <c r="L188" s="31">
        <f>IF(ISNUMBER(J188),J188*IFERROR(INDEX(Paramètres!$C$7:$C$12,MATCH(INDEX(Effectif!$D$7:$D$21,MATCH(D188,Effectif!$C$7:$C$21,0)),Paramètres!$B$7:$B$12,0)),0),"")</f>
        <v/>
      </c>
      <c r="M188" s="1" t="n"/>
    </row>
    <row r="189">
      <c r="A189" s="1" t="n"/>
      <c r="B189" s="24" t="n">
        <v>183</v>
      </c>
      <c r="C189" s="25" t="n"/>
      <c r="D189" s="26" t="n"/>
      <c r="E189" s="26" t="n"/>
      <c r="F189" s="26" t="n"/>
      <c r="G189" s="27">
        <f>IF(F189="","",IFERROR(INDEX(Catalogue!$C$7:$C$19,MATCH(F189,Catalogue!$B$7:$B$19,0)),"#N/A"))</f>
        <v/>
      </c>
      <c r="H189" s="28" t="n"/>
      <c r="I189" s="29">
        <f>IF(OR(F189="",H189=""),"",IFERROR(H189*INDEX(Catalogue!$G$7:$G$19,MATCH(F189,Catalogue!$B$7:$B$19,0)),"#N/A"))</f>
        <v/>
      </c>
      <c r="J189" s="30">
        <f>IF(ISNUMBER(I189),I189-K189,"")</f>
        <v/>
      </c>
      <c r="K189" s="31">
        <f>IF(OR(F189="",H189=""),"",IFERROR(H189*INDEX(Catalogue!$F$7:$F$19,MATCH(F189,Catalogue!$B$7:$B$19,0)),"#N/A"))</f>
        <v/>
      </c>
      <c r="L189" s="31">
        <f>IF(ISNUMBER(J189),J189*IFERROR(INDEX(Paramètres!$C$7:$C$12,MATCH(INDEX(Effectif!$D$7:$D$21,MATCH(D189,Effectif!$C$7:$C$21,0)),Paramètres!$B$7:$B$12,0)),0),"")</f>
        <v/>
      </c>
      <c r="M189" s="1" t="n"/>
    </row>
    <row r="190">
      <c r="A190" s="1" t="n"/>
      <c r="B190" s="24" t="n">
        <v>184</v>
      </c>
      <c r="C190" s="25" t="n"/>
      <c r="D190" s="26" t="n"/>
      <c r="E190" s="26" t="n"/>
      <c r="F190" s="26" t="n"/>
      <c r="G190" s="27">
        <f>IF(F190="","",IFERROR(INDEX(Catalogue!$C$7:$C$19,MATCH(F190,Catalogue!$B$7:$B$19,0)),"#N/A"))</f>
        <v/>
      </c>
      <c r="H190" s="28" t="n"/>
      <c r="I190" s="29">
        <f>IF(OR(F190="",H190=""),"",IFERROR(H190*INDEX(Catalogue!$G$7:$G$19,MATCH(F190,Catalogue!$B$7:$B$19,0)),"#N/A"))</f>
        <v/>
      </c>
      <c r="J190" s="30">
        <f>IF(ISNUMBER(I190),I190-K190,"")</f>
        <v/>
      </c>
      <c r="K190" s="31">
        <f>IF(OR(F190="",H190=""),"",IFERROR(H190*INDEX(Catalogue!$F$7:$F$19,MATCH(F190,Catalogue!$B$7:$B$19,0)),"#N/A"))</f>
        <v/>
      </c>
      <c r="L190" s="31">
        <f>IF(ISNUMBER(J190),J190*IFERROR(INDEX(Paramètres!$C$7:$C$12,MATCH(INDEX(Effectif!$D$7:$D$21,MATCH(D190,Effectif!$C$7:$C$21,0)),Paramètres!$B$7:$B$12,0)),0),"")</f>
        <v/>
      </c>
      <c r="M190" s="1" t="n"/>
    </row>
    <row r="191">
      <c r="A191" s="1" t="n"/>
      <c r="B191" s="24" t="n">
        <v>185</v>
      </c>
      <c r="C191" s="25" t="n"/>
      <c r="D191" s="26" t="n"/>
      <c r="E191" s="26" t="n"/>
      <c r="F191" s="26" t="n"/>
      <c r="G191" s="27">
        <f>IF(F191="","",IFERROR(INDEX(Catalogue!$C$7:$C$19,MATCH(F191,Catalogue!$B$7:$B$19,0)),"#N/A"))</f>
        <v/>
      </c>
      <c r="H191" s="28" t="n"/>
      <c r="I191" s="29">
        <f>IF(OR(F191="",H191=""),"",IFERROR(H191*INDEX(Catalogue!$G$7:$G$19,MATCH(F191,Catalogue!$B$7:$B$19,0)),"#N/A"))</f>
        <v/>
      </c>
      <c r="J191" s="30">
        <f>IF(ISNUMBER(I191),I191-K191,"")</f>
        <v/>
      </c>
      <c r="K191" s="31">
        <f>IF(OR(F191="",H191=""),"",IFERROR(H191*INDEX(Catalogue!$F$7:$F$19,MATCH(F191,Catalogue!$B$7:$B$19,0)),"#N/A"))</f>
        <v/>
      </c>
      <c r="L191" s="31">
        <f>IF(ISNUMBER(J191),J191*IFERROR(INDEX(Paramètres!$C$7:$C$12,MATCH(INDEX(Effectif!$D$7:$D$21,MATCH(D191,Effectif!$C$7:$C$21,0)),Paramètres!$B$7:$B$12,0)),0),"")</f>
        <v/>
      </c>
      <c r="M191" s="1" t="n"/>
    </row>
    <row r="192">
      <c r="A192" s="1" t="n"/>
      <c r="B192" s="24" t="n">
        <v>186</v>
      </c>
      <c r="C192" s="25" t="n"/>
      <c r="D192" s="26" t="n"/>
      <c r="E192" s="26" t="n"/>
      <c r="F192" s="26" t="n"/>
      <c r="G192" s="27">
        <f>IF(F192="","",IFERROR(INDEX(Catalogue!$C$7:$C$19,MATCH(F192,Catalogue!$B$7:$B$19,0)),"#N/A"))</f>
        <v/>
      </c>
      <c r="H192" s="28" t="n"/>
      <c r="I192" s="29">
        <f>IF(OR(F192="",H192=""),"",IFERROR(H192*INDEX(Catalogue!$G$7:$G$19,MATCH(F192,Catalogue!$B$7:$B$19,0)),"#N/A"))</f>
        <v/>
      </c>
      <c r="J192" s="30">
        <f>IF(ISNUMBER(I192),I192-K192,"")</f>
        <v/>
      </c>
      <c r="K192" s="31">
        <f>IF(OR(F192="",H192=""),"",IFERROR(H192*INDEX(Catalogue!$F$7:$F$19,MATCH(F192,Catalogue!$B$7:$B$19,0)),"#N/A"))</f>
        <v/>
      </c>
      <c r="L192" s="31">
        <f>IF(ISNUMBER(J192),J192*IFERROR(INDEX(Paramètres!$C$7:$C$12,MATCH(INDEX(Effectif!$D$7:$D$21,MATCH(D192,Effectif!$C$7:$C$21,0)),Paramètres!$B$7:$B$12,0)),0),"")</f>
        <v/>
      </c>
      <c r="M192" s="1" t="n"/>
    </row>
    <row r="193">
      <c r="A193" s="1" t="n"/>
      <c r="B193" s="24" t="n">
        <v>187</v>
      </c>
      <c r="C193" s="25" t="n"/>
      <c r="D193" s="26" t="n"/>
      <c r="E193" s="26" t="n"/>
      <c r="F193" s="26" t="n"/>
      <c r="G193" s="27">
        <f>IF(F193="","",IFERROR(INDEX(Catalogue!$C$7:$C$19,MATCH(F193,Catalogue!$B$7:$B$19,0)),"#N/A"))</f>
        <v/>
      </c>
      <c r="H193" s="28" t="n"/>
      <c r="I193" s="29">
        <f>IF(OR(F193="",H193=""),"",IFERROR(H193*INDEX(Catalogue!$G$7:$G$19,MATCH(F193,Catalogue!$B$7:$B$19,0)),"#N/A"))</f>
        <v/>
      </c>
      <c r="J193" s="30">
        <f>IF(ISNUMBER(I193),I193-K193,"")</f>
        <v/>
      </c>
      <c r="K193" s="31">
        <f>IF(OR(F193="",H193=""),"",IFERROR(H193*INDEX(Catalogue!$F$7:$F$19,MATCH(F193,Catalogue!$B$7:$B$19,0)),"#N/A"))</f>
        <v/>
      </c>
      <c r="L193" s="31">
        <f>IF(ISNUMBER(J193),J193*IFERROR(INDEX(Paramètres!$C$7:$C$12,MATCH(INDEX(Effectif!$D$7:$D$21,MATCH(D193,Effectif!$C$7:$C$21,0)),Paramètres!$B$7:$B$12,0)),0),"")</f>
        <v/>
      </c>
      <c r="M193" s="1" t="n"/>
    </row>
    <row r="194">
      <c r="A194" s="1" t="n"/>
      <c r="B194" s="24" t="n">
        <v>188</v>
      </c>
      <c r="C194" s="25" t="n"/>
      <c r="D194" s="26" t="n"/>
      <c r="E194" s="26" t="n"/>
      <c r="F194" s="26" t="n"/>
      <c r="G194" s="27">
        <f>IF(F194="","",IFERROR(INDEX(Catalogue!$C$7:$C$19,MATCH(F194,Catalogue!$B$7:$B$19,0)),"#N/A"))</f>
        <v/>
      </c>
      <c r="H194" s="28" t="n"/>
      <c r="I194" s="29">
        <f>IF(OR(F194="",H194=""),"",IFERROR(H194*INDEX(Catalogue!$G$7:$G$19,MATCH(F194,Catalogue!$B$7:$B$19,0)),"#N/A"))</f>
        <v/>
      </c>
      <c r="J194" s="30">
        <f>IF(ISNUMBER(I194),I194-K194,"")</f>
        <v/>
      </c>
      <c r="K194" s="31">
        <f>IF(OR(F194="",H194=""),"",IFERROR(H194*INDEX(Catalogue!$F$7:$F$19,MATCH(F194,Catalogue!$B$7:$B$19,0)),"#N/A"))</f>
        <v/>
      </c>
      <c r="L194" s="31">
        <f>IF(ISNUMBER(J194),J194*IFERROR(INDEX(Paramètres!$C$7:$C$12,MATCH(INDEX(Effectif!$D$7:$D$21,MATCH(D194,Effectif!$C$7:$C$21,0)),Paramètres!$B$7:$B$12,0)),0),"")</f>
        <v/>
      </c>
      <c r="M194" s="1" t="n"/>
    </row>
    <row r="195">
      <c r="A195" s="1" t="n"/>
      <c r="B195" s="24" t="n">
        <v>189</v>
      </c>
      <c r="C195" s="25" t="n"/>
      <c r="D195" s="26" t="n"/>
      <c r="E195" s="26" t="n"/>
      <c r="F195" s="26" t="n"/>
      <c r="G195" s="27">
        <f>IF(F195="","",IFERROR(INDEX(Catalogue!$C$7:$C$19,MATCH(F195,Catalogue!$B$7:$B$19,0)),"#N/A"))</f>
        <v/>
      </c>
      <c r="H195" s="28" t="n"/>
      <c r="I195" s="29">
        <f>IF(OR(F195="",H195=""),"",IFERROR(H195*INDEX(Catalogue!$G$7:$G$19,MATCH(F195,Catalogue!$B$7:$B$19,0)),"#N/A"))</f>
        <v/>
      </c>
      <c r="J195" s="30">
        <f>IF(ISNUMBER(I195),I195-K195,"")</f>
        <v/>
      </c>
      <c r="K195" s="31">
        <f>IF(OR(F195="",H195=""),"",IFERROR(H195*INDEX(Catalogue!$F$7:$F$19,MATCH(F195,Catalogue!$B$7:$B$19,0)),"#N/A"))</f>
        <v/>
      </c>
      <c r="L195" s="31">
        <f>IF(ISNUMBER(J195),J195*IFERROR(INDEX(Paramètres!$C$7:$C$12,MATCH(INDEX(Effectif!$D$7:$D$21,MATCH(D195,Effectif!$C$7:$C$21,0)),Paramètres!$B$7:$B$12,0)),0),"")</f>
        <v/>
      </c>
      <c r="M195" s="1" t="n"/>
    </row>
    <row r="196">
      <c r="A196" s="1" t="n"/>
      <c r="B196" s="24" t="n">
        <v>190</v>
      </c>
      <c r="C196" s="25" t="n"/>
      <c r="D196" s="26" t="n"/>
      <c r="E196" s="26" t="n"/>
      <c r="F196" s="26" t="n"/>
      <c r="G196" s="27">
        <f>IF(F196="","",IFERROR(INDEX(Catalogue!$C$7:$C$19,MATCH(F196,Catalogue!$B$7:$B$19,0)),"#N/A"))</f>
        <v/>
      </c>
      <c r="H196" s="28" t="n"/>
      <c r="I196" s="29">
        <f>IF(OR(F196="",H196=""),"",IFERROR(H196*INDEX(Catalogue!$G$7:$G$19,MATCH(F196,Catalogue!$B$7:$B$19,0)),"#N/A"))</f>
        <v/>
      </c>
      <c r="J196" s="30">
        <f>IF(ISNUMBER(I196),I196-K196,"")</f>
        <v/>
      </c>
      <c r="K196" s="31">
        <f>IF(OR(F196="",H196=""),"",IFERROR(H196*INDEX(Catalogue!$F$7:$F$19,MATCH(F196,Catalogue!$B$7:$B$19,0)),"#N/A"))</f>
        <v/>
      </c>
      <c r="L196" s="31">
        <f>IF(ISNUMBER(J196),J196*IFERROR(INDEX(Paramètres!$C$7:$C$12,MATCH(INDEX(Effectif!$D$7:$D$21,MATCH(D196,Effectif!$C$7:$C$21,0)),Paramètres!$B$7:$B$12,0)),0),"")</f>
        <v/>
      </c>
      <c r="M196" s="1" t="n"/>
    </row>
    <row r="197">
      <c r="A197" s="1" t="n"/>
      <c r="B197" s="24" t="n">
        <v>191</v>
      </c>
      <c r="C197" s="25" t="n"/>
      <c r="D197" s="26" t="n"/>
      <c r="E197" s="26" t="n"/>
      <c r="F197" s="26" t="n"/>
      <c r="G197" s="27">
        <f>IF(F197="","",IFERROR(INDEX(Catalogue!$C$7:$C$19,MATCH(F197,Catalogue!$B$7:$B$19,0)),"#N/A"))</f>
        <v/>
      </c>
      <c r="H197" s="28" t="n"/>
      <c r="I197" s="29">
        <f>IF(OR(F197="",H197=""),"",IFERROR(H197*INDEX(Catalogue!$G$7:$G$19,MATCH(F197,Catalogue!$B$7:$B$19,0)),"#N/A"))</f>
        <v/>
      </c>
      <c r="J197" s="30">
        <f>IF(ISNUMBER(I197),I197-K197,"")</f>
        <v/>
      </c>
      <c r="K197" s="31">
        <f>IF(OR(F197="",H197=""),"",IFERROR(H197*INDEX(Catalogue!$F$7:$F$19,MATCH(F197,Catalogue!$B$7:$B$19,0)),"#N/A"))</f>
        <v/>
      </c>
      <c r="L197" s="31">
        <f>IF(ISNUMBER(J197),J197*IFERROR(INDEX(Paramètres!$C$7:$C$12,MATCH(INDEX(Effectif!$D$7:$D$21,MATCH(D197,Effectif!$C$7:$C$21,0)),Paramètres!$B$7:$B$12,0)),0),"")</f>
        <v/>
      </c>
      <c r="M197" s="1" t="n"/>
    </row>
    <row r="198">
      <c r="A198" s="1" t="n"/>
      <c r="B198" s="24" t="n">
        <v>192</v>
      </c>
      <c r="C198" s="25" t="n"/>
      <c r="D198" s="26" t="n"/>
      <c r="E198" s="26" t="n"/>
      <c r="F198" s="26" t="n"/>
      <c r="G198" s="27">
        <f>IF(F198="","",IFERROR(INDEX(Catalogue!$C$7:$C$19,MATCH(F198,Catalogue!$B$7:$B$19,0)),"#N/A"))</f>
        <v/>
      </c>
      <c r="H198" s="28" t="n"/>
      <c r="I198" s="29">
        <f>IF(OR(F198="",H198=""),"",IFERROR(H198*INDEX(Catalogue!$G$7:$G$19,MATCH(F198,Catalogue!$B$7:$B$19,0)),"#N/A"))</f>
        <v/>
      </c>
      <c r="J198" s="30">
        <f>IF(ISNUMBER(I198),I198-K198,"")</f>
        <v/>
      </c>
      <c r="K198" s="31">
        <f>IF(OR(F198="",H198=""),"",IFERROR(H198*INDEX(Catalogue!$F$7:$F$19,MATCH(F198,Catalogue!$B$7:$B$19,0)),"#N/A"))</f>
        <v/>
      </c>
      <c r="L198" s="31">
        <f>IF(ISNUMBER(J198),J198*IFERROR(INDEX(Paramètres!$C$7:$C$12,MATCH(INDEX(Effectif!$D$7:$D$21,MATCH(D198,Effectif!$C$7:$C$21,0)),Paramètres!$B$7:$B$12,0)),0),"")</f>
        <v/>
      </c>
      <c r="M198" s="1" t="n"/>
    </row>
    <row r="199">
      <c r="A199" s="1" t="n"/>
      <c r="B199" s="24" t="n">
        <v>193</v>
      </c>
      <c r="C199" s="25" t="n"/>
      <c r="D199" s="26" t="n"/>
      <c r="E199" s="26" t="n"/>
      <c r="F199" s="26" t="n"/>
      <c r="G199" s="27">
        <f>IF(F199="","",IFERROR(INDEX(Catalogue!$C$7:$C$19,MATCH(F199,Catalogue!$B$7:$B$19,0)),"#N/A"))</f>
        <v/>
      </c>
      <c r="H199" s="28" t="n"/>
      <c r="I199" s="29">
        <f>IF(OR(F199="",H199=""),"",IFERROR(H199*INDEX(Catalogue!$G$7:$G$19,MATCH(F199,Catalogue!$B$7:$B$19,0)),"#N/A"))</f>
        <v/>
      </c>
      <c r="J199" s="30">
        <f>IF(ISNUMBER(I199),I199-K199,"")</f>
        <v/>
      </c>
      <c r="K199" s="31">
        <f>IF(OR(F199="",H199=""),"",IFERROR(H199*INDEX(Catalogue!$F$7:$F$19,MATCH(F199,Catalogue!$B$7:$B$19,0)),"#N/A"))</f>
        <v/>
      </c>
      <c r="L199" s="31">
        <f>IF(ISNUMBER(J199),J199*IFERROR(INDEX(Paramètres!$C$7:$C$12,MATCH(INDEX(Effectif!$D$7:$D$21,MATCH(D199,Effectif!$C$7:$C$21,0)),Paramètres!$B$7:$B$12,0)),0),"")</f>
        <v/>
      </c>
      <c r="M199" s="1" t="n"/>
    </row>
    <row r="200">
      <c r="A200" s="1" t="n"/>
      <c r="B200" s="24" t="n">
        <v>194</v>
      </c>
      <c r="C200" s="25" t="n"/>
      <c r="D200" s="26" t="n"/>
      <c r="E200" s="26" t="n"/>
      <c r="F200" s="26" t="n"/>
      <c r="G200" s="27">
        <f>IF(F200="","",IFERROR(INDEX(Catalogue!$C$7:$C$19,MATCH(F200,Catalogue!$B$7:$B$19,0)),"#N/A"))</f>
        <v/>
      </c>
      <c r="H200" s="28" t="n"/>
      <c r="I200" s="29">
        <f>IF(OR(F200="",H200=""),"",IFERROR(H200*INDEX(Catalogue!$G$7:$G$19,MATCH(F200,Catalogue!$B$7:$B$19,0)),"#N/A"))</f>
        <v/>
      </c>
      <c r="J200" s="30">
        <f>IF(ISNUMBER(I200),I200-K200,"")</f>
        <v/>
      </c>
      <c r="K200" s="31">
        <f>IF(OR(F200="",H200=""),"",IFERROR(H200*INDEX(Catalogue!$F$7:$F$19,MATCH(F200,Catalogue!$B$7:$B$19,0)),"#N/A"))</f>
        <v/>
      </c>
      <c r="L200" s="31">
        <f>IF(ISNUMBER(J200),J200*IFERROR(INDEX(Paramètres!$C$7:$C$12,MATCH(INDEX(Effectif!$D$7:$D$21,MATCH(D200,Effectif!$C$7:$C$21,0)),Paramètres!$B$7:$B$12,0)),0),"")</f>
        <v/>
      </c>
      <c r="M200" s="1" t="n"/>
    </row>
    <row r="201">
      <c r="A201" s="1" t="n"/>
      <c r="B201" s="24" t="n">
        <v>195</v>
      </c>
      <c r="C201" s="25" t="n"/>
      <c r="D201" s="26" t="n"/>
      <c r="E201" s="26" t="n"/>
      <c r="F201" s="26" t="n"/>
      <c r="G201" s="27">
        <f>IF(F201="","",IFERROR(INDEX(Catalogue!$C$7:$C$19,MATCH(F201,Catalogue!$B$7:$B$19,0)),"#N/A"))</f>
        <v/>
      </c>
      <c r="H201" s="28" t="n"/>
      <c r="I201" s="29">
        <f>IF(OR(F201="",H201=""),"",IFERROR(H201*INDEX(Catalogue!$G$7:$G$19,MATCH(F201,Catalogue!$B$7:$B$19,0)),"#N/A"))</f>
        <v/>
      </c>
      <c r="J201" s="30">
        <f>IF(ISNUMBER(I201),I201-K201,"")</f>
        <v/>
      </c>
      <c r="K201" s="31">
        <f>IF(OR(F201="",H201=""),"",IFERROR(H201*INDEX(Catalogue!$F$7:$F$19,MATCH(F201,Catalogue!$B$7:$B$19,0)),"#N/A"))</f>
        <v/>
      </c>
      <c r="L201" s="31">
        <f>IF(ISNUMBER(J201),J201*IFERROR(INDEX(Paramètres!$C$7:$C$12,MATCH(INDEX(Effectif!$D$7:$D$21,MATCH(D201,Effectif!$C$7:$C$21,0)),Paramètres!$B$7:$B$12,0)),0),"")</f>
        <v/>
      </c>
      <c r="M201" s="1" t="n"/>
    </row>
    <row r="202">
      <c r="A202" s="1" t="n"/>
      <c r="B202" s="24" t="n">
        <v>196</v>
      </c>
      <c r="C202" s="25" t="n"/>
      <c r="D202" s="26" t="n"/>
      <c r="E202" s="26" t="n"/>
      <c r="F202" s="26" t="n"/>
      <c r="G202" s="27">
        <f>IF(F202="","",IFERROR(INDEX(Catalogue!$C$7:$C$19,MATCH(F202,Catalogue!$B$7:$B$19,0)),"#N/A"))</f>
        <v/>
      </c>
      <c r="H202" s="28" t="n"/>
      <c r="I202" s="29">
        <f>IF(OR(F202="",H202=""),"",IFERROR(H202*INDEX(Catalogue!$G$7:$G$19,MATCH(F202,Catalogue!$B$7:$B$19,0)),"#N/A"))</f>
        <v/>
      </c>
      <c r="J202" s="30">
        <f>IF(ISNUMBER(I202),I202-K202,"")</f>
        <v/>
      </c>
      <c r="K202" s="31">
        <f>IF(OR(F202="",H202=""),"",IFERROR(H202*INDEX(Catalogue!$F$7:$F$19,MATCH(F202,Catalogue!$B$7:$B$19,0)),"#N/A"))</f>
        <v/>
      </c>
      <c r="L202" s="31">
        <f>IF(ISNUMBER(J202),J202*IFERROR(INDEX(Paramètres!$C$7:$C$12,MATCH(INDEX(Effectif!$D$7:$D$21,MATCH(D202,Effectif!$C$7:$C$21,0)),Paramètres!$B$7:$B$12,0)),0),"")</f>
        <v/>
      </c>
      <c r="M202" s="1" t="n"/>
    </row>
    <row r="203">
      <c r="A203" s="1" t="n"/>
      <c r="B203" s="24" t="n">
        <v>197</v>
      </c>
      <c r="C203" s="25" t="n"/>
      <c r="D203" s="26" t="n"/>
      <c r="E203" s="26" t="n"/>
      <c r="F203" s="26" t="n"/>
      <c r="G203" s="27">
        <f>IF(F203="","",IFERROR(INDEX(Catalogue!$C$7:$C$19,MATCH(F203,Catalogue!$B$7:$B$19,0)),"#N/A"))</f>
        <v/>
      </c>
      <c r="H203" s="28" t="n"/>
      <c r="I203" s="29">
        <f>IF(OR(F203="",H203=""),"",IFERROR(H203*INDEX(Catalogue!$G$7:$G$19,MATCH(F203,Catalogue!$B$7:$B$19,0)),"#N/A"))</f>
        <v/>
      </c>
      <c r="J203" s="30">
        <f>IF(ISNUMBER(I203),I203-K203,"")</f>
        <v/>
      </c>
      <c r="K203" s="31">
        <f>IF(OR(F203="",H203=""),"",IFERROR(H203*INDEX(Catalogue!$F$7:$F$19,MATCH(F203,Catalogue!$B$7:$B$19,0)),"#N/A"))</f>
        <v/>
      </c>
      <c r="L203" s="31">
        <f>IF(ISNUMBER(J203),J203*IFERROR(INDEX(Paramètres!$C$7:$C$12,MATCH(INDEX(Effectif!$D$7:$D$21,MATCH(D203,Effectif!$C$7:$C$21,0)),Paramètres!$B$7:$B$12,0)),0),"")</f>
        <v/>
      </c>
      <c r="M203" s="1" t="n"/>
    </row>
    <row r="204">
      <c r="A204" s="1" t="n"/>
      <c r="B204" s="24" t="n">
        <v>198</v>
      </c>
      <c r="C204" s="25" t="n"/>
      <c r="D204" s="26" t="n"/>
      <c r="E204" s="26" t="n"/>
      <c r="F204" s="26" t="n"/>
      <c r="G204" s="27">
        <f>IF(F204="","",IFERROR(INDEX(Catalogue!$C$7:$C$19,MATCH(F204,Catalogue!$B$7:$B$19,0)),"#N/A"))</f>
        <v/>
      </c>
      <c r="H204" s="28" t="n"/>
      <c r="I204" s="29">
        <f>IF(OR(F204="",H204=""),"",IFERROR(H204*INDEX(Catalogue!$G$7:$G$19,MATCH(F204,Catalogue!$B$7:$B$19,0)),"#N/A"))</f>
        <v/>
      </c>
      <c r="J204" s="30">
        <f>IF(ISNUMBER(I204),I204-K204,"")</f>
        <v/>
      </c>
      <c r="K204" s="31">
        <f>IF(OR(F204="",H204=""),"",IFERROR(H204*INDEX(Catalogue!$F$7:$F$19,MATCH(F204,Catalogue!$B$7:$B$19,0)),"#N/A"))</f>
        <v/>
      </c>
      <c r="L204" s="31">
        <f>IF(ISNUMBER(J204),J204*IFERROR(INDEX(Paramètres!$C$7:$C$12,MATCH(INDEX(Effectif!$D$7:$D$21,MATCH(D204,Effectif!$C$7:$C$21,0)),Paramètres!$B$7:$B$12,0)),0),"")</f>
        <v/>
      </c>
      <c r="M204" s="1" t="n"/>
    </row>
    <row r="205">
      <c r="A205" s="1" t="n"/>
      <c r="B205" s="24" t="n">
        <v>199</v>
      </c>
      <c r="C205" s="25" t="n"/>
      <c r="D205" s="26" t="n"/>
      <c r="E205" s="26" t="n"/>
      <c r="F205" s="26" t="n"/>
      <c r="G205" s="27">
        <f>IF(F205="","",IFERROR(INDEX(Catalogue!$C$7:$C$19,MATCH(F205,Catalogue!$B$7:$B$19,0)),"#N/A"))</f>
        <v/>
      </c>
      <c r="H205" s="28" t="n"/>
      <c r="I205" s="29">
        <f>IF(OR(F205="",H205=""),"",IFERROR(H205*INDEX(Catalogue!$G$7:$G$19,MATCH(F205,Catalogue!$B$7:$B$19,0)),"#N/A"))</f>
        <v/>
      </c>
      <c r="J205" s="30">
        <f>IF(ISNUMBER(I205),I205-K205,"")</f>
        <v/>
      </c>
      <c r="K205" s="31">
        <f>IF(OR(F205="",H205=""),"",IFERROR(H205*INDEX(Catalogue!$F$7:$F$19,MATCH(F205,Catalogue!$B$7:$B$19,0)),"#N/A"))</f>
        <v/>
      </c>
      <c r="L205" s="31">
        <f>IF(ISNUMBER(J205),J205*IFERROR(INDEX(Paramètres!$C$7:$C$12,MATCH(INDEX(Effectif!$D$7:$D$21,MATCH(D205,Effectif!$C$7:$C$21,0)),Paramètres!$B$7:$B$12,0)),0),"")</f>
        <v/>
      </c>
      <c r="M205" s="1" t="n"/>
    </row>
    <row r="206">
      <c r="A206" s="1" t="n"/>
      <c r="B206" s="24" t="n">
        <v>200</v>
      </c>
      <c r="C206" s="25" t="n"/>
      <c r="D206" s="26" t="n"/>
      <c r="E206" s="26" t="n"/>
      <c r="F206" s="26" t="n"/>
      <c r="G206" s="27">
        <f>IF(F206="","",IFERROR(INDEX(Catalogue!$C$7:$C$19,MATCH(F206,Catalogue!$B$7:$B$19,0)),"#N/A"))</f>
        <v/>
      </c>
      <c r="H206" s="28" t="n"/>
      <c r="I206" s="29">
        <f>IF(OR(F206="",H206=""),"",IFERROR(H206*INDEX(Catalogue!$G$7:$G$19,MATCH(F206,Catalogue!$B$7:$B$19,0)),"#N/A"))</f>
        <v/>
      </c>
      <c r="J206" s="30">
        <f>IF(ISNUMBER(I206),I206-K206,"")</f>
        <v/>
      </c>
      <c r="K206" s="31">
        <f>IF(OR(F206="",H206=""),"",IFERROR(H206*INDEX(Catalogue!$F$7:$F$19,MATCH(F206,Catalogue!$B$7:$B$19,0)),"#N/A"))</f>
        <v/>
      </c>
      <c r="L206" s="31">
        <f>IF(ISNUMBER(J206),J206*IFERROR(INDEX(Paramètres!$C$7:$C$12,MATCH(INDEX(Effectif!$D$7:$D$21,MATCH(D206,Effectif!$C$7:$C$21,0)),Paramètres!$B$7:$B$12,0)),0),"")</f>
        <v/>
      </c>
      <c r="M206" s="1" t="n"/>
    </row>
    <row r="207">
      <c r="A207" s="1" t="n"/>
      <c r="B207" s="24" t="n">
        <v>201</v>
      </c>
      <c r="C207" s="25" t="n"/>
      <c r="D207" s="26" t="n"/>
      <c r="E207" s="26" t="n"/>
      <c r="F207" s="26" t="n"/>
      <c r="G207" s="27">
        <f>IF(F207="","",IFERROR(INDEX(Catalogue!$C$7:$C$19,MATCH(F207,Catalogue!$B$7:$B$19,0)),"#N/A"))</f>
        <v/>
      </c>
      <c r="H207" s="28" t="n"/>
      <c r="I207" s="29">
        <f>IF(OR(F207="",H207=""),"",IFERROR(H207*INDEX(Catalogue!$G$7:$G$19,MATCH(F207,Catalogue!$B$7:$B$19,0)),"#N/A"))</f>
        <v/>
      </c>
      <c r="J207" s="30">
        <f>IF(ISNUMBER(I207),I207-K207,"")</f>
        <v/>
      </c>
      <c r="K207" s="31">
        <f>IF(OR(F207="",H207=""),"",IFERROR(H207*INDEX(Catalogue!$F$7:$F$19,MATCH(F207,Catalogue!$B$7:$B$19,0)),"#N/A"))</f>
        <v/>
      </c>
      <c r="L207" s="31">
        <f>IF(ISNUMBER(J207),J207*IFERROR(INDEX(Paramètres!$C$7:$C$12,MATCH(INDEX(Effectif!$D$7:$D$21,MATCH(D207,Effectif!$C$7:$C$21,0)),Paramètres!$B$7:$B$12,0)),0),"")</f>
        <v/>
      </c>
      <c r="M207" s="1" t="n"/>
    </row>
    <row r="208">
      <c r="A208" s="1" t="n"/>
      <c r="B208" s="24" t="n">
        <v>202</v>
      </c>
      <c r="C208" s="25" t="n"/>
      <c r="D208" s="26" t="n"/>
      <c r="E208" s="26" t="n"/>
      <c r="F208" s="26" t="n"/>
      <c r="G208" s="27">
        <f>IF(F208="","",IFERROR(INDEX(Catalogue!$C$7:$C$19,MATCH(F208,Catalogue!$B$7:$B$19,0)),"#N/A"))</f>
        <v/>
      </c>
      <c r="H208" s="28" t="n"/>
      <c r="I208" s="29">
        <f>IF(OR(F208="",H208=""),"",IFERROR(H208*INDEX(Catalogue!$G$7:$G$19,MATCH(F208,Catalogue!$B$7:$B$19,0)),"#N/A"))</f>
        <v/>
      </c>
      <c r="J208" s="30">
        <f>IF(ISNUMBER(I208),I208-K208,"")</f>
        <v/>
      </c>
      <c r="K208" s="31">
        <f>IF(OR(F208="",H208=""),"",IFERROR(H208*INDEX(Catalogue!$F$7:$F$19,MATCH(F208,Catalogue!$B$7:$B$19,0)),"#N/A"))</f>
        <v/>
      </c>
      <c r="L208" s="31">
        <f>IF(ISNUMBER(J208),J208*IFERROR(INDEX(Paramètres!$C$7:$C$12,MATCH(INDEX(Effectif!$D$7:$D$21,MATCH(D208,Effectif!$C$7:$C$21,0)),Paramètres!$B$7:$B$12,0)),0),"")</f>
        <v/>
      </c>
      <c r="M208" s="1" t="n"/>
    </row>
    <row r="209">
      <c r="A209" s="1" t="n"/>
      <c r="B209" s="24" t="n">
        <v>203</v>
      </c>
      <c r="C209" s="25" t="n"/>
      <c r="D209" s="26" t="n"/>
      <c r="E209" s="26" t="n"/>
      <c r="F209" s="26" t="n"/>
      <c r="G209" s="27">
        <f>IF(F209="","",IFERROR(INDEX(Catalogue!$C$7:$C$19,MATCH(F209,Catalogue!$B$7:$B$19,0)),"#N/A"))</f>
        <v/>
      </c>
      <c r="H209" s="28" t="n"/>
      <c r="I209" s="29">
        <f>IF(OR(F209="",H209=""),"",IFERROR(H209*INDEX(Catalogue!$G$7:$G$19,MATCH(F209,Catalogue!$B$7:$B$19,0)),"#N/A"))</f>
        <v/>
      </c>
      <c r="J209" s="30">
        <f>IF(ISNUMBER(I209),I209-K209,"")</f>
        <v/>
      </c>
      <c r="K209" s="31">
        <f>IF(OR(F209="",H209=""),"",IFERROR(H209*INDEX(Catalogue!$F$7:$F$19,MATCH(F209,Catalogue!$B$7:$B$19,0)),"#N/A"))</f>
        <v/>
      </c>
      <c r="L209" s="31">
        <f>IF(ISNUMBER(J209),J209*IFERROR(INDEX(Paramètres!$C$7:$C$12,MATCH(INDEX(Effectif!$D$7:$D$21,MATCH(D209,Effectif!$C$7:$C$21,0)),Paramètres!$B$7:$B$12,0)),0),"")</f>
        <v/>
      </c>
      <c r="M209" s="1" t="n"/>
    </row>
    <row r="210">
      <c r="A210" s="1" t="n"/>
      <c r="B210" s="24" t="n">
        <v>204</v>
      </c>
      <c r="C210" s="25" t="n"/>
      <c r="D210" s="26" t="n"/>
      <c r="E210" s="26" t="n"/>
      <c r="F210" s="26" t="n"/>
      <c r="G210" s="27">
        <f>IF(F210="","",IFERROR(INDEX(Catalogue!$C$7:$C$19,MATCH(F210,Catalogue!$B$7:$B$19,0)),"#N/A"))</f>
        <v/>
      </c>
      <c r="H210" s="28" t="n"/>
      <c r="I210" s="29">
        <f>IF(OR(F210="",H210=""),"",IFERROR(H210*INDEX(Catalogue!$G$7:$G$19,MATCH(F210,Catalogue!$B$7:$B$19,0)),"#N/A"))</f>
        <v/>
      </c>
      <c r="J210" s="30">
        <f>IF(ISNUMBER(I210),I210-K210,"")</f>
        <v/>
      </c>
      <c r="K210" s="31">
        <f>IF(OR(F210="",H210=""),"",IFERROR(H210*INDEX(Catalogue!$F$7:$F$19,MATCH(F210,Catalogue!$B$7:$B$19,0)),"#N/A"))</f>
        <v/>
      </c>
      <c r="L210" s="31">
        <f>IF(ISNUMBER(J210),J210*IFERROR(INDEX(Paramètres!$C$7:$C$12,MATCH(INDEX(Effectif!$D$7:$D$21,MATCH(D210,Effectif!$C$7:$C$21,0)),Paramètres!$B$7:$B$12,0)),0),"")</f>
        <v/>
      </c>
      <c r="M210" s="1" t="n"/>
    </row>
    <row r="211">
      <c r="A211" s="1" t="n"/>
      <c r="B211" s="24" t="n">
        <v>205</v>
      </c>
      <c r="C211" s="25" t="n"/>
      <c r="D211" s="26" t="n"/>
      <c r="E211" s="26" t="n"/>
      <c r="F211" s="26" t="n"/>
      <c r="G211" s="27">
        <f>IF(F211="","",IFERROR(INDEX(Catalogue!$C$7:$C$19,MATCH(F211,Catalogue!$B$7:$B$19,0)),"#N/A"))</f>
        <v/>
      </c>
      <c r="H211" s="28" t="n"/>
      <c r="I211" s="29">
        <f>IF(OR(F211="",H211=""),"",IFERROR(H211*INDEX(Catalogue!$G$7:$G$19,MATCH(F211,Catalogue!$B$7:$B$19,0)),"#N/A"))</f>
        <v/>
      </c>
      <c r="J211" s="30">
        <f>IF(ISNUMBER(I211),I211-K211,"")</f>
        <v/>
      </c>
      <c r="K211" s="31">
        <f>IF(OR(F211="",H211=""),"",IFERROR(H211*INDEX(Catalogue!$F$7:$F$19,MATCH(F211,Catalogue!$B$7:$B$19,0)),"#N/A"))</f>
        <v/>
      </c>
      <c r="L211" s="31">
        <f>IF(ISNUMBER(J211),J211*IFERROR(INDEX(Paramètres!$C$7:$C$12,MATCH(INDEX(Effectif!$D$7:$D$21,MATCH(D211,Effectif!$C$7:$C$21,0)),Paramètres!$B$7:$B$12,0)),0),"")</f>
        <v/>
      </c>
      <c r="M211" s="1" t="n"/>
    </row>
    <row r="212">
      <c r="A212" s="1" t="n"/>
      <c r="B212" s="24" t="n">
        <v>206</v>
      </c>
      <c r="C212" s="25" t="n"/>
      <c r="D212" s="26" t="n"/>
      <c r="E212" s="26" t="n"/>
      <c r="F212" s="26" t="n"/>
      <c r="G212" s="27">
        <f>IF(F212="","",IFERROR(INDEX(Catalogue!$C$7:$C$19,MATCH(F212,Catalogue!$B$7:$B$19,0)),"#N/A"))</f>
        <v/>
      </c>
      <c r="H212" s="28" t="n"/>
      <c r="I212" s="29">
        <f>IF(OR(F212="",H212=""),"",IFERROR(H212*INDEX(Catalogue!$G$7:$G$19,MATCH(F212,Catalogue!$B$7:$B$19,0)),"#N/A"))</f>
        <v/>
      </c>
      <c r="J212" s="30">
        <f>IF(ISNUMBER(I212),I212-K212,"")</f>
        <v/>
      </c>
      <c r="K212" s="31">
        <f>IF(OR(F212="",H212=""),"",IFERROR(H212*INDEX(Catalogue!$F$7:$F$19,MATCH(F212,Catalogue!$B$7:$B$19,0)),"#N/A"))</f>
        <v/>
      </c>
      <c r="L212" s="31">
        <f>IF(ISNUMBER(J212),J212*IFERROR(INDEX(Paramètres!$C$7:$C$12,MATCH(INDEX(Effectif!$D$7:$D$21,MATCH(D212,Effectif!$C$7:$C$21,0)),Paramètres!$B$7:$B$12,0)),0),"")</f>
        <v/>
      </c>
      <c r="M212" s="1" t="n"/>
    </row>
    <row r="213">
      <c r="A213" s="1" t="n"/>
      <c r="B213" s="24" t="n">
        <v>207</v>
      </c>
      <c r="C213" s="25" t="n"/>
      <c r="D213" s="26" t="n"/>
      <c r="E213" s="26" t="n"/>
      <c r="F213" s="26" t="n"/>
      <c r="G213" s="27">
        <f>IF(F213="","",IFERROR(INDEX(Catalogue!$C$7:$C$19,MATCH(F213,Catalogue!$B$7:$B$19,0)),"#N/A"))</f>
        <v/>
      </c>
      <c r="H213" s="28" t="n"/>
      <c r="I213" s="29">
        <f>IF(OR(F213="",H213=""),"",IFERROR(H213*INDEX(Catalogue!$G$7:$G$19,MATCH(F213,Catalogue!$B$7:$B$19,0)),"#N/A"))</f>
        <v/>
      </c>
      <c r="J213" s="30">
        <f>IF(ISNUMBER(I213),I213-K213,"")</f>
        <v/>
      </c>
      <c r="K213" s="31">
        <f>IF(OR(F213="",H213=""),"",IFERROR(H213*INDEX(Catalogue!$F$7:$F$19,MATCH(F213,Catalogue!$B$7:$B$19,0)),"#N/A"))</f>
        <v/>
      </c>
      <c r="L213" s="31">
        <f>IF(ISNUMBER(J213),J213*IFERROR(INDEX(Paramètres!$C$7:$C$12,MATCH(INDEX(Effectif!$D$7:$D$21,MATCH(D213,Effectif!$C$7:$C$21,0)),Paramètres!$B$7:$B$12,0)),0),"")</f>
        <v/>
      </c>
      <c r="M213" s="1" t="n"/>
    </row>
    <row r="214">
      <c r="A214" s="1" t="n"/>
      <c r="B214" s="24" t="n">
        <v>208</v>
      </c>
      <c r="C214" s="25" t="n"/>
      <c r="D214" s="26" t="n"/>
      <c r="E214" s="26" t="n"/>
      <c r="F214" s="26" t="n"/>
      <c r="G214" s="27">
        <f>IF(F214="","",IFERROR(INDEX(Catalogue!$C$7:$C$19,MATCH(F214,Catalogue!$B$7:$B$19,0)),"#N/A"))</f>
        <v/>
      </c>
      <c r="H214" s="28" t="n"/>
      <c r="I214" s="29">
        <f>IF(OR(F214="",H214=""),"",IFERROR(H214*INDEX(Catalogue!$G$7:$G$19,MATCH(F214,Catalogue!$B$7:$B$19,0)),"#N/A"))</f>
        <v/>
      </c>
      <c r="J214" s="30">
        <f>IF(ISNUMBER(I214),I214-K214,"")</f>
        <v/>
      </c>
      <c r="K214" s="31">
        <f>IF(OR(F214="",H214=""),"",IFERROR(H214*INDEX(Catalogue!$F$7:$F$19,MATCH(F214,Catalogue!$B$7:$B$19,0)),"#N/A"))</f>
        <v/>
      </c>
      <c r="L214" s="31">
        <f>IF(ISNUMBER(J214),J214*IFERROR(INDEX(Paramètres!$C$7:$C$12,MATCH(INDEX(Effectif!$D$7:$D$21,MATCH(D214,Effectif!$C$7:$C$21,0)),Paramètres!$B$7:$B$12,0)),0),"")</f>
        <v/>
      </c>
      <c r="M214" s="1" t="n"/>
    </row>
    <row r="215">
      <c r="A215" s="1" t="n"/>
      <c r="B215" s="24" t="n">
        <v>209</v>
      </c>
      <c r="C215" s="25" t="n"/>
      <c r="D215" s="26" t="n"/>
      <c r="E215" s="26" t="n"/>
      <c r="F215" s="26" t="n"/>
      <c r="G215" s="27">
        <f>IF(F215="","",IFERROR(INDEX(Catalogue!$C$7:$C$19,MATCH(F215,Catalogue!$B$7:$B$19,0)),"#N/A"))</f>
        <v/>
      </c>
      <c r="H215" s="28" t="n"/>
      <c r="I215" s="29">
        <f>IF(OR(F215="",H215=""),"",IFERROR(H215*INDEX(Catalogue!$G$7:$G$19,MATCH(F215,Catalogue!$B$7:$B$19,0)),"#N/A"))</f>
        <v/>
      </c>
      <c r="J215" s="30">
        <f>IF(ISNUMBER(I215),I215-K215,"")</f>
        <v/>
      </c>
      <c r="K215" s="31">
        <f>IF(OR(F215="",H215=""),"",IFERROR(H215*INDEX(Catalogue!$F$7:$F$19,MATCH(F215,Catalogue!$B$7:$B$19,0)),"#N/A"))</f>
        <v/>
      </c>
      <c r="L215" s="31">
        <f>IF(ISNUMBER(J215),J215*IFERROR(INDEX(Paramètres!$C$7:$C$12,MATCH(INDEX(Effectif!$D$7:$D$21,MATCH(D215,Effectif!$C$7:$C$21,0)),Paramètres!$B$7:$B$12,0)),0),"")</f>
        <v/>
      </c>
      <c r="M215" s="1" t="n"/>
    </row>
    <row r="216">
      <c r="A216" s="1" t="n"/>
      <c r="B216" s="24" t="n">
        <v>210</v>
      </c>
      <c r="C216" s="25" t="n"/>
      <c r="D216" s="26" t="n"/>
      <c r="E216" s="26" t="n"/>
      <c r="F216" s="26" t="n"/>
      <c r="G216" s="27">
        <f>IF(F216="","",IFERROR(INDEX(Catalogue!$C$7:$C$19,MATCH(F216,Catalogue!$B$7:$B$19,0)),"#N/A"))</f>
        <v/>
      </c>
      <c r="H216" s="28" t="n"/>
      <c r="I216" s="29">
        <f>IF(OR(F216="",H216=""),"",IFERROR(H216*INDEX(Catalogue!$G$7:$G$19,MATCH(F216,Catalogue!$B$7:$B$19,0)),"#N/A"))</f>
        <v/>
      </c>
      <c r="J216" s="30">
        <f>IF(ISNUMBER(I216),I216-K216,"")</f>
        <v/>
      </c>
      <c r="K216" s="31">
        <f>IF(OR(F216="",H216=""),"",IFERROR(H216*INDEX(Catalogue!$F$7:$F$19,MATCH(F216,Catalogue!$B$7:$B$19,0)),"#N/A"))</f>
        <v/>
      </c>
      <c r="L216" s="31">
        <f>IF(ISNUMBER(J216),J216*IFERROR(INDEX(Paramètres!$C$7:$C$12,MATCH(INDEX(Effectif!$D$7:$D$21,MATCH(D216,Effectif!$C$7:$C$21,0)),Paramètres!$B$7:$B$12,0)),0),"")</f>
        <v/>
      </c>
      <c r="M216" s="1" t="n"/>
    </row>
    <row r="217">
      <c r="A217" s="1" t="n"/>
      <c r="B217" s="24" t="n">
        <v>211</v>
      </c>
      <c r="C217" s="25" t="n"/>
      <c r="D217" s="26" t="n"/>
      <c r="E217" s="26" t="n"/>
      <c r="F217" s="26" t="n"/>
      <c r="G217" s="27">
        <f>IF(F217="","",IFERROR(INDEX(Catalogue!$C$7:$C$19,MATCH(F217,Catalogue!$B$7:$B$19,0)),"#N/A"))</f>
        <v/>
      </c>
      <c r="H217" s="28" t="n"/>
      <c r="I217" s="29">
        <f>IF(OR(F217="",H217=""),"",IFERROR(H217*INDEX(Catalogue!$G$7:$G$19,MATCH(F217,Catalogue!$B$7:$B$19,0)),"#N/A"))</f>
        <v/>
      </c>
      <c r="J217" s="30">
        <f>IF(ISNUMBER(I217),I217-K217,"")</f>
        <v/>
      </c>
      <c r="K217" s="31">
        <f>IF(OR(F217="",H217=""),"",IFERROR(H217*INDEX(Catalogue!$F$7:$F$19,MATCH(F217,Catalogue!$B$7:$B$19,0)),"#N/A"))</f>
        <v/>
      </c>
      <c r="L217" s="31">
        <f>IF(ISNUMBER(J217),J217*IFERROR(INDEX(Paramètres!$C$7:$C$12,MATCH(INDEX(Effectif!$D$7:$D$21,MATCH(D217,Effectif!$C$7:$C$21,0)),Paramètres!$B$7:$B$12,0)),0),"")</f>
        <v/>
      </c>
      <c r="M217" s="1" t="n"/>
    </row>
    <row r="218">
      <c r="A218" s="1" t="n"/>
      <c r="B218" s="24" t="n">
        <v>212</v>
      </c>
      <c r="C218" s="25" t="n"/>
      <c r="D218" s="26" t="n"/>
      <c r="E218" s="26" t="n"/>
      <c r="F218" s="26" t="n"/>
      <c r="G218" s="27">
        <f>IF(F218="","",IFERROR(INDEX(Catalogue!$C$7:$C$19,MATCH(F218,Catalogue!$B$7:$B$19,0)),"#N/A"))</f>
        <v/>
      </c>
      <c r="H218" s="28" t="n"/>
      <c r="I218" s="29">
        <f>IF(OR(F218="",H218=""),"",IFERROR(H218*INDEX(Catalogue!$G$7:$G$19,MATCH(F218,Catalogue!$B$7:$B$19,0)),"#N/A"))</f>
        <v/>
      </c>
      <c r="J218" s="30">
        <f>IF(ISNUMBER(I218),I218-K218,"")</f>
        <v/>
      </c>
      <c r="K218" s="31">
        <f>IF(OR(F218="",H218=""),"",IFERROR(H218*INDEX(Catalogue!$F$7:$F$19,MATCH(F218,Catalogue!$B$7:$B$19,0)),"#N/A"))</f>
        <v/>
      </c>
      <c r="L218" s="31">
        <f>IF(ISNUMBER(J218),J218*IFERROR(INDEX(Paramètres!$C$7:$C$12,MATCH(INDEX(Effectif!$D$7:$D$21,MATCH(D218,Effectif!$C$7:$C$21,0)),Paramètres!$B$7:$B$12,0)),0),"")</f>
        <v/>
      </c>
      <c r="M218" s="1" t="n"/>
    </row>
    <row r="219">
      <c r="A219" s="1" t="n"/>
      <c r="B219" s="24" t="n">
        <v>213</v>
      </c>
      <c r="C219" s="25" t="n"/>
      <c r="D219" s="26" t="n"/>
      <c r="E219" s="26" t="n"/>
      <c r="F219" s="26" t="n"/>
      <c r="G219" s="27">
        <f>IF(F219="","",IFERROR(INDEX(Catalogue!$C$7:$C$19,MATCH(F219,Catalogue!$B$7:$B$19,0)),"#N/A"))</f>
        <v/>
      </c>
      <c r="H219" s="28" t="n"/>
      <c r="I219" s="29">
        <f>IF(OR(F219="",H219=""),"",IFERROR(H219*INDEX(Catalogue!$G$7:$G$19,MATCH(F219,Catalogue!$B$7:$B$19,0)),"#N/A"))</f>
        <v/>
      </c>
      <c r="J219" s="30">
        <f>IF(ISNUMBER(I219),I219-K219,"")</f>
        <v/>
      </c>
      <c r="K219" s="31">
        <f>IF(OR(F219="",H219=""),"",IFERROR(H219*INDEX(Catalogue!$F$7:$F$19,MATCH(F219,Catalogue!$B$7:$B$19,0)),"#N/A"))</f>
        <v/>
      </c>
      <c r="L219" s="31">
        <f>IF(ISNUMBER(J219),J219*IFERROR(INDEX(Paramètres!$C$7:$C$12,MATCH(INDEX(Effectif!$D$7:$D$21,MATCH(D219,Effectif!$C$7:$C$21,0)),Paramètres!$B$7:$B$12,0)),0),"")</f>
        <v/>
      </c>
      <c r="M219" s="1" t="n"/>
    </row>
    <row r="220">
      <c r="A220" s="1" t="n"/>
      <c r="B220" s="24" t="n">
        <v>214</v>
      </c>
      <c r="C220" s="25" t="n"/>
      <c r="D220" s="26" t="n"/>
      <c r="E220" s="26" t="n"/>
      <c r="F220" s="26" t="n"/>
      <c r="G220" s="27">
        <f>IF(F220="","",IFERROR(INDEX(Catalogue!$C$7:$C$19,MATCH(F220,Catalogue!$B$7:$B$19,0)),"#N/A"))</f>
        <v/>
      </c>
      <c r="H220" s="28" t="n"/>
      <c r="I220" s="29">
        <f>IF(OR(F220="",H220=""),"",IFERROR(H220*INDEX(Catalogue!$G$7:$G$19,MATCH(F220,Catalogue!$B$7:$B$19,0)),"#N/A"))</f>
        <v/>
      </c>
      <c r="J220" s="30">
        <f>IF(ISNUMBER(I220),I220-K220,"")</f>
        <v/>
      </c>
      <c r="K220" s="31">
        <f>IF(OR(F220="",H220=""),"",IFERROR(H220*INDEX(Catalogue!$F$7:$F$19,MATCH(F220,Catalogue!$B$7:$B$19,0)),"#N/A"))</f>
        <v/>
      </c>
      <c r="L220" s="31">
        <f>IF(ISNUMBER(J220),J220*IFERROR(INDEX(Paramètres!$C$7:$C$12,MATCH(INDEX(Effectif!$D$7:$D$21,MATCH(D220,Effectif!$C$7:$C$21,0)),Paramètres!$B$7:$B$12,0)),0),"")</f>
        <v/>
      </c>
      <c r="M220" s="1" t="n"/>
    </row>
    <row r="221">
      <c r="A221" s="1" t="n"/>
      <c r="B221" s="24" t="n">
        <v>215</v>
      </c>
      <c r="C221" s="25" t="n"/>
      <c r="D221" s="26" t="n"/>
      <c r="E221" s="26" t="n"/>
      <c r="F221" s="26" t="n"/>
      <c r="G221" s="27">
        <f>IF(F221="","",IFERROR(INDEX(Catalogue!$C$7:$C$19,MATCH(F221,Catalogue!$B$7:$B$19,0)),"#N/A"))</f>
        <v/>
      </c>
      <c r="H221" s="28" t="n"/>
      <c r="I221" s="29">
        <f>IF(OR(F221="",H221=""),"",IFERROR(H221*INDEX(Catalogue!$G$7:$G$19,MATCH(F221,Catalogue!$B$7:$B$19,0)),"#N/A"))</f>
        <v/>
      </c>
      <c r="J221" s="30">
        <f>IF(ISNUMBER(I221),I221-K221,"")</f>
        <v/>
      </c>
      <c r="K221" s="31">
        <f>IF(OR(F221="",H221=""),"",IFERROR(H221*INDEX(Catalogue!$F$7:$F$19,MATCH(F221,Catalogue!$B$7:$B$19,0)),"#N/A"))</f>
        <v/>
      </c>
      <c r="L221" s="31">
        <f>IF(ISNUMBER(J221),J221*IFERROR(INDEX(Paramètres!$C$7:$C$12,MATCH(INDEX(Effectif!$D$7:$D$21,MATCH(D221,Effectif!$C$7:$C$21,0)),Paramètres!$B$7:$B$12,0)),0),"")</f>
        <v/>
      </c>
      <c r="M221" s="1" t="n"/>
    </row>
    <row r="222">
      <c r="A222" s="1" t="n"/>
      <c r="B222" s="24" t="n">
        <v>216</v>
      </c>
      <c r="C222" s="25" t="n"/>
      <c r="D222" s="26" t="n"/>
      <c r="E222" s="26" t="n"/>
      <c r="F222" s="26" t="n"/>
      <c r="G222" s="27">
        <f>IF(F222="","",IFERROR(INDEX(Catalogue!$C$7:$C$19,MATCH(F222,Catalogue!$B$7:$B$19,0)),"#N/A"))</f>
        <v/>
      </c>
      <c r="H222" s="28" t="n"/>
      <c r="I222" s="29">
        <f>IF(OR(F222="",H222=""),"",IFERROR(H222*INDEX(Catalogue!$G$7:$G$19,MATCH(F222,Catalogue!$B$7:$B$19,0)),"#N/A"))</f>
        <v/>
      </c>
      <c r="J222" s="30">
        <f>IF(ISNUMBER(I222),I222-K222,"")</f>
        <v/>
      </c>
      <c r="K222" s="31">
        <f>IF(OR(F222="",H222=""),"",IFERROR(H222*INDEX(Catalogue!$F$7:$F$19,MATCH(F222,Catalogue!$B$7:$B$19,0)),"#N/A"))</f>
        <v/>
      </c>
      <c r="L222" s="31">
        <f>IF(ISNUMBER(J222),J222*IFERROR(INDEX(Paramètres!$C$7:$C$12,MATCH(INDEX(Effectif!$D$7:$D$21,MATCH(D222,Effectif!$C$7:$C$21,0)),Paramètres!$B$7:$B$12,0)),0),"")</f>
        <v/>
      </c>
      <c r="M222" s="1" t="n"/>
    </row>
    <row r="223">
      <c r="A223" s="1" t="n"/>
      <c r="B223" s="24" t="n">
        <v>217</v>
      </c>
      <c r="C223" s="25" t="n"/>
      <c r="D223" s="26" t="n"/>
      <c r="E223" s="26" t="n"/>
      <c r="F223" s="26" t="n"/>
      <c r="G223" s="27">
        <f>IF(F223="","",IFERROR(INDEX(Catalogue!$C$7:$C$19,MATCH(F223,Catalogue!$B$7:$B$19,0)),"#N/A"))</f>
        <v/>
      </c>
      <c r="H223" s="28" t="n"/>
      <c r="I223" s="29">
        <f>IF(OR(F223="",H223=""),"",IFERROR(H223*INDEX(Catalogue!$G$7:$G$19,MATCH(F223,Catalogue!$B$7:$B$19,0)),"#N/A"))</f>
        <v/>
      </c>
      <c r="J223" s="30">
        <f>IF(ISNUMBER(I223),I223-K223,"")</f>
        <v/>
      </c>
      <c r="K223" s="31">
        <f>IF(OR(F223="",H223=""),"",IFERROR(H223*INDEX(Catalogue!$F$7:$F$19,MATCH(F223,Catalogue!$B$7:$B$19,0)),"#N/A"))</f>
        <v/>
      </c>
      <c r="L223" s="31">
        <f>IF(ISNUMBER(J223),J223*IFERROR(INDEX(Paramètres!$C$7:$C$12,MATCH(INDEX(Effectif!$D$7:$D$21,MATCH(D223,Effectif!$C$7:$C$21,0)),Paramètres!$B$7:$B$12,0)),0),"")</f>
        <v/>
      </c>
      <c r="M223" s="1" t="n"/>
    </row>
    <row r="224">
      <c r="A224" s="1" t="n"/>
      <c r="B224" s="24" t="n">
        <v>218</v>
      </c>
      <c r="C224" s="25" t="n"/>
      <c r="D224" s="26" t="n"/>
      <c r="E224" s="26" t="n"/>
      <c r="F224" s="26" t="n"/>
      <c r="G224" s="27">
        <f>IF(F224="","",IFERROR(INDEX(Catalogue!$C$7:$C$19,MATCH(F224,Catalogue!$B$7:$B$19,0)),"#N/A"))</f>
        <v/>
      </c>
      <c r="H224" s="28" t="n"/>
      <c r="I224" s="29">
        <f>IF(OR(F224="",H224=""),"",IFERROR(H224*INDEX(Catalogue!$G$7:$G$19,MATCH(F224,Catalogue!$B$7:$B$19,0)),"#N/A"))</f>
        <v/>
      </c>
      <c r="J224" s="30">
        <f>IF(ISNUMBER(I224),I224-K224,"")</f>
        <v/>
      </c>
      <c r="K224" s="31">
        <f>IF(OR(F224="",H224=""),"",IFERROR(H224*INDEX(Catalogue!$F$7:$F$19,MATCH(F224,Catalogue!$B$7:$B$19,0)),"#N/A"))</f>
        <v/>
      </c>
      <c r="L224" s="31">
        <f>IF(ISNUMBER(J224),J224*IFERROR(INDEX(Paramètres!$C$7:$C$12,MATCH(INDEX(Effectif!$D$7:$D$21,MATCH(D224,Effectif!$C$7:$C$21,0)),Paramètres!$B$7:$B$12,0)),0),"")</f>
        <v/>
      </c>
      <c r="M224" s="1" t="n"/>
    </row>
    <row r="225">
      <c r="A225" s="1" t="n"/>
      <c r="B225" s="24" t="n">
        <v>219</v>
      </c>
      <c r="C225" s="25" t="n"/>
      <c r="D225" s="26" t="n"/>
      <c r="E225" s="26" t="n"/>
      <c r="F225" s="26" t="n"/>
      <c r="G225" s="27">
        <f>IF(F225="","",IFERROR(INDEX(Catalogue!$C$7:$C$19,MATCH(F225,Catalogue!$B$7:$B$19,0)),"#N/A"))</f>
        <v/>
      </c>
      <c r="H225" s="28" t="n"/>
      <c r="I225" s="29">
        <f>IF(OR(F225="",H225=""),"",IFERROR(H225*INDEX(Catalogue!$G$7:$G$19,MATCH(F225,Catalogue!$B$7:$B$19,0)),"#N/A"))</f>
        <v/>
      </c>
      <c r="J225" s="30">
        <f>IF(ISNUMBER(I225),I225-K225,"")</f>
        <v/>
      </c>
      <c r="K225" s="31">
        <f>IF(OR(F225="",H225=""),"",IFERROR(H225*INDEX(Catalogue!$F$7:$F$19,MATCH(F225,Catalogue!$B$7:$B$19,0)),"#N/A"))</f>
        <v/>
      </c>
      <c r="L225" s="31">
        <f>IF(ISNUMBER(J225),J225*IFERROR(INDEX(Paramètres!$C$7:$C$12,MATCH(INDEX(Effectif!$D$7:$D$21,MATCH(D225,Effectif!$C$7:$C$21,0)),Paramètres!$B$7:$B$12,0)),0),"")</f>
        <v/>
      </c>
      <c r="M225" s="1" t="n"/>
    </row>
    <row r="226">
      <c r="A226" s="1" t="n"/>
      <c r="B226" s="24" t="n">
        <v>220</v>
      </c>
      <c r="C226" s="25" t="n"/>
      <c r="D226" s="26" t="n"/>
      <c r="E226" s="26" t="n"/>
      <c r="F226" s="26" t="n"/>
      <c r="G226" s="27">
        <f>IF(F226="","",IFERROR(INDEX(Catalogue!$C$7:$C$19,MATCH(F226,Catalogue!$B$7:$B$19,0)),"#N/A"))</f>
        <v/>
      </c>
      <c r="H226" s="28" t="n"/>
      <c r="I226" s="29">
        <f>IF(OR(F226="",H226=""),"",IFERROR(H226*INDEX(Catalogue!$G$7:$G$19,MATCH(F226,Catalogue!$B$7:$B$19,0)),"#N/A"))</f>
        <v/>
      </c>
      <c r="J226" s="30">
        <f>IF(ISNUMBER(I226),I226-K226,"")</f>
        <v/>
      </c>
      <c r="K226" s="31">
        <f>IF(OR(F226="",H226=""),"",IFERROR(H226*INDEX(Catalogue!$F$7:$F$19,MATCH(F226,Catalogue!$B$7:$B$19,0)),"#N/A"))</f>
        <v/>
      </c>
      <c r="L226" s="31">
        <f>IF(ISNUMBER(J226),J226*IFERROR(INDEX(Paramètres!$C$7:$C$12,MATCH(INDEX(Effectif!$D$7:$D$21,MATCH(D226,Effectif!$C$7:$C$21,0)),Paramètres!$B$7:$B$12,0)),0),"")</f>
        <v/>
      </c>
      <c r="M226" s="1" t="n"/>
    </row>
    <row r="227">
      <c r="A227" s="1" t="n"/>
      <c r="B227" s="24" t="n">
        <v>221</v>
      </c>
      <c r="C227" s="25" t="n"/>
      <c r="D227" s="26" t="n"/>
      <c r="E227" s="26" t="n"/>
      <c r="F227" s="26" t="n"/>
      <c r="G227" s="27">
        <f>IF(F227="","",IFERROR(INDEX(Catalogue!$C$7:$C$19,MATCH(F227,Catalogue!$B$7:$B$19,0)),"#N/A"))</f>
        <v/>
      </c>
      <c r="H227" s="28" t="n"/>
      <c r="I227" s="29">
        <f>IF(OR(F227="",H227=""),"",IFERROR(H227*INDEX(Catalogue!$G$7:$G$19,MATCH(F227,Catalogue!$B$7:$B$19,0)),"#N/A"))</f>
        <v/>
      </c>
      <c r="J227" s="30">
        <f>IF(ISNUMBER(I227),I227-K227,"")</f>
        <v/>
      </c>
      <c r="K227" s="31">
        <f>IF(OR(F227="",H227=""),"",IFERROR(H227*INDEX(Catalogue!$F$7:$F$19,MATCH(F227,Catalogue!$B$7:$B$19,0)),"#N/A"))</f>
        <v/>
      </c>
      <c r="L227" s="31">
        <f>IF(ISNUMBER(J227),J227*IFERROR(INDEX(Paramètres!$C$7:$C$12,MATCH(INDEX(Effectif!$D$7:$D$21,MATCH(D227,Effectif!$C$7:$C$21,0)),Paramètres!$B$7:$B$12,0)),0),"")</f>
        <v/>
      </c>
      <c r="M227" s="1" t="n"/>
    </row>
    <row r="228">
      <c r="A228" s="1" t="n"/>
      <c r="B228" s="24" t="n">
        <v>222</v>
      </c>
      <c r="C228" s="25" t="n"/>
      <c r="D228" s="26" t="n"/>
      <c r="E228" s="26" t="n"/>
      <c r="F228" s="26" t="n"/>
      <c r="G228" s="27">
        <f>IF(F228="","",IFERROR(INDEX(Catalogue!$C$7:$C$19,MATCH(F228,Catalogue!$B$7:$B$19,0)),"#N/A"))</f>
        <v/>
      </c>
      <c r="H228" s="28" t="n"/>
      <c r="I228" s="29">
        <f>IF(OR(F228="",H228=""),"",IFERROR(H228*INDEX(Catalogue!$G$7:$G$19,MATCH(F228,Catalogue!$B$7:$B$19,0)),"#N/A"))</f>
        <v/>
      </c>
      <c r="J228" s="30">
        <f>IF(ISNUMBER(I228),I228-K228,"")</f>
        <v/>
      </c>
      <c r="K228" s="31">
        <f>IF(OR(F228="",H228=""),"",IFERROR(H228*INDEX(Catalogue!$F$7:$F$19,MATCH(F228,Catalogue!$B$7:$B$19,0)),"#N/A"))</f>
        <v/>
      </c>
      <c r="L228" s="31">
        <f>IF(ISNUMBER(J228),J228*IFERROR(INDEX(Paramètres!$C$7:$C$12,MATCH(INDEX(Effectif!$D$7:$D$21,MATCH(D228,Effectif!$C$7:$C$21,0)),Paramètres!$B$7:$B$12,0)),0),"")</f>
        <v/>
      </c>
      <c r="M228" s="1" t="n"/>
    </row>
    <row r="229">
      <c r="A229" s="1" t="n"/>
      <c r="B229" s="24" t="n">
        <v>223</v>
      </c>
      <c r="C229" s="25" t="n"/>
      <c r="D229" s="26" t="n"/>
      <c r="E229" s="26" t="n"/>
      <c r="F229" s="26" t="n"/>
      <c r="G229" s="27">
        <f>IF(F229="","",IFERROR(INDEX(Catalogue!$C$7:$C$19,MATCH(F229,Catalogue!$B$7:$B$19,0)),"#N/A"))</f>
        <v/>
      </c>
      <c r="H229" s="28" t="n"/>
      <c r="I229" s="29">
        <f>IF(OR(F229="",H229=""),"",IFERROR(H229*INDEX(Catalogue!$G$7:$G$19,MATCH(F229,Catalogue!$B$7:$B$19,0)),"#N/A"))</f>
        <v/>
      </c>
      <c r="J229" s="30">
        <f>IF(ISNUMBER(I229),I229-K229,"")</f>
        <v/>
      </c>
      <c r="K229" s="31">
        <f>IF(OR(F229="",H229=""),"",IFERROR(H229*INDEX(Catalogue!$F$7:$F$19,MATCH(F229,Catalogue!$B$7:$B$19,0)),"#N/A"))</f>
        <v/>
      </c>
      <c r="L229" s="31">
        <f>IF(ISNUMBER(J229),J229*IFERROR(INDEX(Paramètres!$C$7:$C$12,MATCH(INDEX(Effectif!$D$7:$D$21,MATCH(D229,Effectif!$C$7:$C$21,0)),Paramètres!$B$7:$B$12,0)),0),"")</f>
        <v/>
      </c>
      <c r="M229" s="1" t="n"/>
    </row>
    <row r="230">
      <c r="A230" s="1" t="n"/>
      <c r="B230" s="24" t="n">
        <v>224</v>
      </c>
      <c r="C230" s="25" t="n"/>
      <c r="D230" s="26" t="n"/>
      <c r="E230" s="26" t="n"/>
      <c r="F230" s="26" t="n"/>
      <c r="G230" s="27">
        <f>IF(F230="","",IFERROR(INDEX(Catalogue!$C$7:$C$19,MATCH(F230,Catalogue!$B$7:$B$19,0)),"#N/A"))</f>
        <v/>
      </c>
      <c r="H230" s="28" t="n"/>
      <c r="I230" s="29">
        <f>IF(OR(F230="",H230=""),"",IFERROR(H230*INDEX(Catalogue!$G$7:$G$19,MATCH(F230,Catalogue!$B$7:$B$19,0)),"#N/A"))</f>
        <v/>
      </c>
      <c r="J230" s="30">
        <f>IF(ISNUMBER(I230),I230-K230,"")</f>
        <v/>
      </c>
      <c r="K230" s="31">
        <f>IF(OR(F230="",H230=""),"",IFERROR(H230*INDEX(Catalogue!$F$7:$F$19,MATCH(F230,Catalogue!$B$7:$B$19,0)),"#N/A"))</f>
        <v/>
      </c>
      <c r="L230" s="31">
        <f>IF(ISNUMBER(J230),J230*IFERROR(INDEX(Paramètres!$C$7:$C$12,MATCH(INDEX(Effectif!$D$7:$D$21,MATCH(D230,Effectif!$C$7:$C$21,0)),Paramètres!$B$7:$B$12,0)),0),"")</f>
        <v/>
      </c>
      <c r="M230" s="1" t="n"/>
    </row>
    <row r="231">
      <c r="A231" s="1" t="n"/>
      <c r="B231" s="24" t="n">
        <v>225</v>
      </c>
      <c r="C231" s="25" t="n"/>
      <c r="D231" s="26" t="n"/>
      <c r="E231" s="26" t="n"/>
      <c r="F231" s="26" t="n"/>
      <c r="G231" s="27">
        <f>IF(F231="","",IFERROR(INDEX(Catalogue!$C$7:$C$19,MATCH(F231,Catalogue!$B$7:$B$19,0)),"#N/A"))</f>
        <v/>
      </c>
      <c r="H231" s="28" t="n"/>
      <c r="I231" s="29">
        <f>IF(OR(F231="",H231=""),"",IFERROR(H231*INDEX(Catalogue!$G$7:$G$19,MATCH(F231,Catalogue!$B$7:$B$19,0)),"#N/A"))</f>
        <v/>
      </c>
      <c r="J231" s="30">
        <f>IF(ISNUMBER(I231),I231-K231,"")</f>
        <v/>
      </c>
      <c r="K231" s="31">
        <f>IF(OR(F231="",H231=""),"",IFERROR(H231*INDEX(Catalogue!$F$7:$F$19,MATCH(F231,Catalogue!$B$7:$B$19,0)),"#N/A"))</f>
        <v/>
      </c>
      <c r="L231" s="31">
        <f>IF(ISNUMBER(J231),J231*IFERROR(INDEX(Paramètres!$C$7:$C$12,MATCH(INDEX(Effectif!$D$7:$D$21,MATCH(D231,Effectif!$C$7:$C$21,0)),Paramètres!$B$7:$B$12,0)),0),"")</f>
        <v/>
      </c>
      <c r="M231" s="1" t="n"/>
    </row>
    <row r="232">
      <c r="A232" s="1" t="n"/>
      <c r="B232" s="24" t="n">
        <v>226</v>
      </c>
      <c r="C232" s="25" t="n"/>
      <c r="D232" s="26" t="n"/>
      <c r="E232" s="26" t="n"/>
      <c r="F232" s="26" t="n"/>
      <c r="G232" s="27">
        <f>IF(F232="","",IFERROR(INDEX(Catalogue!$C$7:$C$19,MATCH(F232,Catalogue!$B$7:$B$19,0)),"#N/A"))</f>
        <v/>
      </c>
      <c r="H232" s="28" t="n"/>
      <c r="I232" s="29">
        <f>IF(OR(F232="",H232=""),"",IFERROR(H232*INDEX(Catalogue!$G$7:$G$19,MATCH(F232,Catalogue!$B$7:$B$19,0)),"#N/A"))</f>
        <v/>
      </c>
      <c r="J232" s="30">
        <f>IF(ISNUMBER(I232),I232-K232,"")</f>
        <v/>
      </c>
      <c r="K232" s="31">
        <f>IF(OR(F232="",H232=""),"",IFERROR(H232*INDEX(Catalogue!$F$7:$F$19,MATCH(F232,Catalogue!$B$7:$B$19,0)),"#N/A"))</f>
        <v/>
      </c>
      <c r="L232" s="31">
        <f>IF(ISNUMBER(J232),J232*IFERROR(INDEX(Paramètres!$C$7:$C$12,MATCH(INDEX(Effectif!$D$7:$D$21,MATCH(D232,Effectif!$C$7:$C$21,0)),Paramètres!$B$7:$B$12,0)),0),"")</f>
        <v/>
      </c>
      <c r="M232" s="1" t="n"/>
    </row>
    <row r="233">
      <c r="A233" s="1" t="n"/>
      <c r="B233" s="24" t="n">
        <v>227</v>
      </c>
      <c r="C233" s="25" t="n"/>
      <c r="D233" s="26" t="n"/>
      <c r="E233" s="26" t="n"/>
      <c r="F233" s="26" t="n"/>
      <c r="G233" s="27">
        <f>IF(F233="","",IFERROR(INDEX(Catalogue!$C$7:$C$19,MATCH(F233,Catalogue!$B$7:$B$19,0)),"#N/A"))</f>
        <v/>
      </c>
      <c r="H233" s="28" t="n"/>
      <c r="I233" s="29">
        <f>IF(OR(F233="",H233=""),"",IFERROR(H233*INDEX(Catalogue!$G$7:$G$19,MATCH(F233,Catalogue!$B$7:$B$19,0)),"#N/A"))</f>
        <v/>
      </c>
      <c r="J233" s="30">
        <f>IF(ISNUMBER(I233),I233-K233,"")</f>
        <v/>
      </c>
      <c r="K233" s="31">
        <f>IF(OR(F233="",H233=""),"",IFERROR(H233*INDEX(Catalogue!$F$7:$F$19,MATCH(F233,Catalogue!$B$7:$B$19,0)),"#N/A"))</f>
        <v/>
      </c>
      <c r="L233" s="31">
        <f>IF(ISNUMBER(J233),J233*IFERROR(INDEX(Paramètres!$C$7:$C$12,MATCH(INDEX(Effectif!$D$7:$D$21,MATCH(D233,Effectif!$C$7:$C$21,0)),Paramètres!$B$7:$B$12,0)),0),"")</f>
        <v/>
      </c>
      <c r="M233" s="1" t="n"/>
    </row>
    <row r="234">
      <c r="A234" s="1" t="n"/>
      <c r="B234" s="24" t="n">
        <v>228</v>
      </c>
      <c r="C234" s="25" t="n"/>
      <c r="D234" s="26" t="n"/>
      <c r="E234" s="26" t="n"/>
      <c r="F234" s="26" t="n"/>
      <c r="G234" s="27">
        <f>IF(F234="","",IFERROR(INDEX(Catalogue!$C$7:$C$19,MATCH(F234,Catalogue!$B$7:$B$19,0)),"#N/A"))</f>
        <v/>
      </c>
      <c r="H234" s="28" t="n"/>
      <c r="I234" s="29">
        <f>IF(OR(F234="",H234=""),"",IFERROR(H234*INDEX(Catalogue!$G$7:$G$19,MATCH(F234,Catalogue!$B$7:$B$19,0)),"#N/A"))</f>
        <v/>
      </c>
      <c r="J234" s="30">
        <f>IF(ISNUMBER(I234),I234-K234,"")</f>
        <v/>
      </c>
      <c r="K234" s="31">
        <f>IF(OR(F234="",H234=""),"",IFERROR(H234*INDEX(Catalogue!$F$7:$F$19,MATCH(F234,Catalogue!$B$7:$B$19,0)),"#N/A"))</f>
        <v/>
      </c>
      <c r="L234" s="31">
        <f>IF(ISNUMBER(J234),J234*IFERROR(INDEX(Paramètres!$C$7:$C$12,MATCH(INDEX(Effectif!$D$7:$D$21,MATCH(D234,Effectif!$C$7:$C$21,0)),Paramètres!$B$7:$B$12,0)),0),"")</f>
        <v/>
      </c>
      <c r="M234" s="1" t="n"/>
    </row>
    <row r="235">
      <c r="A235" s="1" t="n"/>
      <c r="B235" s="24" t="n">
        <v>229</v>
      </c>
      <c r="C235" s="25" t="n"/>
      <c r="D235" s="26" t="n"/>
      <c r="E235" s="26" t="n"/>
      <c r="F235" s="26" t="n"/>
      <c r="G235" s="27">
        <f>IF(F235="","",IFERROR(INDEX(Catalogue!$C$7:$C$19,MATCH(F235,Catalogue!$B$7:$B$19,0)),"#N/A"))</f>
        <v/>
      </c>
      <c r="H235" s="28" t="n"/>
      <c r="I235" s="29">
        <f>IF(OR(F235="",H235=""),"",IFERROR(H235*INDEX(Catalogue!$G$7:$G$19,MATCH(F235,Catalogue!$B$7:$B$19,0)),"#N/A"))</f>
        <v/>
      </c>
      <c r="J235" s="30">
        <f>IF(ISNUMBER(I235),I235-K235,"")</f>
        <v/>
      </c>
      <c r="K235" s="31">
        <f>IF(OR(F235="",H235=""),"",IFERROR(H235*INDEX(Catalogue!$F$7:$F$19,MATCH(F235,Catalogue!$B$7:$B$19,0)),"#N/A"))</f>
        <v/>
      </c>
      <c r="L235" s="31">
        <f>IF(ISNUMBER(J235),J235*IFERROR(INDEX(Paramètres!$C$7:$C$12,MATCH(INDEX(Effectif!$D$7:$D$21,MATCH(D235,Effectif!$C$7:$C$21,0)),Paramètres!$B$7:$B$12,0)),0),"")</f>
        <v/>
      </c>
      <c r="M235" s="1" t="n"/>
    </row>
    <row r="236">
      <c r="A236" s="1" t="n"/>
      <c r="B236" s="24" t="n">
        <v>230</v>
      </c>
      <c r="C236" s="25" t="n"/>
      <c r="D236" s="26" t="n"/>
      <c r="E236" s="26" t="n"/>
      <c r="F236" s="26" t="n"/>
      <c r="G236" s="27">
        <f>IF(F236="","",IFERROR(INDEX(Catalogue!$C$7:$C$19,MATCH(F236,Catalogue!$B$7:$B$19,0)),"#N/A"))</f>
        <v/>
      </c>
      <c r="H236" s="28" t="n"/>
      <c r="I236" s="29">
        <f>IF(OR(F236="",H236=""),"",IFERROR(H236*INDEX(Catalogue!$G$7:$G$19,MATCH(F236,Catalogue!$B$7:$B$19,0)),"#N/A"))</f>
        <v/>
      </c>
      <c r="J236" s="30">
        <f>IF(ISNUMBER(I236),I236-K236,"")</f>
        <v/>
      </c>
      <c r="K236" s="31">
        <f>IF(OR(F236="",H236=""),"",IFERROR(H236*INDEX(Catalogue!$F$7:$F$19,MATCH(F236,Catalogue!$B$7:$B$19,0)),"#N/A"))</f>
        <v/>
      </c>
      <c r="L236" s="31">
        <f>IF(ISNUMBER(J236),J236*IFERROR(INDEX(Paramètres!$C$7:$C$12,MATCH(INDEX(Effectif!$D$7:$D$21,MATCH(D236,Effectif!$C$7:$C$21,0)),Paramètres!$B$7:$B$12,0)),0),"")</f>
        <v/>
      </c>
      <c r="M236" s="1" t="n"/>
    </row>
    <row r="237">
      <c r="A237" s="1" t="n"/>
      <c r="B237" s="24" t="n">
        <v>231</v>
      </c>
      <c r="C237" s="25" t="n"/>
      <c r="D237" s="26" t="n"/>
      <c r="E237" s="26" t="n"/>
      <c r="F237" s="26" t="n"/>
      <c r="G237" s="27">
        <f>IF(F237="","",IFERROR(INDEX(Catalogue!$C$7:$C$19,MATCH(F237,Catalogue!$B$7:$B$19,0)),"#N/A"))</f>
        <v/>
      </c>
      <c r="H237" s="28" t="n"/>
      <c r="I237" s="29">
        <f>IF(OR(F237="",H237=""),"",IFERROR(H237*INDEX(Catalogue!$G$7:$G$19,MATCH(F237,Catalogue!$B$7:$B$19,0)),"#N/A"))</f>
        <v/>
      </c>
      <c r="J237" s="30">
        <f>IF(ISNUMBER(I237),I237-K237,"")</f>
        <v/>
      </c>
      <c r="K237" s="31">
        <f>IF(OR(F237="",H237=""),"",IFERROR(H237*INDEX(Catalogue!$F$7:$F$19,MATCH(F237,Catalogue!$B$7:$B$19,0)),"#N/A"))</f>
        <v/>
      </c>
      <c r="L237" s="31">
        <f>IF(ISNUMBER(J237),J237*IFERROR(INDEX(Paramètres!$C$7:$C$12,MATCH(INDEX(Effectif!$D$7:$D$21,MATCH(D237,Effectif!$C$7:$C$21,0)),Paramètres!$B$7:$B$12,0)),0),"")</f>
        <v/>
      </c>
      <c r="M237" s="1" t="n"/>
    </row>
    <row r="238">
      <c r="A238" s="1" t="n"/>
      <c r="B238" s="24" t="n">
        <v>232</v>
      </c>
      <c r="C238" s="25" t="n"/>
      <c r="D238" s="26" t="n"/>
      <c r="E238" s="26" t="n"/>
      <c r="F238" s="26" t="n"/>
      <c r="G238" s="27">
        <f>IF(F238="","",IFERROR(INDEX(Catalogue!$C$7:$C$19,MATCH(F238,Catalogue!$B$7:$B$19,0)),"#N/A"))</f>
        <v/>
      </c>
      <c r="H238" s="28" t="n"/>
      <c r="I238" s="29">
        <f>IF(OR(F238="",H238=""),"",IFERROR(H238*INDEX(Catalogue!$G$7:$G$19,MATCH(F238,Catalogue!$B$7:$B$19,0)),"#N/A"))</f>
        <v/>
      </c>
      <c r="J238" s="30">
        <f>IF(ISNUMBER(I238),I238-K238,"")</f>
        <v/>
      </c>
      <c r="K238" s="31">
        <f>IF(OR(F238="",H238=""),"",IFERROR(H238*INDEX(Catalogue!$F$7:$F$19,MATCH(F238,Catalogue!$B$7:$B$19,0)),"#N/A"))</f>
        <v/>
      </c>
      <c r="L238" s="31">
        <f>IF(ISNUMBER(J238),J238*IFERROR(INDEX(Paramètres!$C$7:$C$12,MATCH(INDEX(Effectif!$D$7:$D$21,MATCH(D238,Effectif!$C$7:$C$21,0)),Paramètres!$B$7:$B$12,0)),0),"")</f>
        <v/>
      </c>
      <c r="M238" s="1" t="n"/>
    </row>
    <row r="239">
      <c r="A239" s="1" t="n"/>
      <c r="B239" s="24" t="n">
        <v>233</v>
      </c>
      <c r="C239" s="25" t="n"/>
      <c r="D239" s="26" t="n"/>
      <c r="E239" s="26" t="n"/>
      <c r="F239" s="26" t="n"/>
      <c r="G239" s="27">
        <f>IF(F239="","",IFERROR(INDEX(Catalogue!$C$7:$C$19,MATCH(F239,Catalogue!$B$7:$B$19,0)),"#N/A"))</f>
        <v/>
      </c>
      <c r="H239" s="28" t="n"/>
      <c r="I239" s="29">
        <f>IF(OR(F239="",H239=""),"",IFERROR(H239*INDEX(Catalogue!$G$7:$G$19,MATCH(F239,Catalogue!$B$7:$B$19,0)),"#N/A"))</f>
        <v/>
      </c>
      <c r="J239" s="30">
        <f>IF(ISNUMBER(I239),I239-K239,"")</f>
        <v/>
      </c>
      <c r="K239" s="31">
        <f>IF(OR(F239="",H239=""),"",IFERROR(H239*INDEX(Catalogue!$F$7:$F$19,MATCH(F239,Catalogue!$B$7:$B$19,0)),"#N/A"))</f>
        <v/>
      </c>
      <c r="L239" s="31">
        <f>IF(ISNUMBER(J239),J239*IFERROR(INDEX(Paramètres!$C$7:$C$12,MATCH(INDEX(Effectif!$D$7:$D$21,MATCH(D239,Effectif!$C$7:$C$21,0)),Paramètres!$B$7:$B$12,0)),0),"")</f>
        <v/>
      </c>
      <c r="M239" s="1" t="n"/>
    </row>
    <row r="240">
      <c r="A240" s="1" t="n"/>
      <c r="B240" s="24" t="n">
        <v>234</v>
      </c>
      <c r="C240" s="25" t="n"/>
      <c r="D240" s="26" t="n"/>
      <c r="E240" s="26" t="n"/>
      <c r="F240" s="26" t="n"/>
      <c r="G240" s="27">
        <f>IF(F240="","",IFERROR(INDEX(Catalogue!$C$7:$C$19,MATCH(F240,Catalogue!$B$7:$B$19,0)),"#N/A"))</f>
        <v/>
      </c>
      <c r="H240" s="28" t="n"/>
      <c r="I240" s="29">
        <f>IF(OR(F240="",H240=""),"",IFERROR(H240*INDEX(Catalogue!$G$7:$G$19,MATCH(F240,Catalogue!$B$7:$B$19,0)),"#N/A"))</f>
        <v/>
      </c>
      <c r="J240" s="30">
        <f>IF(ISNUMBER(I240),I240-K240,"")</f>
        <v/>
      </c>
      <c r="K240" s="31">
        <f>IF(OR(F240="",H240=""),"",IFERROR(H240*INDEX(Catalogue!$F$7:$F$19,MATCH(F240,Catalogue!$B$7:$B$19,0)),"#N/A"))</f>
        <v/>
      </c>
      <c r="L240" s="31">
        <f>IF(ISNUMBER(J240),J240*IFERROR(INDEX(Paramètres!$C$7:$C$12,MATCH(INDEX(Effectif!$D$7:$D$21,MATCH(D240,Effectif!$C$7:$C$21,0)),Paramètres!$B$7:$B$12,0)),0),"")</f>
        <v/>
      </c>
      <c r="M240" s="1" t="n"/>
    </row>
    <row r="241">
      <c r="A241" s="1" t="n"/>
      <c r="B241" s="24" t="n">
        <v>235</v>
      </c>
      <c r="C241" s="25" t="n"/>
      <c r="D241" s="26" t="n"/>
      <c r="E241" s="26" t="n"/>
      <c r="F241" s="26" t="n"/>
      <c r="G241" s="27">
        <f>IF(F241="","",IFERROR(INDEX(Catalogue!$C$7:$C$19,MATCH(F241,Catalogue!$B$7:$B$19,0)),"#N/A"))</f>
        <v/>
      </c>
      <c r="H241" s="28" t="n"/>
      <c r="I241" s="29">
        <f>IF(OR(F241="",H241=""),"",IFERROR(H241*INDEX(Catalogue!$G$7:$G$19,MATCH(F241,Catalogue!$B$7:$B$19,0)),"#N/A"))</f>
        <v/>
      </c>
      <c r="J241" s="30">
        <f>IF(ISNUMBER(I241),I241-K241,"")</f>
        <v/>
      </c>
      <c r="K241" s="31">
        <f>IF(OR(F241="",H241=""),"",IFERROR(H241*INDEX(Catalogue!$F$7:$F$19,MATCH(F241,Catalogue!$B$7:$B$19,0)),"#N/A"))</f>
        <v/>
      </c>
      <c r="L241" s="31">
        <f>IF(ISNUMBER(J241),J241*IFERROR(INDEX(Paramètres!$C$7:$C$12,MATCH(INDEX(Effectif!$D$7:$D$21,MATCH(D241,Effectif!$C$7:$C$21,0)),Paramètres!$B$7:$B$12,0)),0),"")</f>
        <v/>
      </c>
      <c r="M241" s="1" t="n"/>
    </row>
    <row r="242">
      <c r="A242" s="1" t="n"/>
      <c r="B242" s="24" t="n">
        <v>236</v>
      </c>
      <c r="C242" s="25" t="n"/>
      <c r="D242" s="26" t="n"/>
      <c r="E242" s="26" t="n"/>
      <c r="F242" s="26" t="n"/>
      <c r="G242" s="27">
        <f>IF(F242="","",IFERROR(INDEX(Catalogue!$C$7:$C$19,MATCH(F242,Catalogue!$B$7:$B$19,0)),"#N/A"))</f>
        <v/>
      </c>
      <c r="H242" s="28" t="n"/>
      <c r="I242" s="29">
        <f>IF(OR(F242="",H242=""),"",IFERROR(H242*INDEX(Catalogue!$G$7:$G$19,MATCH(F242,Catalogue!$B$7:$B$19,0)),"#N/A"))</f>
        <v/>
      </c>
      <c r="J242" s="30">
        <f>IF(ISNUMBER(I242),I242-K242,"")</f>
        <v/>
      </c>
      <c r="K242" s="31">
        <f>IF(OR(F242="",H242=""),"",IFERROR(H242*INDEX(Catalogue!$F$7:$F$19,MATCH(F242,Catalogue!$B$7:$B$19,0)),"#N/A"))</f>
        <v/>
      </c>
      <c r="L242" s="31">
        <f>IF(ISNUMBER(J242),J242*IFERROR(INDEX(Paramètres!$C$7:$C$12,MATCH(INDEX(Effectif!$D$7:$D$21,MATCH(D242,Effectif!$C$7:$C$21,0)),Paramètres!$B$7:$B$12,0)),0),"")</f>
        <v/>
      </c>
      <c r="M242" s="1" t="n"/>
    </row>
    <row r="243">
      <c r="A243" s="1" t="n"/>
      <c r="B243" s="24" t="n">
        <v>237</v>
      </c>
      <c r="C243" s="25" t="n"/>
      <c r="D243" s="26" t="n"/>
      <c r="E243" s="26" t="n"/>
      <c r="F243" s="26" t="n"/>
      <c r="G243" s="27">
        <f>IF(F243="","",IFERROR(INDEX(Catalogue!$C$7:$C$19,MATCH(F243,Catalogue!$B$7:$B$19,0)),"#N/A"))</f>
        <v/>
      </c>
      <c r="H243" s="28" t="n"/>
      <c r="I243" s="29">
        <f>IF(OR(F243="",H243=""),"",IFERROR(H243*INDEX(Catalogue!$G$7:$G$19,MATCH(F243,Catalogue!$B$7:$B$19,0)),"#N/A"))</f>
        <v/>
      </c>
      <c r="J243" s="30">
        <f>IF(ISNUMBER(I243),I243-K243,"")</f>
        <v/>
      </c>
      <c r="K243" s="31">
        <f>IF(OR(F243="",H243=""),"",IFERROR(H243*INDEX(Catalogue!$F$7:$F$19,MATCH(F243,Catalogue!$B$7:$B$19,0)),"#N/A"))</f>
        <v/>
      </c>
      <c r="L243" s="31">
        <f>IF(ISNUMBER(J243),J243*IFERROR(INDEX(Paramètres!$C$7:$C$12,MATCH(INDEX(Effectif!$D$7:$D$21,MATCH(D243,Effectif!$C$7:$C$21,0)),Paramètres!$B$7:$B$12,0)),0),"")</f>
        <v/>
      </c>
      <c r="M243" s="1" t="n"/>
    </row>
    <row r="244">
      <c r="A244" s="1" t="n"/>
      <c r="B244" s="24" t="n">
        <v>238</v>
      </c>
      <c r="C244" s="25" t="n"/>
      <c r="D244" s="26" t="n"/>
      <c r="E244" s="26" t="n"/>
      <c r="F244" s="26" t="n"/>
      <c r="G244" s="27">
        <f>IF(F244="","",IFERROR(INDEX(Catalogue!$C$7:$C$19,MATCH(F244,Catalogue!$B$7:$B$19,0)),"#N/A"))</f>
        <v/>
      </c>
      <c r="H244" s="28" t="n"/>
      <c r="I244" s="29">
        <f>IF(OR(F244="",H244=""),"",IFERROR(H244*INDEX(Catalogue!$G$7:$G$19,MATCH(F244,Catalogue!$B$7:$B$19,0)),"#N/A"))</f>
        <v/>
      </c>
      <c r="J244" s="30">
        <f>IF(ISNUMBER(I244),I244-K244,"")</f>
        <v/>
      </c>
      <c r="K244" s="31">
        <f>IF(OR(F244="",H244=""),"",IFERROR(H244*INDEX(Catalogue!$F$7:$F$19,MATCH(F244,Catalogue!$B$7:$B$19,0)),"#N/A"))</f>
        <v/>
      </c>
      <c r="L244" s="31">
        <f>IF(ISNUMBER(J244),J244*IFERROR(INDEX(Paramètres!$C$7:$C$12,MATCH(INDEX(Effectif!$D$7:$D$21,MATCH(D244,Effectif!$C$7:$C$21,0)),Paramètres!$B$7:$B$12,0)),0),"")</f>
        <v/>
      </c>
      <c r="M244" s="1" t="n"/>
    </row>
    <row r="245">
      <c r="A245" s="1" t="n"/>
      <c r="B245" s="24" t="n">
        <v>239</v>
      </c>
      <c r="C245" s="25" t="n"/>
      <c r="D245" s="26" t="n"/>
      <c r="E245" s="26" t="n"/>
      <c r="F245" s="26" t="n"/>
      <c r="G245" s="27">
        <f>IF(F245="","",IFERROR(INDEX(Catalogue!$C$7:$C$19,MATCH(F245,Catalogue!$B$7:$B$19,0)),"#N/A"))</f>
        <v/>
      </c>
      <c r="H245" s="28" t="n"/>
      <c r="I245" s="29">
        <f>IF(OR(F245="",H245=""),"",IFERROR(H245*INDEX(Catalogue!$G$7:$G$19,MATCH(F245,Catalogue!$B$7:$B$19,0)),"#N/A"))</f>
        <v/>
      </c>
      <c r="J245" s="30">
        <f>IF(ISNUMBER(I245),I245-K245,"")</f>
        <v/>
      </c>
      <c r="K245" s="31">
        <f>IF(OR(F245="",H245=""),"",IFERROR(H245*INDEX(Catalogue!$F$7:$F$19,MATCH(F245,Catalogue!$B$7:$B$19,0)),"#N/A"))</f>
        <v/>
      </c>
      <c r="L245" s="31">
        <f>IF(ISNUMBER(J245),J245*IFERROR(INDEX(Paramètres!$C$7:$C$12,MATCH(INDEX(Effectif!$D$7:$D$21,MATCH(D245,Effectif!$C$7:$C$21,0)),Paramètres!$B$7:$B$12,0)),0),"")</f>
        <v/>
      </c>
      <c r="M245" s="1" t="n"/>
    </row>
    <row r="246">
      <c r="A246" s="1" t="n"/>
      <c r="B246" s="24" t="n">
        <v>240</v>
      </c>
      <c r="C246" s="25" t="n"/>
      <c r="D246" s="26" t="n"/>
      <c r="E246" s="26" t="n"/>
      <c r="F246" s="26" t="n"/>
      <c r="G246" s="27">
        <f>IF(F246="","",IFERROR(INDEX(Catalogue!$C$7:$C$19,MATCH(F246,Catalogue!$B$7:$B$19,0)),"#N/A"))</f>
        <v/>
      </c>
      <c r="H246" s="28" t="n"/>
      <c r="I246" s="29">
        <f>IF(OR(F246="",H246=""),"",IFERROR(H246*INDEX(Catalogue!$G$7:$G$19,MATCH(F246,Catalogue!$B$7:$B$19,0)),"#N/A"))</f>
        <v/>
      </c>
      <c r="J246" s="30">
        <f>IF(ISNUMBER(I246),I246-K246,"")</f>
        <v/>
      </c>
      <c r="K246" s="31">
        <f>IF(OR(F246="",H246=""),"",IFERROR(H246*INDEX(Catalogue!$F$7:$F$19,MATCH(F246,Catalogue!$B$7:$B$19,0)),"#N/A"))</f>
        <v/>
      </c>
      <c r="L246" s="31">
        <f>IF(ISNUMBER(J246),J246*IFERROR(INDEX(Paramètres!$C$7:$C$12,MATCH(INDEX(Effectif!$D$7:$D$21,MATCH(D246,Effectif!$C$7:$C$21,0)),Paramètres!$B$7:$B$12,0)),0),"")</f>
        <v/>
      </c>
      <c r="M246" s="1" t="n"/>
    </row>
    <row r="247">
      <c r="A247" s="1" t="n"/>
      <c r="B247" s="24" t="n">
        <v>241</v>
      </c>
      <c r="C247" s="25" t="n"/>
      <c r="D247" s="26" t="n"/>
      <c r="E247" s="26" t="n"/>
      <c r="F247" s="26" t="n"/>
      <c r="G247" s="27">
        <f>IF(F247="","",IFERROR(INDEX(Catalogue!$C$7:$C$19,MATCH(F247,Catalogue!$B$7:$B$19,0)),"#N/A"))</f>
        <v/>
      </c>
      <c r="H247" s="28" t="n"/>
      <c r="I247" s="29">
        <f>IF(OR(F247="",H247=""),"",IFERROR(H247*INDEX(Catalogue!$G$7:$G$19,MATCH(F247,Catalogue!$B$7:$B$19,0)),"#N/A"))</f>
        <v/>
      </c>
      <c r="J247" s="30">
        <f>IF(ISNUMBER(I247),I247-K247,"")</f>
        <v/>
      </c>
      <c r="K247" s="31">
        <f>IF(OR(F247="",H247=""),"",IFERROR(H247*INDEX(Catalogue!$F$7:$F$19,MATCH(F247,Catalogue!$B$7:$B$19,0)),"#N/A"))</f>
        <v/>
      </c>
      <c r="L247" s="31">
        <f>IF(ISNUMBER(J247),J247*IFERROR(INDEX(Paramètres!$C$7:$C$12,MATCH(INDEX(Effectif!$D$7:$D$21,MATCH(D247,Effectif!$C$7:$C$21,0)),Paramètres!$B$7:$B$12,0)),0),"")</f>
        <v/>
      </c>
      <c r="M247" s="1" t="n"/>
    </row>
    <row r="248">
      <c r="A248" s="1" t="n"/>
      <c r="B248" s="24" t="n">
        <v>242</v>
      </c>
      <c r="C248" s="25" t="n"/>
      <c r="D248" s="26" t="n"/>
      <c r="E248" s="26" t="n"/>
      <c r="F248" s="26" t="n"/>
      <c r="G248" s="27">
        <f>IF(F248="","",IFERROR(INDEX(Catalogue!$C$7:$C$19,MATCH(F248,Catalogue!$B$7:$B$19,0)),"#N/A"))</f>
        <v/>
      </c>
      <c r="H248" s="28" t="n"/>
      <c r="I248" s="29">
        <f>IF(OR(F248="",H248=""),"",IFERROR(H248*INDEX(Catalogue!$G$7:$G$19,MATCH(F248,Catalogue!$B$7:$B$19,0)),"#N/A"))</f>
        <v/>
      </c>
      <c r="J248" s="30">
        <f>IF(ISNUMBER(I248),I248-K248,"")</f>
        <v/>
      </c>
      <c r="K248" s="31">
        <f>IF(OR(F248="",H248=""),"",IFERROR(H248*INDEX(Catalogue!$F$7:$F$19,MATCH(F248,Catalogue!$B$7:$B$19,0)),"#N/A"))</f>
        <v/>
      </c>
      <c r="L248" s="31">
        <f>IF(ISNUMBER(J248),J248*IFERROR(INDEX(Paramètres!$C$7:$C$12,MATCH(INDEX(Effectif!$D$7:$D$21,MATCH(D248,Effectif!$C$7:$C$21,0)),Paramètres!$B$7:$B$12,0)),0),"")</f>
        <v/>
      </c>
      <c r="M248" s="1" t="n"/>
    </row>
    <row r="249">
      <c r="A249" s="1" t="n"/>
      <c r="B249" s="24" t="n">
        <v>243</v>
      </c>
      <c r="C249" s="25" t="n"/>
      <c r="D249" s="26" t="n"/>
      <c r="E249" s="26" t="n"/>
      <c r="F249" s="26" t="n"/>
      <c r="G249" s="27">
        <f>IF(F249="","",IFERROR(INDEX(Catalogue!$C$7:$C$19,MATCH(F249,Catalogue!$B$7:$B$19,0)),"#N/A"))</f>
        <v/>
      </c>
      <c r="H249" s="28" t="n"/>
      <c r="I249" s="29">
        <f>IF(OR(F249="",H249=""),"",IFERROR(H249*INDEX(Catalogue!$G$7:$G$19,MATCH(F249,Catalogue!$B$7:$B$19,0)),"#N/A"))</f>
        <v/>
      </c>
      <c r="J249" s="30">
        <f>IF(ISNUMBER(I249),I249-K249,"")</f>
        <v/>
      </c>
      <c r="K249" s="31">
        <f>IF(OR(F249="",H249=""),"",IFERROR(H249*INDEX(Catalogue!$F$7:$F$19,MATCH(F249,Catalogue!$B$7:$B$19,0)),"#N/A"))</f>
        <v/>
      </c>
      <c r="L249" s="31">
        <f>IF(ISNUMBER(J249),J249*IFERROR(INDEX(Paramètres!$C$7:$C$12,MATCH(INDEX(Effectif!$D$7:$D$21,MATCH(D249,Effectif!$C$7:$C$21,0)),Paramètres!$B$7:$B$12,0)),0),"")</f>
        <v/>
      </c>
      <c r="M249" s="1" t="n"/>
    </row>
    <row r="250">
      <c r="A250" s="1" t="n"/>
      <c r="B250" s="24" t="n">
        <v>244</v>
      </c>
      <c r="C250" s="25" t="n"/>
      <c r="D250" s="26" t="n"/>
      <c r="E250" s="26" t="n"/>
      <c r="F250" s="26" t="n"/>
      <c r="G250" s="27">
        <f>IF(F250="","",IFERROR(INDEX(Catalogue!$C$7:$C$19,MATCH(F250,Catalogue!$B$7:$B$19,0)),"#N/A"))</f>
        <v/>
      </c>
      <c r="H250" s="28" t="n"/>
      <c r="I250" s="29">
        <f>IF(OR(F250="",H250=""),"",IFERROR(H250*INDEX(Catalogue!$G$7:$G$19,MATCH(F250,Catalogue!$B$7:$B$19,0)),"#N/A"))</f>
        <v/>
      </c>
      <c r="J250" s="30">
        <f>IF(ISNUMBER(I250),I250-K250,"")</f>
        <v/>
      </c>
      <c r="K250" s="31">
        <f>IF(OR(F250="",H250=""),"",IFERROR(H250*INDEX(Catalogue!$F$7:$F$19,MATCH(F250,Catalogue!$B$7:$B$19,0)),"#N/A"))</f>
        <v/>
      </c>
      <c r="L250" s="31">
        <f>IF(ISNUMBER(J250),J250*IFERROR(INDEX(Paramètres!$C$7:$C$12,MATCH(INDEX(Effectif!$D$7:$D$21,MATCH(D250,Effectif!$C$7:$C$21,0)),Paramètres!$B$7:$B$12,0)),0),"")</f>
        <v/>
      </c>
      <c r="M250" s="1" t="n"/>
    </row>
    <row r="251">
      <c r="A251" s="1" t="n"/>
      <c r="B251" s="24" t="n">
        <v>245</v>
      </c>
      <c r="C251" s="25" t="n"/>
      <c r="D251" s="26" t="n"/>
      <c r="E251" s="26" t="n"/>
      <c r="F251" s="26" t="n"/>
      <c r="G251" s="27">
        <f>IF(F251="","",IFERROR(INDEX(Catalogue!$C$7:$C$19,MATCH(F251,Catalogue!$B$7:$B$19,0)),"#N/A"))</f>
        <v/>
      </c>
      <c r="H251" s="28" t="n"/>
      <c r="I251" s="29">
        <f>IF(OR(F251="",H251=""),"",IFERROR(H251*INDEX(Catalogue!$G$7:$G$19,MATCH(F251,Catalogue!$B$7:$B$19,0)),"#N/A"))</f>
        <v/>
      </c>
      <c r="J251" s="30">
        <f>IF(ISNUMBER(I251),I251-K251,"")</f>
        <v/>
      </c>
      <c r="K251" s="31">
        <f>IF(OR(F251="",H251=""),"",IFERROR(H251*INDEX(Catalogue!$F$7:$F$19,MATCH(F251,Catalogue!$B$7:$B$19,0)),"#N/A"))</f>
        <v/>
      </c>
      <c r="L251" s="31">
        <f>IF(ISNUMBER(J251),J251*IFERROR(INDEX(Paramètres!$C$7:$C$12,MATCH(INDEX(Effectif!$D$7:$D$21,MATCH(D251,Effectif!$C$7:$C$21,0)),Paramètres!$B$7:$B$12,0)),0),"")</f>
        <v/>
      </c>
      <c r="M251" s="1" t="n"/>
    </row>
    <row r="252">
      <c r="A252" s="1" t="n"/>
      <c r="B252" s="24" t="n">
        <v>246</v>
      </c>
      <c r="C252" s="25" t="n"/>
      <c r="D252" s="26" t="n"/>
      <c r="E252" s="26" t="n"/>
      <c r="F252" s="26" t="n"/>
      <c r="G252" s="27">
        <f>IF(F252="","",IFERROR(INDEX(Catalogue!$C$7:$C$19,MATCH(F252,Catalogue!$B$7:$B$19,0)),"#N/A"))</f>
        <v/>
      </c>
      <c r="H252" s="28" t="n"/>
      <c r="I252" s="29">
        <f>IF(OR(F252="",H252=""),"",IFERROR(H252*INDEX(Catalogue!$G$7:$G$19,MATCH(F252,Catalogue!$B$7:$B$19,0)),"#N/A"))</f>
        <v/>
      </c>
      <c r="J252" s="30">
        <f>IF(ISNUMBER(I252),I252-K252,"")</f>
        <v/>
      </c>
      <c r="K252" s="31">
        <f>IF(OR(F252="",H252=""),"",IFERROR(H252*INDEX(Catalogue!$F$7:$F$19,MATCH(F252,Catalogue!$B$7:$B$19,0)),"#N/A"))</f>
        <v/>
      </c>
      <c r="L252" s="31">
        <f>IF(ISNUMBER(J252),J252*IFERROR(INDEX(Paramètres!$C$7:$C$12,MATCH(INDEX(Effectif!$D$7:$D$21,MATCH(D252,Effectif!$C$7:$C$21,0)),Paramètres!$B$7:$B$12,0)),0),"")</f>
        <v/>
      </c>
      <c r="M252" s="1" t="n"/>
    </row>
    <row r="253">
      <c r="A253" s="1" t="n"/>
      <c r="B253" s="24" t="n">
        <v>247</v>
      </c>
      <c r="C253" s="25" t="n"/>
      <c r="D253" s="26" t="n"/>
      <c r="E253" s="26" t="n"/>
      <c r="F253" s="26" t="n"/>
      <c r="G253" s="27">
        <f>IF(F253="","",IFERROR(INDEX(Catalogue!$C$7:$C$19,MATCH(F253,Catalogue!$B$7:$B$19,0)),"#N/A"))</f>
        <v/>
      </c>
      <c r="H253" s="28" t="n"/>
      <c r="I253" s="29">
        <f>IF(OR(F253="",H253=""),"",IFERROR(H253*INDEX(Catalogue!$G$7:$G$19,MATCH(F253,Catalogue!$B$7:$B$19,0)),"#N/A"))</f>
        <v/>
      </c>
      <c r="J253" s="30">
        <f>IF(ISNUMBER(I253),I253-K253,"")</f>
        <v/>
      </c>
      <c r="K253" s="31">
        <f>IF(OR(F253="",H253=""),"",IFERROR(H253*INDEX(Catalogue!$F$7:$F$19,MATCH(F253,Catalogue!$B$7:$B$19,0)),"#N/A"))</f>
        <v/>
      </c>
      <c r="L253" s="31">
        <f>IF(ISNUMBER(J253),J253*IFERROR(INDEX(Paramètres!$C$7:$C$12,MATCH(INDEX(Effectif!$D$7:$D$21,MATCH(D253,Effectif!$C$7:$C$21,0)),Paramètres!$B$7:$B$12,0)),0),"")</f>
        <v/>
      </c>
      <c r="M253" s="1" t="n"/>
    </row>
    <row r="254">
      <c r="A254" s="1" t="n"/>
      <c r="B254" s="24" t="n">
        <v>248</v>
      </c>
      <c r="C254" s="25" t="n"/>
      <c r="D254" s="26" t="n"/>
      <c r="E254" s="26" t="n"/>
      <c r="F254" s="26" t="n"/>
      <c r="G254" s="27">
        <f>IF(F254="","",IFERROR(INDEX(Catalogue!$C$7:$C$19,MATCH(F254,Catalogue!$B$7:$B$19,0)),"#N/A"))</f>
        <v/>
      </c>
      <c r="H254" s="28" t="n"/>
      <c r="I254" s="29">
        <f>IF(OR(F254="",H254=""),"",IFERROR(H254*INDEX(Catalogue!$G$7:$G$19,MATCH(F254,Catalogue!$B$7:$B$19,0)),"#N/A"))</f>
        <v/>
      </c>
      <c r="J254" s="30">
        <f>IF(ISNUMBER(I254),I254-K254,"")</f>
        <v/>
      </c>
      <c r="K254" s="31">
        <f>IF(OR(F254="",H254=""),"",IFERROR(H254*INDEX(Catalogue!$F$7:$F$19,MATCH(F254,Catalogue!$B$7:$B$19,0)),"#N/A"))</f>
        <v/>
      </c>
      <c r="L254" s="31">
        <f>IF(ISNUMBER(J254),J254*IFERROR(INDEX(Paramètres!$C$7:$C$12,MATCH(INDEX(Effectif!$D$7:$D$21,MATCH(D254,Effectif!$C$7:$C$21,0)),Paramètres!$B$7:$B$12,0)),0),"")</f>
        <v/>
      </c>
      <c r="M254" s="1" t="n"/>
    </row>
    <row r="255">
      <c r="A255" s="1" t="n"/>
      <c r="B255" s="24" t="n">
        <v>249</v>
      </c>
      <c r="C255" s="25" t="n"/>
      <c r="D255" s="26" t="n"/>
      <c r="E255" s="26" t="n"/>
      <c r="F255" s="26" t="n"/>
      <c r="G255" s="27">
        <f>IF(F255="","",IFERROR(INDEX(Catalogue!$C$7:$C$19,MATCH(F255,Catalogue!$B$7:$B$19,0)),"#N/A"))</f>
        <v/>
      </c>
      <c r="H255" s="28" t="n"/>
      <c r="I255" s="29">
        <f>IF(OR(F255="",H255=""),"",IFERROR(H255*INDEX(Catalogue!$G$7:$G$19,MATCH(F255,Catalogue!$B$7:$B$19,0)),"#N/A"))</f>
        <v/>
      </c>
      <c r="J255" s="30">
        <f>IF(ISNUMBER(I255),I255-K255,"")</f>
        <v/>
      </c>
      <c r="K255" s="31">
        <f>IF(OR(F255="",H255=""),"",IFERROR(H255*INDEX(Catalogue!$F$7:$F$19,MATCH(F255,Catalogue!$B$7:$B$19,0)),"#N/A"))</f>
        <v/>
      </c>
      <c r="L255" s="31">
        <f>IF(ISNUMBER(J255),J255*IFERROR(INDEX(Paramètres!$C$7:$C$12,MATCH(INDEX(Effectif!$D$7:$D$21,MATCH(D255,Effectif!$C$7:$C$21,0)),Paramètres!$B$7:$B$12,0)),0),"")</f>
        <v/>
      </c>
      <c r="M255" s="1" t="n"/>
    </row>
    <row r="256">
      <c r="A256" s="1" t="n"/>
      <c r="B256" s="24" t="n">
        <v>250</v>
      </c>
      <c r="C256" s="25" t="n"/>
      <c r="D256" s="26" t="n"/>
      <c r="E256" s="26" t="n"/>
      <c r="F256" s="26" t="n"/>
      <c r="G256" s="27">
        <f>IF(F256="","",IFERROR(INDEX(Catalogue!$C$7:$C$19,MATCH(F256,Catalogue!$B$7:$B$19,0)),"#N/A"))</f>
        <v/>
      </c>
      <c r="H256" s="28" t="n"/>
      <c r="I256" s="29">
        <f>IF(OR(F256="",H256=""),"",IFERROR(H256*INDEX(Catalogue!$G$7:$G$19,MATCH(F256,Catalogue!$B$7:$B$19,0)),"#N/A"))</f>
        <v/>
      </c>
      <c r="J256" s="30">
        <f>IF(ISNUMBER(I256),I256-K256,"")</f>
        <v/>
      </c>
      <c r="K256" s="31">
        <f>IF(OR(F256="",H256=""),"",IFERROR(H256*INDEX(Catalogue!$F$7:$F$19,MATCH(F256,Catalogue!$B$7:$B$19,0)),"#N/A"))</f>
        <v/>
      </c>
      <c r="L256" s="31">
        <f>IF(ISNUMBER(J256),J256*IFERROR(INDEX(Paramètres!$C$7:$C$12,MATCH(INDEX(Effectif!$D$7:$D$21,MATCH(D256,Effectif!$C$7:$C$21,0)),Paramètres!$B$7:$B$12,0)),0),"")</f>
        <v/>
      </c>
      <c r="M256" s="1" t="n"/>
    </row>
    <row r="257">
      <c r="A257" s="1" t="n"/>
      <c r="B257" s="24" t="n">
        <v>251</v>
      </c>
      <c r="C257" s="25" t="n"/>
      <c r="D257" s="26" t="n"/>
      <c r="E257" s="26" t="n"/>
      <c r="F257" s="26" t="n"/>
      <c r="G257" s="27">
        <f>IF(F257="","",IFERROR(INDEX(Catalogue!$C$7:$C$19,MATCH(F257,Catalogue!$B$7:$B$19,0)),"#N/A"))</f>
        <v/>
      </c>
      <c r="H257" s="28" t="n"/>
      <c r="I257" s="29">
        <f>IF(OR(F257="",H257=""),"",IFERROR(H257*INDEX(Catalogue!$G$7:$G$19,MATCH(F257,Catalogue!$B$7:$B$19,0)),"#N/A"))</f>
        <v/>
      </c>
      <c r="J257" s="30">
        <f>IF(ISNUMBER(I257),I257-K257,"")</f>
        <v/>
      </c>
      <c r="K257" s="31">
        <f>IF(OR(F257="",H257=""),"",IFERROR(H257*INDEX(Catalogue!$F$7:$F$19,MATCH(F257,Catalogue!$B$7:$B$19,0)),"#N/A"))</f>
        <v/>
      </c>
      <c r="L257" s="31">
        <f>IF(ISNUMBER(J257),J257*IFERROR(INDEX(Paramètres!$C$7:$C$12,MATCH(INDEX(Effectif!$D$7:$D$21,MATCH(D257,Effectif!$C$7:$C$21,0)),Paramètres!$B$7:$B$12,0)),0),"")</f>
        <v/>
      </c>
      <c r="M257" s="1" t="n"/>
    </row>
    <row r="258">
      <c r="A258" s="1" t="n"/>
      <c r="B258" s="24" t="n">
        <v>252</v>
      </c>
      <c r="C258" s="25" t="n"/>
      <c r="D258" s="26" t="n"/>
      <c r="E258" s="26" t="n"/>
      <c r="F258" s="26" t="n"/>
      <c r="G258" s="27">
        <f>IF(F258="","",IFERROR(INDEX(Catalogue!$C$7:$C$19,MATCH(F258,Catalogue!$B$7:$B$19,0)),"#N/A"))</f>
        <v/>
      </c>
      <c r="H258" s="28" t="n"/>
      <c r="I258" s="29">
        <f>IF(OR(F258="",H258=""),"",IFERROR(H258*INDEX(Catalogue!$G$7:$G$19,MATCH(F258,Catalogue!$B$7:$B$19,0)),"#N/A"))</f>
        <v/>
      </c>
      <c r="J258" s="30">
        <f>IF(ISNUMBER(I258),I258-K258,"")</f>
        <v/>
      </c>
      <c r="K258" s="31">
        <f>IF(OR(F258="",H258=""),"",IFERROR(H258*INDEX(Catalogue!$F$7:$F$19,MATCH(F258,Catalogue!$B$7:$B$19,0)),"#N/A"))</f>
        <v/>
      </c>
      <c r="L258" s="31">
        <f>IF(ISNUMBER(J258),J258*IFERROR(INDEX(Paramètres!$C$7:$C$12,MATCH(INDEX(Effectif!$D$7:$D$21,MATCH(D258,Effectif!$C$7:$C$21,0)),Paramètres!$B$7:$B$12,0)),0),"")</f>
        <v/>
      </c>
      <c r="M258" s="1" t="n"/>
    </row>
    <row r="259">
      <c r="A259" s="1" t="n"/>
      <c r="B259" s="24" t="n">
        <v>253</v>
      </c>
      <c r="C259" s="25" t="n"/>
      <c r="D259" s="26" t="n"/>
      <c r="E259" s="26" t="n"/>
      <c r="F259" s="26" t="n"/>
      <c r="G259" s="27">
        <f>IF(F259="","",IFERROR(INDEX(Catalogue!$C$7:$C$19,MATCH(F259,Catalogue!$B$7:$B$19,0)),"#N/A"))</f>
        <v/>
      </c>
      <c r="H259" s="28" t="n"/>
      <c r="I259" s="29">
        <f>IF(OR(F259="",H259=""),"",IFERROR(H259*INDEX(Catalogue!$G$7:$G$19,MATCH(F259,Catalogue!$B$7:$B$19,0)),"#N/A"))</f>
        <v/>
      </c>
      <c r="J259" s="30">
        <f>IF(ISNUMBER(I259),I259-K259,"")</f>
        <v/>
      </c>
      <c r="K259" s="31">
        <f>IF(OR(F259="",H259=""),"",IFERROR(H259*INDEX(Catalogue!$F$7:$F$19,MATCH(F259,Catalogue!$B$7:$B$19,0)),"#N/A"))</f>
        <v/>
      </c>
      <c r="L259" s="31">
        <f>IF(ISNUMBER(J259),J259*IFERROR(INDEX(Paramètres!$C$7:$C$12,MATCH(INDEX(Effectif!$D$7:$D$21,MATCH(D259,Effectif!$C$7:$C$21,0)),Paramètres!$B$7:$B$12,0)),0),"")</f>
        <v/>
      </c>
      <c r="M259" s="1" t="n"/>
    </row>
    <row r="260">
      <c r="A260" s="1" t="n"/>
      <c r="B260" s="24" t="n">
        <v>254</v>
      </c>
      <c r="C260" s="25" t="n"/>
      <c r="D260" s="26" t="n"/>
      <c r="E260" s="26" t="n"/>
      <c r="F260" s="26" t="n"/>
      <c r="G260" s="27">
        <f>IF(F260="","",IFERROR(INDEX(Catalogue!$C$7:$C$19,MATCH(F260,Catalogue!$B$7:$B$19,0)),"#N/A"))</f>
        <v/>
      </c>
      <c r="H260" s="28" t="n"/>
      <c r="I260" s="29">
        <f>IF(OR(F260="",H260=""),"",IFERROR(H260*INDEX(Catalogue!$G$7:$G$19,MATCH(F260,Catalogue!$B$7:$B$19,0)),"#N/A"))</f>
        <v/>
      </c>
      <c r="J260" s="30">
        <f>IF(ISNUMBER(I260),I260-K260,"")</f>
        <v/>
      </c>
      <c r="K260" s="31">
        <f>IF(OR(F260="",H260=""),"",IFERROR(H260*INDEX(Catalogue!$F$7:$F$19,MATCH(F260,Catalogue!$B$7:$B$19,0)),"#N/A"))</f>
        <v/>
      </c>
      <c r="L260" s="31">
        <f>IF(ISNUMBER(J260),J260*IFERROR(INDEX(Paramètres!$C$7:$C$12,MATCH(INDEX(Effectif!$D$7:$D$21,MATCH(D260,Effectif!$C$7:$C$21,0)),Paramètres!$B$7:$B$12,0)),0),"")</f>
        <v/>
      </c>
      <c r="M260" s="1" t="n"/>
    </row>
    <row r="261">
      <c r="A261" s="1" t="n"/>
      <c r="B261" s="24" t="n">
        <v>255</v>
      </c>
      <c r="C261" s="25" t="n"/>
      <c r="D261" s="26" t="n"/>
      <c r="E261" s="26" t="n"/>
      <c r="F261" s="26" t="n"/>
      <c r="G261" s="27">
        <f>IF(F261="","",IFERROR(INDEX(Catalogue!$C$7:$C$19,MATCH(F261,Catalogue!$B$7:$B$19,0)),"#N/A"))</f>
        <v/>
      </c>
      <c r="H261" s="28" t="n"/>
      <c r="I261" s="29">
        <f>IF(OR(F261="",H261=""),"",IFERROR(H261*INDEX(Catalogue!$G$7:$G$19,MATCH(F261,Catalogue!$B$7:$B$19,0)),"#N/A"))</f>
        <v/>
      </c>
      <c r="J261" s="30">
        <f>IF(ISNUMBER(I261),I261-K261,"")</f>
        <v/>
      </c>
      <c r="K261" s="31">
        <f>IF(OR(F261="",H261=""),"",IFERROR(H261*INDEX(Catalogue!$F$7:$F$19,MATCH(F261,Catalogue!$B$7:$B$19,0)),"#N/A"))</f>
        <v/>
      </c>
      <c r="L261" s="31">
        <f>IF(ISNUMBER(J261),J261*IFERROR(INDEX(Paramètres!$C$7:$C$12,MATCH(INDEX(Effectif!$D$7:$D$21,MATCH(D261,Effectif!$C$7:$C$21,0)),Paramètres!$B$7:$B$12,0)),0),"")</f>
        <v/>
      </c>
      <c r="M261" s="1" t="n"/>
    </row>
    <row r="262">
      <c r="A262" s="1" t="n"/>
      <c r="B262" s="24" t="n">
        <v>256</v>
      </c>
      <c r="C262" s="25" t="n"/>
      <c r="D262" s="26" t="n"/>
      <c r="E262" s="26" t="n"/>
      <c r="F262" s="26" t="n"/>
      <c r="G262" s="27">
        <f>IF(F262="","",IFERROR(INDEX(Catalogue!$C$7:$C$19,MATCH(F262,Catalogue!$B$7:$B$19,0)),"#N/A"))</f>
        <v/>
      </c>
      <c r="H262" s="28" t="n"/>
      <c r="I262" s="29">
        <f>IF(OR(F262="",H262=""),"",IFERROR(H262*INDEX(Catalogue!$G$7:$G$19,MATCH(F262,Catalogue!$B$7:$B$19,0)),"#N/A"))</f>
        <v/>
      </c>
      <c r="J262" s="30">
        <f>IF(ISNUMBER(I262),I262-K262,"")</f>
        <v/>
      </c>
      <c r="K262" s="31">
        <f>IF(OR(F262="",H262=""),"",IFERROR(H262*INDEX(Catalogue!$F$7:$F$19,MATCH(F262,Catalogue!$B$7:$B$19,0)),"#N/A"))</f>
        <v/>
      </c>
      <c r="L262" s="31">
        <f>IF(ISNUMBER(J262),J262*IFERROR(INDEX(Paramètres!$C$7:$C$12,MATCH(INDEX(Effectif!$D$7:$D$21,MATCH(D262,Effectif!$C$7:$C$21,0)),Paramètres!$B$7:$B$12,0)),0),"")</f>
        <v/>
      </c>
      <c r="M262" s="1" t="n"/>
    </row>
    <row r="263">
      <c r="A263" s="1" t="n"/>
      <c r="B263" s="24" t="n">
        <v>257</v>
      </c>
      <c r="C263" s="25" t="n"/>
      <c r="D263" s="26" t="n"/>
      <c r="E263" s="26" t="n"/>
      <c r="F263" s="26" t="n"/>
      <c r="G263" s="27">
        <f>IF(F263="","",IFERROR(INDEX(Catalogue!$C$7:$C$19,MATCH(F263,Catalogue!$B$7:$B$19,0)),"#N/A"))</f>
        <v/>
      </c>
      <c r="H263" s="28" t="n"/>
      <c r="I263" s="29">
        <f>IF(OR(F263="",H263=""),"",IFERROR(H263*INDEX(Catalogue!$G$7:$G$19,MATCH(F263,Catalogue!$B$7:$B$19,0)),"#N/A"))</f>
        <v/>
      </c>
      <c r="J263" s="30">
        <f>IF(ISNUMBER(I263),I263-K263,"")</f>
        <v/>
      </c>
      <c r="K263" s="31">
        <f>IF(OR(F263="",H263=""),"",IFERROR(H263*INDEX(Catalogue!$F$7:$F$19,MATCH(F263,Catalogue!$B$7:$B$19,0)),"#N/A"))</f>
        <v/>
      </c>
      <c r="L263" s="31">
        <f>IF(ISNUMBER(J263),J263*IFERROR(INDEX(Paramètres!$C$7:$C$12,MATCH(INDEX(Effectif!$D$7:$D$21,MATCH(D263,Effectif!$C$7:$C$21,0)),Paramètres!$B$7:$B$12,0)),0),"")</f>
        <v/>
      </c>
      <c r="M263" s="1" t="n"/>
    </row>
    <row r="264">
      <c r="A264" s="1" t="n"/>
      <c r="B264" s="24" t="n">
        <v>258</v>
      </c>
      <c r="C264" s="25" t="n"/>
      <c r="D264" s="26" t="n"/>
      <c r="E264" s="26" t="n"/>
      <c r="F264" s="26" t="n"/>
      <c r="G264" s="27">
        <f>IF(F264="","",IFERROR(INDEX(Catalogue!$C$7:$C$19,MATCH(F264,Catalogue!$B$7:$B$19,0)),"#N/A"))</f>
        <v/>
      </c>
      <c r="H264" s="28" t="n"/>
      <c r="I264" s="29">
        <f>IF(OR(F264="",H264=""),"",IFERROR(H264*INDEX(Catalogue!$G$7:$G$19,MATCH(F264,Catalogue!$B$7:$B$19,0)),"#N/A"))</f>
        <v/>
      </c>
      <c r="J264" s="30">
        <f>IF(ISNUMBER(I264),I264-K264,"")</f>
        <v/>
      </c>
      <c r="K264" s="31">
        <f>IF(OR(F264="",H264=""),"",IFERROR(H264*INDEX(Catalogue!$F$7:$F$19,MATCH(F264,Catalogue!$B$7:$B$19,0)),"#N/A"))</f>
        <v/>
      </c>
      <c r="L264" s="31">
        <f>IF(ISNUMBER(J264),J264*IFERROR(INDEX(Paramètres!$C$7:$C$12,MATCH(INDEX(Effectif!$D$7:$D$21,MATCH(D264,Effectif!$C$7:$C$21,0)),Paramètres!$B$7:$B$12,0)),0),"")</f>
        <v/>
      </c>
      <c r="M264" s="1" t="n"/>
    </row>
    <row r="265">
      <c r="A265" s="1" t="n"/>
      <c r="B265" s="24" t="n">
        <v>259</v>
      </c>
      <c r="C265" s="25" t="n"/>
      <c r="D265" s="26" t="n"/>
      <c r="E265" s="26" t="n"/>
      <c r="F265" s="26" t="n"/>
      <c r="G265" s="27">
        <f>IF(F265="","",IFERROR(INDEX(Catalogue!$C$7:$C$19,MATCH(F265,Catalogue!$B$7:$B$19,0)),"#N/A"))</f>
        <v/>
      </c>
      <c r="H265" s="28" t="n"/>
      <c r="I265" s="29">
        <f>IF(OR(F265="",H265=""),"",IFERROR(H265*INDEX(Catalogue!$G$7:$G$19,MATCH(F265,Catalogue!$B$7:$B$19,0)),"#N/A"))</f>
        <v/>
      </c>
      <c r="J265" s="30">
        <f>IF(ISNUMBER(I265),I265-K265,"")</f>
        <v/>
      </c>
      <c r="K265" s="31">
        <f>IF(OR(F265="",H265=""),"",IFERROR(H265*INDEX(Catalogue!$F$7:$F$19,MATCH(F265,Catalogue!$B$7:$B$19,0)),"#N/A"))</f>
        <v/>
      </c>
      <c r="L265" s="31">
        <f>IF(ISNUMBER(J265),J265*IFERROR(INDEX(Paramètres!$C$7:$C$12,MATCH(INDEX(Effectif!$D$7:$D$21,MATCH(D265,Effectif!$C$7:$C$21,0)),Paramètres!$B$7:$B$12,0)),0),"")</f>
        <v/>
      </c>
      <c r="M265" s="1" t="n"/>
    </row>
    <row r="266">
      <c r="A266" s="1" t="n"/>
      <c r="B266" s="24" t="n">
        <v>260</v>
      </c>
      <c r="C266" s="25" t="n"/>
      <c r="D266" s="26" t="n"/>
      <c r="E266" s="26" t="n"/>
      <c r="F266" s="26" t="n"/>
      <c r="G266" s="27">
        <f>IF(F266="","",IFERROR(INDEX(Catalogue!$C$7:$C$19,MATCH(F266,Catalogue!$B$7:$B$19,0)),"#N/A"))</f>
        <v/>
      </c>
      <c r="H266" s="28" t="n"/>
      <c r="I266" s="29">
        <f>IF(OR(F266="",H266=""),"",IFERROR(H266*INDEX(Catalogue!$G$7:$G$19,MATCH(F266,Catalogue!$B$7:$B$19,0)),"#N/A"))</f>
        <v/>
      </c>
      <c r="J266" s="30">
        <f>IF(ISNUMBER(I266),I266-K266,"")</f>
        <v/>
      </c>
      <c r="K266" s="31">
        <f>IF(OR(F266="",H266=""),"",IFERROR(H266*INDEX(Catalogue!$F$7:$F$19,MATCH(F266,Catalogue!$B$7:$B$19,0)),"#N/A"))</f>
        <v/>
      </c>
      <c r="L266" s="31">
        <f>IF(ISNUMBER(J266),J266*IFERROR(INDEX(Paramètres!$C$7:$C$12,MATCH(INDEX(Effectif!$D$7:$D$21,MATCH(D266,Effectif!$C$7:$C$21,0)),Paramètres!$B$7:$B$12,0)),0),"")</f>
        <v/>
      </c>
      <c r="M266" s="1" t="n"/>
    </row>
    <row r="267">
      <c r="A267" s="1" t="n"/>
      <c r="B267" s="24" t="n">
        <v>261</v>
      </c>
      <c r="C267" s="25" t="n"/>
      <c r="D267" s="26" t="n"/>
      <c r="E267" s="26" t="n"/>
      <c r="F267" s="26" t="n"/>
      <c r="G267" s="27">
        <f>IF(F267="","",IFERROR(INDEX(Catalogue!$C$7:$C$19,MATCH(F267,Catalogue!$B$7:$B$19,0)),"#N/A"))</f>
        <v/>
      </c>
      <c r="H267" s="28" t="n"/>
      <c r="I267" s="29">
        <f>IF(OR(F267="",H267=""),"",IFERROR(H267*INDEX(Catalogue!$G$7:$G$19,MATCH(F267,Catalogue!$B$7:$B$19,0)),"#N/A"))</f>
        <v/>
      </c>
      <c r="J267" s="30">
        <f>IF(ISNUMBER(I267),I267-K267,"")</f>
        <v/>
      </c>
      <c r="K267" s="31">
        <f>IF(OR(F267="",H267=""),"",IFERROR(H267*INDEX(Catalogue!$F$7:$F$19,MATCH(F267,Catalogue!$B$7:$B$19,0)),"#N/A"))</f>
        <v/>
      </c>
      <c r="L267" s="31">
        <f>IF(ISNUMBER(J267),J267*IFERROR(INDEX(Paramètres!$C$7:$C$12,MATCH(INDEX(Effectif!$D$7:$D$21,MATCH(D267,Effectif!$C$7:$C$21,0)),Paramètres!$B$7:$B$12,0)),0),"")</f>
        <v/>
      </c>
      <c r="M267" s="1" t="n"/>
    </row>
    <row r="268">
      <c r="A268" s="1" t="n"/>
      <c r="B268" s="24" t="n">
        <v>262</v>
      </c>
      <c r="C268" s="25" t="n"/>
      <c r="D268" s="26" t="n"/>
      <c r="E268" s="26" t="n"/>
      <c r="F268" s="26" t="n"/>
      <c r="G268" s="27">
        <f>IF(F268="","",IFERROR(INDEX(Catalogue!$C$7:$C$19,MATCH(F268,Catalogue!$B$7:$B$19,0)),"#N/A"))</f>
        <v/>
      </c>
      <c r="H268" s="28" t="n"/>
      <c r="I268" s="29">
        <f>IF(OR(F268="",H268=""),"",IFERROR(H268*INDEX(Catalogue!$G$7:$G$19,MATCH(F268,Catalogue!$B$7:$B$19,0)),"#N/A"))</f>
        <v/>
      </c>
      <c r="J268" s="30">
        <f>IF(ISNUMBER(I268),I268-K268,"")</f>
        <v/>
      </c>
      <c r="K268" s="31">
        <f>IF(OR(F268="",H268=""),"",IFERROR(H268*INDEX(Catalogue!$F$7:$F$19,MATCH(F268,Catalogue!$B$7:$B$19,0)),"#N/A"))</f>
        <v/>
      </c>
      <c r="L268" s="31">
        <f>IF(ISNUMBER(J268),J268*IFERROR(INDEX(Paramètres!$C$7:$C$12,MATCH(INDEX(Effectif!$D$7:$D$21,MATCH(D268,Effectif!$C$7:$C$21,0)),Paramètres!$B$7:$B$12,0)),0),"")</f>
        <v/>
      </c>
      <c r="M268" s="1" t="n"/>
    </row>
    <row r="269">
      <c r="A269" s="1" t="n"/>
      <c r="B269" s="24" t="n">
        <v>263</v>
      </c>
      <c r="C269" s="25" t="n"/>
      <c r="D269" s="26" t="n"/>
      <c r="E269" s="26" t="n"/>
      <c r="F269" s="26" t="n"/>
      <c r="G269" s="27">
        <f>IF(F269="","",IFERROR(INDEX(Catalogue!$C$7:$C$19,MATCH(F269,Catalogue!$B$7:$B$19,0)),"#N/A"))</f>
        <v/>
      </c>
      <c r="H269" s="28" t="n"/>
      <c r="I269" s="29">
        <f>IF(OR(F269="",H269=""),"",IFERROR(H269*INDEX(Catalogue!$G$7:$G$19,MATCH(F269,Catalogue!$B$7:$B$19,0)),"#N/A"))</f>
        <v/>
      </c>
      <c r="J269" s="30">
        <f>IF(ISNUMBER(I269),I269-K269,"")</f>
        <v/>
      </c>
      <c r="K269" s="31">
        <f>IF(OR(F269="",H269=""),"",IFERROR(H269*INDEX(Catalogue!$F$7:$F$19,MATCH(F269,Catalogue!$B$7:$B$19,0)),"#N/A"))</f>
        <v/>
      </c>
      <c r="L269" s="31">
        <f>IF(ISNUMBER(J269),J269*IFERROR(INDEX(Paramètres!$C$7:$C$12,MATCH(INDEX(Effectif!$D$7:$D$21,MATCH(D269,Effectif!$C$7:$C$21,0)),Paramètres!$B$7:$B$12,0)),0),"")</f>
        <v/>
      </c>
      <c r="M269" s="1" t="n"/>
    </row>
    <row r="270">
      <c r="A270" s="1" t="n"/>
      <c r="B270" s="24" t="n">
        <v>264</v>
      </c>
      <c r="C270" s="25" t="n"/>
      <c r="D270" s="26" t="n"/>
      <c r="E270" s="26" t="n"/>
      <c r="F270" s="26" t="n"/>
      <c r="G270" s="27">
        <f>IF(F270="","",IFERROR(INDEX(Catalogue!$C$7:$C$19,MATCH(F270,Catalogue!$B$7:$B$19,0)),"#N/A"))</f>
        <v/>
      </c>
      <c r="H270" s="28" t="n"/>
      <c r="I270" s="29">
        <f>IF(OR(F270="",H270=""),"",IFERROR(H270*INDEX(Catalogue!$G$7:$G$19,MATCH(F270,Catalogue!$B$7:$B$19,0)),"#N/A"))</f>
        <v/>
      </c>
      <c r="J270" s="30">
        <f>IF(ISNUMBER(I270),I270-K270,"")</f>
        <v/>
      </c>
      <c r="K270" s="31">
        <f>IF(OR(F270="",H270=""),"",IFERROR(H270*INDEX(Catalogue!$F$7:$F$19,MATCH(F270,Catalogue!$B$7:$B$19,0)),"#N/A"))</f>
        <v/>
      </c>
      <c r="L270" s="31">
        <f>IF(ISNUMBER(J270),J270*IFERROR(INDEX(Paramètres!$C$7:$C$12,MATCH(INDEX(Effectif!$D$7:$D$21,MATCH(D270,Effectif!$C$7:$C$21,0)),Paramètres!$B$7:$B$12,0)),0),"")</f>
        <v/>
      </c>
      <c r="M270" s="1" t="n"/>
    </row>
    <row r="271">
      <c r="A271" s="1" t="n"/>
      <c r="B271" s="24" t="n">
        <v>265</v>
      </c>
      <c r="C271" s="25" t="n"/>
      <c r="D271" s="26" t="n"/>
      <c r="E271" s="26" t="n"/>
      <c r="F271" s="26" t="n"/>
      <c r="G271" s="27">
        <f>IF(F271="","",IFERROR(INDEX(Catalogue!$C$7:$C$19,MATCH(F271,Catalogue!$B$7:$B$19,0)),"#N/A"))</f>
        <v/>
      </c>
      <c r="H271" s="28" t="n"/>
      <c r="I271" s="29">
        <f>IF(OR(F271="",H271=""),"",IFERROR(H271*INDEX(Catalogue!$G$7:$G$19,MATCH(F271,Catalogue!$B$7:$B$19,0)),"#N/A"))</f>
        <v/>
      </c>
      <c r="J271" s="30">
        <f>IF(ISNUMBER(I271),I271-K271,"")</f>
        <v/>
      </c>
      <c r="K271" s="31">
        <f>IF(OR(F271="",H271=""),"",IFERROR(H271*INDEX(Catalogue!$F$7:$F$19,MATCH(F271,Catalogue!$B$7:$B$19,0)),"#N/A"))</f>
        <v/>
      </c>
      <c r="L271" s="31">
        <f>IF(ISNUMBER(J271),J271*IFERROR(INDEX(Paramètres!$C$7:$C$12,MATCH(INDEX(Effectif!$D$7:$D$21,MATCH(D271,Effectif!$C$7:$C$21,0)),Paramètres!$B$7:$B$12,0)),0),"")</f>
        <v/>
      </c>
      <c r="M271" s="1" t="n"/>
    </row>
    <row r="272">
      <c r="A272" s="1" t="n"/>
      <c r="B272" s="24" t="n">
        <v>266</v>
      </c>
      <c r="C272" s="25" t="n"/>
      <c r="D272" s="26" t="n"/>
      <c r="E272" s="26" t="n"/>
      <c r="F272" s="26" t="n"/>
      <c r="G272" s="27">
        <f>IF(F272="","",IFERROR(INDEX(Catalogue!$C$7:$C$19,MATCH(F272,Catalogue!$B$7:$B$19,0)),"#N/A"))</f>
        <v/>
      </c>
      <c r="H272" s="28" t="n"/>
      <c r="I272" s="29">
        <f>IF(OR(F272="",H272=""),"",IFERROR(H272*INDEX(Catalogue!$G$7:$G$19,MATCH(F272,Catalogue!$B$7:$B$19,0)),"#N/A"))</f>
        <v/>
      </c>
      <c r="J272" s="30">
        <f>IF(ISNUMBER(I272),I272-K272,"")</f>
        <v/>
      </c>
      <c r="K272" s="31">
        <f>IF(OR(F272="",H272=""),"",IFERROR(H272*INDEX(Catalogue!$F$7:$F$19,MATCH(F272,Catalogue!$B$7:$B$19,0)),"#N/A"))</f>
        <v/>
      </c>
      <c r="L272" s="31">
        <f>IF(ISNUMBER(J272),J272*IFERROR(INDEX(Paramètres!$C$7:$C$12,MATCH(INDEX(Effectif!$D$7:$D$21,MATCH(D272,Effectif!$C$7:$C$21,0)),Paramètres!$B$7:$B$12,0)),0),"")</f>
        <v/>
      </c>
      <c r="M272" s="1" t="n"/>
    </row>
    <row r="273">
      <c r="A273" s="1" t="n"/>
      <c r="B273" s="24" t="n">
        <v>267</v>
      </c>
      <c r="C273" s="25" t="n"/>
      <c r="D273" s="26" t="n"/>
      <c r="E273" s="26" t="n"/>
      <c r="F273" s="26" t="n"/>
      <c r="G273" s="27">
        <f>IF(F273="","",IFERROR(INDEX(Catalogue!$C$7:$C$19,MATCH(F273,Catalogue!$B$7:$B$19,0)),"#N/A"))</f>
        <v/>
      </c>
      <c r="H273" s="28" t="n"/>
      <c r="I273" s="29">
        <f>IF(OR(F273="",H273=""),"",IFERROR(H273*INDEX(Catalogue!$G$7:$G$19,MATCH(F273,Catalogue!$B$7:$B$19,0)),"#N/A"))</f>
        <v/>
      </c>
      <c r="J273" s="30">
        <f>IF(ISNUMBER(I273),I273-K273,"")</f>
        <v/>
      </c>
      <c r="K273" s="31">
        <f>IF(OR(F273="",H273=""),"",IFERROR(H273*INDEX(Catalogue!$F$7:$F$19,MATCH(F273,Catalogue!$B$7:$B$19,0)),"#N/A"))</f>
        <v/>
      </c>
      <c r="L273" s="31">
        <f>IF(ISNUMBER(J273),J273*IFERROR(INDEX(Paramètres!$C$7:$C$12,MATCH(INDEX(Effectif!$D$7:$D$21,MATCH(D273,Effectif!$C$7:$C$21,0)),Paramètres!$B$7:$B$12,0)),0),"")</f>
        <v/>
      </c>
      <c r="M273" s="1" t="n"/>
    </row>
    <row r="274">
      <c r="A274" s="1" t="n"/>
      <c r="B274" s="24" t="n">
        <v>268</v>
      </c>
      <c r="C274" s="25" t="n"/>
      <c r="D274" s="26" t="n"/>
      <c r="E274" s="26" t="n"/>
      <c r="F274" s="26" t="n"/>
      <c r="G274" s="27">
        <f>IF(F274="","",IFERROR(INDEX(Catalogue!$C$7:$C$19,MATCH(F274,Catalogue!$B$7:$B$19,0)),"#N/A"))</f>
        <v/>
      </c>
      <c r="H274" s="28" t="n"/>
      <c r="I274" s="29">
        <f>IF(OR(F274="",H274=""),"",IFERROR(H274*INDEX(Catalogue!$G$7:$G$19,MATCH(F274,Catalogue!$B$7:$B$19,0)),"#N/A"))</f>
        <v/>
      </c>
      <c r="J274" s="30">
        <f>IF(ISNUMBER(I274),I274-K274,"")</f>
        <v/>
      </c>
      <c r="K274" s="31">
        <f>IF(OR(F274="",H274=""),"",IFERROR(H274*INDEX(Catalogue!$F$7:$F$19,MATCH(F274,Catalogue!$B$7:$B$19,0)),"#N/A"))</f>
        <v/>
      </c>
      <c r="L274" s="31">
        <f>IF(ISNUMBER(J274),J274*IFERROR(INDEX(Paramètres!$C$7:$C$12,MATCH(INDEX(Effectif!$D$7:$D$21,MATCH(D274,Effectif!$C$7:$C$21,0)),Paramètres!$B$7:$B$12,0)),0),"")</f>
        <v/>
      </c>
      <c r="M274" s="1" t="n"/>
    </row>
    <row r="275">
      <c r="A275" s="1" t="n"/>
      <c r="B275" s="24" t="n">
        <v>269</v>
      </c>
      <c r="C275" s="25" t="n"/>
      <c r="D275" s="26" t="n"/>
      <c r="E275" s="26" t="n"/>
      <c r="F275" s="26" t="n"/>
      <c r="G275" s="27">
        <f>IF(F275="","",IFERROR(INDEX(Catalogue!$C$7:$C$19,MATCH(F275,Catalogue!$B$7:$B$19,0)),"#N/A"))</f>
        <v/>
      </c>
      <c r="H275" s="28" t="n"/>
      <c r="I275" s="29">
        <f>IF(OR(F275="",H275=""),"",IFERROR(H275*INDEX(Catalogue!$G$7:$G$19,MATCH(F275,Catalogue!$B$7:$B$19,0)),"#N/A"))</f>
        <v/>
      </c>
      <c r="J275" s="30">
        <f>IF(ISNUMBER(I275),I275-K275,"")</f>
        <v/>
      </c>
      <c r="K275" s="31">
        <f>IF(OR(F275="",H275=""),"",IFERROR(H275*INDEX(Catalogue!$F$7:$F$19,MATCH(F275,Catalogue!$B$7:$B$19,0)),"#N/A"))</f>
        <v/>
      </c>
      <c r="L275" s="31">
        <f>IF(ISNUMBER(J275),J275*IFERROR(INDEX(Paramètres!$C$7:$C$12,MATCH(INDEX(Effectif!$D$7:$D$21,MATCH(D275,Effectif!$C$7:$C$21,0)),Paramètres!$B$7:$B$12,0)),0),"")</f>
        <v/>
      </c>
      <c r="M275" s="1" t="n"/>
    </row>
    <row r="276">
      <c r="A276" s="1" t="n"/>
      <c r="B276" s="24" t="n">
        <v>270</v>
      </c>
      <c r="C276" s="25" t="n"/>
      <c r="D276" s="26" t="n"/>
      <c r="E276" s="26" t="n"/>
      <c r="F276" s="26" t="n"/>
      <c r="G276" s="27">
        <f>IF(F276="","",IFERROR(INDEX(Catalogue!$C$7:$C$19,MATCH(F276,Catalogue!$B$7:$B$19,0)),"#N/A"))</f>
        <v/>
      </c>
      <c r="H276" s="28" t="n"/>
      <c r="I276" s="29">
        <f>IF(OR(F276="",H276=""),"",IFERROR(H276*INDEX(Catalogue!$G$7:$G$19,MATCH(F276,Catalogue!$B$7:$B$19,0)),"#N/A"))</f>
        <v/>
      </c>
      <c r="J276" s="30">
        <f>IF(ISNUMBER(I276),I276-K276,"")</f>
        <v/>
      </c>
      <c r="K276" s="31">
        <f>IF(OR(F276="",H276=""),"",IFERROR(H276*INDEX(Catalogue!$F$7:$F$19,MATCH(F276,Catalogue!$B$7:$B$19,0)),"#N/A"))</f>
        <v/>
      </c>
      <c r="L276" s="31">
        <f>IF(ISNUMBER(J276),J276*IFERROR(INDEX(Paramètres!$C$7:$C$12,MATCH(INDEX(Effectif!$D$7:$D$21,MATCH(D276,Effectif!$C$7:$C$21,0)),Paramètres!$B$7:$B$12,0)),0),"")</f>
        <v/>
      </c>
      <c r="M276" s="1" t="n"/>
    </row>
    <row r="277">
      <c r="A277" s="1" t="n"/>
      <c r="B277" s="24" t="n">
        <v>271</v>
      </c>
      <c r="C277" s="25" t="n"/>
      <c r="D277" s="26" t="n"/>
      <c r="E277" s="26" t="n"/>
      <c r="F277" s="26" t="n"/>
      <c r="G277" s="27">
        <f>IF(F277="","",IFERROR(INDEX(Catalogue!$C$7:$C$19,MATCH(F277,Catalogue!$B$7:$B$19,0)),"#N/A"))</f>
        <v/>
      </c>
      <c r="H277" s="28" t="n"/>
      <c r="I277" s="29">
        <f>IF(OR(F277="",H277=""),"",IFERROR(H277*INDEX(Catalogue!$G$7:$G$19,MATCH(F277,Catalogue!$B$7:$B$19,0)),"#N/A"))</f>
        <v/>
      </c>
      <c r="J277" s="30">
        <f>IF(ISNUMBER(I277),I277-K277,"")</f>
        <v/>
      </c>
      <c r="K277" s="31">
        <f>IF(OR(F277="",H277=""),"",IFERROR(H277*INDEX(Catalogue!$F$7:$F$19,MATCH(F277,Catalogue!$B$7:$B$19,0)),"#N/A"))</f>
        <v/>
      </c>
      <c r="L277" s="31">
        <f>IF(ISNUMBER(J277),J277*IFERROR(INDEX(Paramètres!$C$7:$C$12,MATCH(INDEX(Effectif!$D$7:$D$21,MATCH(D277,Effectif!$C$7:$C$21,0)),Paramètres!$B$7:$B$12,0)),0),"")</f>
        <v/>
      </c>
      <c r="M277" s="1" t="n"/>
    </row>
    <row r="278">
      <c r="A278" s="1" t="n"/>
      <c r="B278" s="24" t="n">
        <v>272</v>
      </c>
      <c r="C278" s="25" t="n"/>
      <c r="D278" s="26" t="n"/>
      <c r="E278" s="26" t="n"/>
      <c r="F278" s="26" t="n"/>
      <c r="G278" s="27">
        <f>IF(F278="","",IFERROR(INDEX(Catalogue!$C$7:$C$19,MATCH(F278,Catalogue!$B$7:$B$19,0)),"#N/A"))</f>
        <v/>
      </c>
      <c r="H278" s="28" t="n"/>
      <c r="I278" s="29">
        <f>IF(OR(F278="",H278=""),"",IFERROR(H278*INDEX(Catalogue!$G$7:$G$19,MATCH(F278,Catalogue!$B$7:$B$19,0)),"#N/A"))</f>
        <v/>
      </c>
      <c r="J278" s="30">
        <f>IF(ISNUMBER(I278),I278-K278,"")</f>
        <v/>
      </c>
      <c r="K278" s="31">
        <f>IF(OR(F278="",H278=""),"",IFERROR(H278*INDEX(Catalogue!$F$7:$F$19,MATCH(F278,Catalogue!$B$7:$B$19,0)),"#N/A"))</f>
        <v/>
      </c>
      <c r="L278" s="31">
        <f>IF(ISNUMBER(J278),J278*IFERROR(INDEX(Paramètres!$C$7:$C$12,MATCH(INDEX(Effectif!$D$7:$D$21,MATCH(D278,Effectif!$C$7:$C$21,0)),Paramètres!$B$7:$B$12,0)),0),"")</f>
        <v/>
      </c>
      <c r="M278" s="1" t="n"/>
    </row>
    <row r="279">
      <c r="A279" s="1" t="n"/>
      <c r="B279" s="24" t="n">
        <v>273</v>
      </c>
      <c r="C279" s="25" t="n"/>
      <c r="D279" s="26" t="n"/>
      <c r="E279" s="26" t="n"/>
      <c r="F279" s="26" t="n"/>
      <c r="G279" s="27">
        <f>IF(F279="","",IFERROR(INDEX(Catalogue!$C$7:$C$19,MATCH(F279,Catalogue!$B$7:$B$19,0)),"#N/A"))</f>
        <v/>
      </c>
      <c r="H279" s="28" t="n"/>
      <c r="I279" s="29">
        <f>IF(OR(F279="",H279=""),"",IFERROR(H279*INDEX(Catalogue!$G$7:$G$19,MATCH(F279,Catalogue!$B$7:$B$19,0)),"#N/A"))</f>
        <v/>
      </c>
      <c r="J279" s="30">
        <f>IF(ISNUMBER(I279),I279-K279,"")</f>
        <v/>
      </c>
      <c r="K279" s="31">
        <f>IF(OR(F279="",H279=""),"",IFERROR(H279*INDEX(Catalogue!$F$7:$F$19,MATCH(F279,Catalogue!$B$7:$B$19,0)),"#N/A"))</f>
        <v/>
      </c>
      <c r="L279" s="31">
        <f>IF(ISNUMBER(J279),J279*IFERROR(INDEX(Paramètres!$C$7:$C$12,MATCH(INDEX(Effectif!$D$7:$D$21,MATCH(D279,Effectif!$C$7:$C$21,0)),Paramètres!$B$7:$B$12,0)),0),"")</f>
        <v/>
      </c>
      <c r="M279" s="1" t="n"/>
    </row>
    <row r="280">
      <c r="A280" s="1" t="n"/>
      <c r="B280" s="24" t="n">
        <v>274</v>
      </c>
      <c r="C280" s="25" t="n"/>
      <c r="D280" s="26" t="n"/>
      <c r="E280" s="26" t="n"/>
      <c r="F280" s="26" t="n"/>
      <c r="G280" s="27">
        <f>IF(F280="","",IFERROR(INDEX(Catalogue!$C$7:$C$19,MATCH(F280,Catalogue!$B$7:$B$19,0)),"#N/A"))</f>
        <v/>
      </c>
      <c r="H280" s="28" t="n"/>
      <c r="I280" s="29">
        <f>IF(OR(F280="",H280=""),"",IFERROR(H280*INDEX(Catalogue!$G$7:$G$19,MATCH(F280,Catalogue!$B$7:$B$19,0)),"#N/A"))</f>
        <v/>
      </c>
      <c r="J280" s="30">
        <f>IF(ISNUMBER(I280),I280-K280,"")</f>
        <v/>
      </c>
      <c r="K280" s="31">
        <f>IF(OR(F280="",H280=""),"",IFERROR(H280*INDEX(Catalogue!$F$7:$F$19,MATCH(F280,Catalogue!$B$7:$B$19,0)),"#N/A"))</f>
        <v/>
      </c>
      <c r="L280" s="31">
        <f>IF(ISNUMBER(J280),J280*IFERROR(INDEX(Paramètres!$C$7:$C$12,MATCH(INDEX(Effectif!$D$7:$D$21,MATCH(D280,Effectif!$C$7:$C$21,0)),Paramètres!$B$7:$B$12,0)),0),"")</f>
        <v/>
      </c>
      <c r="M280" s="1" t="n"/>
    </row>
    <row r="281">
      <c r="A281" s="1" t="n"/>
      <c r="B281" s="24" t="n">
        <v>275</v>
      </c>
      <c r="C281" s="25" t="n"/>
      <c r="D281" s="26" t="n"/>
      <c r="E281" s="26" t="n"/>
      <c r="F281" s="26" t="n"/>
      <c r="G281" s="27">
        <f>IF(F281="","",IFERROR(INDEX(Catalogue!$C$7:$C$19,MATCH(F281,Catalogue!$B$7:$B$19,0)),"#N/A"))</f>
        <v/>
      </c>
      <c r="H281" s="28" t="n"/>
      <c r="I281" s="29">
        <f>IF(OR(F281="",H281=""),"",IFERROR(H281*INDEX(Catalogue!$G$7:$G$19,MATCH(F281,Catalogue!$B$7:$B$19,0)),"#N/A"))</f>
        <v/>
      </c>
      <c r="J281" s="30">
        <f>IF(ISNUMBER(I281),I281-K281,"")</f>
        <v/>
      </c>
      <c r="K281" s="31">
        <f>IF(OR(F281="",H281=""),"",IFERROR(H281*INDEX(Catalogue!$F$7:$F$19,MATCH(F281,Catalogue!$B$7:$B$19,0)),"#N/A"))</f>
        <v/>
      </c>
      <c r="L281" s="31">
        <f>IF(ISNUMBER(J281),J281*IFERROR(INDEX(Paramètres!$C$7:$C$12,MATCH(INDEX(Effectif!$D$7:$D$21,MATCH(D281,Effectif!$C$7:$C$21,0)),Paramètres!$B$7:$B$12,0)),0),"")</f>
        <v/>
      </c>
      <c r="M281" s="1" t="n"/>
    </row>
    <row r="282">
      <c r="A282" s="1" t="n"/>
      <c r="B282" s="24" t="n">
        <v>276</v>
      </c>
      <c r="C282" s="25" t="n"/>
      <c r="D282" s="26" t="n"/>
      <c r="E282" s="26" t="n"/>
      <c r="F282" s="26" t="n"/>
      <c r="G282" s="27">
        <f>IF(F282="","",IFERROR(INDEX(Catalogue!$C$7:$C$19,MATCH(F282,Catalogue!$B$7:$B$19,0)),"#N/A"))</f>
        <v/>
      </c>
      <c r="H282" s="28" t="n"/>
      <c r="I282" s="29">
        <f>IF(OR(F282="",H282=""),"",IFERROR(H282*INDEX(Catalogue!$G$7:$G$19,MATCH(F282,Catalogue!$B$7:$B$19,0)),"#N/A"))</f>
        <v/>
      </c>
      <c r="J282" s="30">
        <f>IF(ISNUMBER(I282),I282-K282,"")</f>
        <v/>
      </c>
      <c r="K282" s="31">
        <f>IF(OR(F282="",H282=""),"",IFERROR(H282*INDEX(Catalogue!$F$7:$F$19,MATCH(F282,Catalogue!$B$7:$B$19,0)),"#N/A"))</f>
        <v/>
      </c>
      <c r="L282" s="31">
        <f>IF(ISNUMBER(J282),J282*IFERROR(INDEX(Paramètres!$C$7:$C$12,MATCH(INDEX(Effectif!$D$7:$D$21,MATCH(D282,Effectif!$C$7:$C$21,0)),Paramètres!$B$7:$B$12,0)),0),"")</f>
        <v/>
      </c>
      <c r="M282" s="1" t="n"/>
    </row>
    <row r="283">
      <c r="A283" s="1" t="n"/>
      <c r="B283" s="24" t="n">
        <v>277</v>
      </c>
      <c r="C283" s="25" t="n"/>
      <c r="D283" s="26" t="n"/>
      <c r="E283" s="26" t="n"/>
      <c r="F283" s="26" t="n"/>
      <c r="G283" s="27">
        <f>IF(F283="","",IFERROR(INDEX(Catalogue!$C$7:$C$19,MATCH(F283,Catalogue!$B$7:$B$19,0)),"#N/A"))</f>
        <v/>
      </c>
      <c r="H283" s="28" t="n"/>
      <c r="I283" s="29">
        <f>IF(OR(F283="",H283=""),"",IFERROR(H283*INDEX(Catalogue!$G$7:$G$19,MATCH(F283,Catalogue!$B$7:$B$19,0)),"#N/A"))</f>
        <v/>
      </c>
      <c r="J283" s="30">
        <f>IF(ISNUMBER(I283),I283-K283,"")</f>
        <v/>
      </c>
      <c r="K283" s="31">
        <f>IF(OR(F283="",H283=""),"",IFERROR(H283*INDEX(Catalogue!$F$7:$F$19,MATCH(F283,Catalogue!$B$7:$B$19,0)),"#N/A"))</f>
        <v/>
      </c>
      <c r="L283" s="31">
        <f>IF(ISNUMBER(J283),J283*IFERROR(INDEX(Paramètres!$C$7:$C$12,MATCH(INDEX(Effectif!$D$7:$D$21,MATCH(D283,Effectif!$C$7:$C$21,0)),Paramètres!$B$7:$B$12,0)),0),"")</f>
        <v/>
      </c>
      <c r="M283" s="1" t="n"/>
    </row>
    <row r="284">
      <c r="A284" s="1" t="n"/>
      <c r="B284" s="24" t="n">
        <v>278</v>
      </c>
      <c r="C284" s="25" t="n"/>
      <c r="D284" s="26" t="n"/>
      <c r="E284" s="26" t="n"/>
      <c r="F284" s="26" t="n"/>
      <c r="G284" s="27">
        <f>IF(F284="","",IFERROR(INDEX(Catalogue!$C$7:$C$19,MATCH(F284,Catalogue!$B$7:$B$19,0)),"#N/A"))</f>
        <v/>
      </c>
      <c r="H284" s="28" t="n"/>
      <c r="I284" s="29">
        <f>IF(OR(F284="",H284=""),"",IFERROR(H284*INDEX(Catalogue!$G$7:$G$19,MATCH(F284,Catalogue!$B$7:$B$19,0)),"#N/A"))</f>
        <v/>
      </c>
      <c r="J284" s="30">
        <f>IF(ISNUMBER(I284),I284-K284,"")</f>
        <v/>
      </c>
      <c r="K284" s="31">
        <f>IF(OR(F284="",H284=""),"",IFERROR(H284*INDEX(Catalogue!$F$7:$F$19,MATCH(F284,Catalogue!$B$7:$B$19,0)),"#N/A"))</f>
        <v/>
      </c>
      <c r="L284" s="31">
        <f>IF(ISNUMBER(J284),J284*IFERROR(INDEX(Paramètres!$C$7:$C$12,MATCH(INDEX(Effectif!$D$7:$D$21,MATCH(D284,Effectif!$C$7:$C$21,0)),Paramètres!$B$7:$B$12,0)),0),"")</f>
        <v/>
      </c>
      <c r="M284" s="1" t="n"/>
    </row>
    <row r="285">
      <c r="A285" s="1" t="n"/>
      <c r="B285" s="24" t="n">
        <v>279</v>
      </c>
      <c r="C285" s="25" t="n"/>
      <c r="D285" s="26" t="n"/>
      <c r="E285" s="26" t="n"/>
      <c r="F285" s="26" t="n"/>
      <c r="G285" s="27">
        <f>IF(F285="","",IFERROR(INDEX(Catalogue!$C$7:$C$19,MATCH(F285,Catalogue!$B$7:$B$19,0)),"#N/A"))</f>
        <v/>
      </c>
      <c r="H285" s="28" t="n"/>
      <c r="I285" s="29">
        <f>IF(OR(F285="",H285=""),"",IFERROR(H285*INDEX(Catalogue!$G$7:$G$19,MATCH(F285,Catalogue!$B$7:$B$19,0)),"#N/A"))</f>
        <v/>
      </c>
      <c r="J285" s="30">
        <f>IF(ISNUMBER(I285),I285-K285,"")</f>
        <v/>
      </c>
      <c r="K285" s="31">
        <f>IF(OR(F285="",H285=""),"",IFERROR(H285*INDEX(Catalogue!$F$7:$F$19,MATCH(F285,Catalogue!$B$7:$B$19,0)),"#N/A"))</f>
        <v/>
      </c>
      <c r="L285" s="31">
        <f>IF(ISNUMBER(J285),J285*IFERROR(INDEX(Paramètres!$C$7:$C$12,MATCH(INDEX(Effectif!$D$7:$D$21,MATCH(D285,Effectif!$C$7:$C$21,0)),Paramètres!$B$7:$B$12,0)),0),"")</f>
        <v/>
      </c>
      <c r="M285" s="1" t="n"/>
    </row>
    <row r="286">
      <c r="A286" s="1" t="n"/>
      <c r="B286" s="24" t="n">
        <v>280</v>
      </c>
      <c r="C286" s="25" t="n"/>
      <c r="D286" s="26" t="n"/>
      <c r="E286" s="26" t="n"/>
      <c r="F286" s="26" t="n"/>
      <c r="G286" s="27">
        <f>IF(F286="","",IFERROR(INDEX(Catalogue!$C$7:$C$19,MATCH(F286,Catalogue!$B$7:$B$19,0)),"#N/A"))</f>
        <v/>
      </c>
      <c r="H286" s="28" t="n"/>
      <c r="I286" s="29">
        <f>IF(OR(F286="",H286=""),"",IFERROR(H286*INDEX(Catalogue!$G$7:$G$19,MATCH(F286,Catalogue!$B$7:$B$19,0)),"#N/A"))</f>
        <v/>
      </c>
      <c r="J286" s="30">
        <f>IF(ISNUMBER(I286),I286-K286,"")</f>
        <v/>
      </c>
      <c r="K286" s="31">
        <f>IF(OR(F286="",H286=""),"",IFERROR(H286*INDEX(Catalogue!$F$7:$F$19,MATCH(F286,Catalogue!$B$7:$B$19,0)),"#N/A"))</f>
        <v/>
      </c>
      <c r="L286" s="31">
        <f>IF(ISNUMBER(J286),J286*IFERROR(INDEX(Paramètres!$C$7:$C$12,MATCH(INDEX(Effectif!$D$7:$D$21,MATCH(D286,Effectif!$C$7:$C$21,0)),Paramètres!$B$7:$B$12,0)),0),"")</f>
        <v/>
      </c>
      <c r="M286" s="1" t="n"/>
    </row>
    <row r="287">
      <c r="A287" s="1" t="n"/>
      <c r="B287" s="24" t="n">
        <v>281</v>
      </c>
      <c r="C287" s="25" t="n"/>
      <c r="D287" s="26" t="n"/>
      <c r="E287" s="26" t="n"/>
      <c r="F287" s="26" t="n"/>
      <c r="G287" s="27">
        <f>IF(F287="","",IFERROR(INDEX(Catalogue!$C$7:$C$19,MATCH(F287,Catalogue!$B$7:$B$19,0)),"#N/A"))</f>
        <v/>
      </c>
      <c r="H287" s="28" t="n"/>
      <c r="I287" s="29">
        <f>IF(OR(F287="",H287=""),"",IFERROR(H287*INDEX(Catalogue!$G$7:$G$19,MATCH(F287,Catalogue!$B$7:$B$19,0)),"#N/A"))</f>
        <v/>
      </c>
      <c r="J287" s="30">
        <f>IF(ISNUMBER(I287),I287-K287,"")</f>
        <v/>
      </c>
      <c r="K287" s="31">
        <f>IF(OR(F287="",H287=""),"",IFERROR(H287*INDEX(Catalogue!$F$7:$F$19,MATCH(F287,Catalogue!$B$7:$B$19,0)),"#N/A"))</f>
        <v/>
      </c>
      <c r="L287" s="31">
        <f>IF(ISNUMBER(J287),J287*IFERROR(INDEX(Paramètres!$C$7:$C$12,MATCH(INDEX(Effectif!$D$7:$D$21,MATCH(D287,Effectif!$C$7:$C$21,0)),Paramètres!$B$7:$B$12,0)),0),"")</f>
        <v/>
      </c>
      <c r="M287" s="1" t="n"/>
    </row>
    <row r="288">
      <c r="A288" s="1" t="n"/>
      <c r="B288" s="24" t="n">
        <v>282</v>
      </c>
      <c r="C288" s="25" t="n"/>
      <c r="D288" s="26" t="n"/>
      <c r="E288" s="26" t="n"/>
      <c r="F288" s="26" t="n"/>
      <c r="G288" s="27">
        <f>IF(F288="","",IFERROR(INDEX(Catalogue!$C$7:$C$19,MATCH(F288,Catalogue!$B$7:$B$19,0)),"#N/A"))</f>
        <v/>
      </c>
      <c r="H288" s="28" t="n"/>
      <c r="I288" s="29">
        <f>IF(OR(F288="",H288=""),"",IFERROR(H288*INDEX(Catalogue!$G$7:$G$19,MATCH(F288,Catalogue!$B$7:$B$19,0)),"#N/A"))</f>
        <v/>
      </c>
      <c r="J288" s="30">
        <f>IF(ISNUMBER(I288),I288-K288,"")</f>
        <v/>
      </c>
      <c r="K288" s="31">
        <f>IF(OR(F288="",H288=""),"",IFERROR(H288*INDEX(Catalogue!$F$7:$F$19,MATCH(F288,Catalogue!$B$7:$B$19,0)),"#N/A"))</f>
        <v/>
      </c>
      <c r="L288" s="31">
        <f>IF(ISNUMBER(J288),J288*IFERROR(INDEX(Paramètres!$C$7:$C$12,MATCH(INDEX(Effectif!$D$7:$D$21,MATCH(D288,Effectif!$C$7:$C$21,0)),Paramètres!$B$7:$B$12,0)),0),"")</f>
        <v/>
      </c>
      <c r="M288" s="1" t="n"/>
    </row>
    <row r="289">
      <c r="A289" s="1" t="n"/>
      <c r="B289" s="24" t="n">
        <v>283</v>
      </c>
      <c r="C289" s="25" t="n"/>
      <c r="D289" s="26" t="n"/>
      <c r="E289" s="26" t="n"/>
      <c r="F289" s="26" t="n"/>
      <c r="G289" s="27">
        <f>IF(F289="","",IFERROR(INDEX(Catalogue!$C$7:$C$19,MATCH(F289,Catalogue!$B$7:$B$19,0)),"#N/A"))</f>
        <v/>
      </c>
      <c r="H289" s="28" t="n"/>
      <c r="I289" s="29">
        <f>IF(OR(F289="",H289=""),"",IFERROR(H289*INDEX(Catalogue!$G$7:$G$19,MATCH(F289,Catalogue!$B$7:$B$19,0)),"#N/A"))</f>
        <v/>
      </c>
      <c r="J289" s="30">
        <f>IF(ISNUMBER(I289),I289-K289,"")</f>
        <v/>
      </c>
      <c r="K289" s="31">
        <f>IF(OR(F289="",H289=""),"",IFERROR(H289*INDEX(Catalogue!$F$7:$F$19,MATCH(F289,Catalogue!$B$7:$B$19,0)),"#N/A"))</f>
        <v/>
      </c>
      <c r="L289" s="31">
        <f>IF(ISNUMBER(J289),J289*IFERROR(INDEX(Paramètres!$C$7:$C$12,MATCH(INDEX(Effectif!$D$7:$D$21,MATCH(D289,Effectif!$C$7:$C$21,0)),Paramètres!$B$7:$B$12,0)),0),"")</f>
        <v/>
      </c>
      <c r="M289" s="1" t="n"/>
    </row>
    <row r="290">
      <c r="A290" s="1" t="n"/>
      <c r="B290" s="24" t="n">
        <v>284</v>
      </c>
      <c r="C290" s="25" t="n"/>
      <c r="D290" s="26" t="n"/>
      <c r="E290" s="26" t="n"/>
      <c r="F290" s="26" t="n"/>
      <c r="G290" s="27">
        <f>IF(F290="","",IFERROR(INDEX(Catalogue!$C$7:$C$19,MATCH(F290,Catalogue!$B$7:$B$19,0)),"#N/A"))</f>
        <v/>
      </c>
      <c r="H290" s="28" t="n"/>
      <c r="I290" s="29">
        <f>IF(OR(F290="",H290=""),"",IFERROR(H290*INDEX(Catalogue!$G$7:$G$19,MATCH(F290,Catalogue!$B$7:$B$19,0)),"#N/A"))</f>
        <v/>
      </c>
      <c r="J290" s="30">
        <f>IF(ISNUMBER(I290),I290-K290,"")</f>
        <v/>
      </c>
      <c r="K290" s="31">
        <f>IF(OR(F290="",H290=""),"",IFERROR(H290*INDEX(Catalogue!$F$7:$F$19,MATCH(F290,Catalogue!$B$7:$B$19,0)),"#N/A"))</f>
        <v/>
      </c>
      <c r="L290" s="31">
        <f>IF(ISNUMBER(J290),J290*IFERROR(INDEX(Paramètres!$C$7:$C$12,MATCH(INDEX(Effectif!$D$7:$D$21,MATCH(D290,Effectif!$C$7:$C$21,0)),Paramètres!$B$7:$B$12,0)),0),"")</f>
        <v/>
      </c>
      <c r="M290" s="1" t="n"/>
    </row>
    <row r="291">
      <c r="A291" s="1" t="n"/>
      <c r="B291" s="24" t="n">
        <v>285</v>
      </c>
      <c r="C291" s="25" t="n"/>
      <c r="D291" s="26" t="n"/>
      <c r="E291" s="26" t="n"/>
      <c r="F291" s="26" t="n"/>
      <c r="G291" s="27">
        <f>IF(F291="","",IFERROR(INDEX(Catalogue!$C$7:$C$19,MATCH(F291,Catalogue!$B$7:$B$19,0)),"#N/A"))</f>
        <v/>
      </c>
      <c r="H291" s="28" t="n"/>
      <c r="I291" s="29">
        <f>IF(OR(F291="",H291=""),"",IFERROR(H291*INDEX(Catalogue!$G$7:$G$19,MATCH(F291,Catalogue!$B$7:$B$19,0)),"#N/A"))</f>
        <v/>
      </c>
      <c r="J291" s="30">
        <f>IF(ISNUMBER(I291),I291-K291,"")</f>
        <v/>
      </c>
      <c r="K291" s="31">
        <f>IF(OR(F291="",H291=""),"",IFERROR(H291*INDEX(Catalogue!$F$7:$F$19,MATCH(F291,Catalogue!$B$7:$B$19,0)),"#N/A"))</f>
        <v/>
      </c>
      <c r="L291" s="31">
        <f>IF(ISNUMBER(J291),J291*IFERROR(INDEX(Paramètres!$C$7:$C$12,MATCH(INDEX(Effectif!$D$7:$D$21,MATCH(D291,Effectif!$C$7:$C$21,0)),Paramètres!$B$7:$B$12,0)),0),"")</f>
        <v/>
      </c>
      <c r="M291" s="1" t="n"/>
    </row>
    <row r="292">
      <c r="A292" s="1" t="n"/>
      <c r="B292" s="24" t="n">
        <v>286</v>
      </c>
      <c r="C292" s="25" t="n"/>
      <c r="D292" s="26" t="n"/>
      <c r="E292" s="26" t="n"/>
      <c r="F292" s="26" t="n"/>
      <c r="G292" s="27">
        <f>IF(F292="","",IFERROR(INDEX(Catalogue!$C$7:$C$19,MATCH(F292,Catalogue!$B$7:$B$19,0)),"#N/A"))</f>
        <v/>
      </c>
      <c r="H292" s="28" t="n"/>
      <c r="I292" s="29">
        <f>IF(OR(F292="",H292=""),"",IFERROR(H292*INDEX(Catalogue!$G$7:$G$19,MATCH(F292,Catalogue!$B$7:$B$19,0)),"#N/A"))</f>
        <v/>
      </c>
      <c r="J292" s="30">
        <f>IF(ISNUMBER(I292),I292-K292,"")</f>
        <v/>
      </c>
      <c r="K292" s="31">
        <f>IF(OR(F292="",H292=""),"",IFERROR(H292*INDEX(Catalogue!$F$7:$F$19,MATCH(F292,Catalogue!$B$7:$B$19,0)),"#N/A"))</f>
        <v/>
      </c>
      <c r="L292" s="31">
        <f>IF(ISNUMBER(J292),J292*IFERROR(INDEX(Paramètres!$C$7:$C$12,MATCH(INDEX(Effectif!$D$7:$D$21,MATCH(D292,Effectif!$C$7:$C$21,0)),Paramètres!$B$7:$B$12,0)),0),"")</f>
        <v/>
      </c>
      <c r="M292" s="1" t="n"/>
    </row>
    <row r="293">
      <c r="A293" s="1" t="n"/>
      <c r="B293" s="24" t="n">
        <v>287</v>
      </c>
      <c r="C293" s="25" t="n"/>
      <c r="D293" s="26" t="n"/>
      <c r="E293" s="26" t="n"/>
      <c r="F293" s="26" t="n"/>
      <c r="G293" s="27">
        <f>IF(F293="","",IFERROR(INDEX(Catalogue!$C$7:$C$19,MATCH(F293,Catalogue!$B$7:$B$19,0)),"#N/A"))</f>
        <v/>
      </c>
      <c r="H293" s="28" t="n"/>
      <c r="I293" s="29">
        <f>IF(OR(F293="",H293=""),"",IFERROR(H293*INDEX(Catalogue!$G$7:$G$19,MATCH(F293,Catalogue!$B$7:$B$19,0)),"#N/A"))</f>
        <v/>
      </c>
      <c r="J293" s="30">
        <f>IF(ISNUMBER(I293),I293-K293,"")</f>
        <v/>
      </c>
      <c r="K293" s="31">
        <f>IF(OR(F293="",H293=""),"",IFERROR(H293*INDEX(Catalogue!$F$7:$F$19,MATCH(F293,Catalogue!$B$7:$B$19,0)),"#N/A"))</f>
        <v/>
      </c>
      <c r="L293" s="31">
        <f>IF(ISNUMBER(J293),J293*IFERROR(INDEX(Paramètres!$C$7:$C$12,MATCH(INDEX(Effectif!$D$7:$D$21,MATCH(D293,Effectif!$C$7:$C$21,0)),Paramètres!$B$7:$B$12,0)),0),"")</f>
        <v/>
      </c>
      <c r="M293" s="1" t="n"/>
    </row>
    <row r="294">
      <c r="A294" s="1" t="n"/>
      <c r="B294" s="24" t="n">
        <v>288</v>
      </c>
      <c r="C294" s="25" t="n"/>
      <c r="D294" s="26" t="n"/>
      <c r="E294" s="26" t="n"/>
      <c r="F294" s="26" t="n"/>
      <c r="G294" s="27">
        <f>IF(F294="","",IFERROR(INDEX(Catalogue!$C$7:$C$19,MATCH(F294,Catalogue!$B$7:$B$19,0)),"#N/A"))</f>
        <v/>
      </c>
      <c r="H294" s="28" t="n"/>
      <c r="I294" s="29">
        <f>IF(OR(F294="",H294=""),"",IFERROR(H294*INDEX(Catalogue!$G$7:$G$19,MATCH(F294,Catalogue!$B$7:$B$19,0)),"#N/A"))</f>
        <v/>
      </c>
      <c r="J294" s="30">
        <f>IF(ISNUMBER(I294),I294-K294,"")</f>
        <v/>
      </c>
      <c r="K294" s="31">
        <f>IF(OR(F294="",H294=""),"",IFERROR(H294*INDEX(Catalogue!$F$7:$F$19,MATCH(F294,Catalogue!$B$7:$B$19,0)),"#N/A"))</f>
        <v/>
      </c>
      <c r="L294" s="31">
        <f>IF(ISNUMBER(J294),J294*IFERROR(INDEX(Paramètres!$C$7:$C$12,MATCH(INDEX(Effectif!$D$7:$D$21,MATCH(D294,Effectif!$C$7:$C$21,0)),Paramètres!$B$7:$B$12,0)),0),"")</f>
        <v/>
      </c>
      <c r="M294" s="1" t="n"/>
    </row>
    <row r="295">
      <c r="A295" s="1" t="n"/>
      <c r="B295" s="24" t="n">
        <v>289</v>
      </c>
      <c r="C295" s="25" t="n"/>
      <c r="D295" s="26" t="n"/>
      <c r="E295" s="26" t="n"/>
      <c r="F295" s="26" t="n"/>
      <c r="G295" s="27">
        <f>IF(F295="","",IFERROR(INDEX(Catalogue!$C$7:$C$19,MATCH(F295,Catalogue!$B$7:$B$19,0)),"#N/A"))</f>
        <v/>
      </c>
      <c r="H295" s="28" t="n"/>
      <c r="I295" s="29">
        <f>IF(OR(F295="",H295=""),"",IFERROR(H295*INDEX(Catalogue!$G$7:$G$19,MATCH(F295,Catalogue!$B$7:$B$19,0)),"#N/A"))</f>
        <v/>
      </c>
      <c r="J295" s="30">
        <f>IF(ISNUMBER(I295),I295-K295,"")</f>
        <v/>
      </c>
      <c r="K295" s="31">
        <f>IF(OR(F295="",H295=""),"",IFERROR(H295*INDEX(Catalogue!$F$7:$F$19,MATCH(F295,Catalogue!$B$7:$B$19,0)),"#N/A"))</f>
        <v/>
      </c>
      <c r="L295" s="31">
        <f>IF(ISNUMBER(J295),J295*IFERROR(INDEX(Paramètres!$C$7:$C$12,MATCH(INDEX(Effectif!$D$7:$D$21,MATCH(D295,Effectif!$C$7:$C$21,0)),Paramètres!$B$7:$B$12,0)),0),"")</f>
        <v/>
      </c>
      <c r="M295" s="1" t="n"/>
    </row>
    <row r="296">
      <c r="A296" s="1" t="n"/>
      <c r="B296" s="24" t="n">
        <v>290</v>
      </c>
      <c r="C296" s="25" t="n"/>
      <c r="D296" s="26" t="n"/>
      <c r="E296" s="26" t="n"/>
      <c r="F296" s="26" t="n"/>
      <c r="G296" s="27">
        <f>IF(F296="","",IFERROR(INDEX(Catalogue!$C$7:$C$19,MATCH(F296,Catalogue!$B$7:$B$19,0)),"#N/A"))</f>
        <v/>
      </c>
      <c r="H296" s="28" t="n"/>
      <c r="I296" s="29">
        <f>IF(OR(F296="",H296=""),"",IFERROR(H296*INDEX(Catalogue!$G$7:$G$19,MATCH(F296,Catalogue!$B$7:$B$19,0)),"#N/A"))</f>
        <v/>
      </c>
      <c r="J296" s="30">
        <f>IF(ISNUMBER(I296),I296-K296,"")</f>
        <v/>
      </c>
      <c r="K296" s="31">
        <f>IF(OR(F296="",H296=""),"",IFERROR(H296*INDEX(Catalogue!$F$7:$F$19,MATCH(F296,Catalogue!$B$7:$B$19,0)),"#N/A"))</f>
        <v/>
      </c>
      <c r="L296" s="31">
        <f>IF(ISNUMBER(J296),J296*IFERROR(INDEX(Paramètres!$C$7:$C$12,MATCH(INDEX(Effectif!$D$7:$D$21,MATCH(D296,Effectif!$C$7:$C$21,0)),Paramètres!$B$7:$B$12,0)),0),"")</f>
        <v/>
      </c>
      <c r="M296" s="1" t="n"/>
    </row>
    <row r="297">
      <c r="A297" s="1" t="n"/>
      <c r="B297" s="24" t="n">
        <v>291</v>
      </c>
      <c r="C297" s="25" t="n"/>
      <c r="D297" s="26" t="n"/>
      <c r="E297" s="26" t="n"/>
      <c r="F297" s="26" t="n"/>
      <c r="G297" s="27">
        <f>IF(F297="","",IFERROR(INDEX(Catalogue!$C$7:$C$19,MATCH(F297,Catalogue!$B$7:$B$19,0)),"#N/A"))</f>
        <v/>
      </c>
      <c r="H297" s="28" t="n"/>
      <c r="I297" s="29">
        <f>IF(OR(F297="",H297=""),"",IFERROR(H297*INDEX(Catalogue!$G$7:$G$19,MATCH(F297,Catalogue!$B$7:$B$19,0)),"#N/A"))</f>
        <v/>
      </c>
      <c r="J297" s="30">
        <f>IF(ISNUMBER(I297),I297-K297,"")</f>
        <v/>
      </c>
      <c r="K297" s="31">
        <f>IF(OR(F297="",H297=""),"",IFERROR(H297*INDEX(Catalogue!$F$7:$F$19,MATCH(F297,Catalogue!$B$7:$B$19,0)),"#N/A"))</f>
        <v/>
      </c>
      <c r="L297" s="31">
        <f>IF(ISNUMBER(J297),J297*IFERROR(INDEX(Paramètres!$C$7:$C$12,MATCH(INDEX(Effectif!$D$7:$D$21,MATCH(D297,Effectif!$C$7:$C$21,0)),Paramètres!$B$7:$B$12,0)),0),"")</f>
        <v/>
      </c>
      <c r="M297" s="1" t="n"/>
    </row>
    <row r="298">
      <c r="A298" s="1" t="n"/>
      <c r="B298" s="24" t="n">
        <v>292</v>
      </c>
      <c r="C298" s="25" t="n"/>
      <c r="D298" s="26" t="n"/>
      <c r="E298" s="26" t="n"/>
      <c r="F298" s="26" t="n"/>
      <c r="G298" s="27">
        <f>IF(F298="","",IFERROR(INDEX(Catalogue!$C$7:$C$19,MATCH(F298,Catalogue!$B$7:$B$19,0)),"#N/A"))</f>
        <v/>
      </c>
      <c r="H298" s="28" t="n"/>
      <c r="I298" s="29">
        <f>IF(OR(F298="",H298=""),"",IFERROR(H298*INDEX(Catalogue!$G$7:$G$19,MATCH(F298,Catalogue!$B$7:$B$19,0)),"#N/A"))</f>
        <v/>
      </c>
      <c r="J298" s="30">
        <f>IF(ISNUMBER(I298),I298-K298,"")</f>
        <v/>
      </c>
      <c r="K298" s="31">
        <f>IF(OR(F298="",H298=""),"",IFERROR(H298*INDEX(Catalogue!$F$7:$F$19,MATCH(F298,Catalogue!$B$7:$B$19,0)),"#N/A"))</f>
        <v/>
      </c>
      <c r="L298" s="31">
        <f>IF(ISNUMBER(J298),J298*IFERROR(INDEX(Paramètres!$C$7:$C$12,MATCH(INDEX(Effectif!$D$7:$D$21,MATCH(D298,Effectif!$C$7:$C$21,0)),Paramètres!$B$7:$B$12,0)),0),"")</f>
        <v/>
      </c>
      <c r="M298" s="1" t="n"/>
    </row>
    <row r="299">
      <c r="A299" s="1" t="n"/>
      <c r="B299" s="24" t="n">
        <v>293</v>
      </c>
      <c r="C299" s="25" t="n"/>
      <c r="D299" s="26" t="n"/>
      <c r="E299" s="26" t="n"/>
      <c r="F299" s="26" t="n"/>
      <c r="G299" s="27">
        <f>IF(F299="","",IFERROR(INDEX(Catalogue!$C$7:$C$19,MATCH(F299,Catalogue!$B$7:$B$19,0)),"#N/A"))</f>
        <v/>
      </c>
      <c r="H299" s="28" t="n"/>
      <c r="I299" s="29">
        <f>IF(OR(F299="",H299=""),"",IFERROR(H299*INDEX(Catalogue!$G$7:$G$19,MATCH(F299,Catalogue!$B$7:$B$19,0)),"#N/A"))</f>
        <v/>
      </c>
      <c r="J299" s="30">
        <f>IF(ISNUMBER(I299),I299-K299,"")</f>
        <v/>
      </c>
      <c r="K299" s="31">
        <f>IF(OR(F299="",H299=""),"",IFERROR(H299*INDEX(Catalogue!$F$7:$F$19,MATCH(F299,Catalogue!$B$7:$B$19,0)),"#N/A"))</f>
        <v/>
      </c>
      <c r="L299" s="31">
        <f>IF(ISNUMBER(J299),J299*IFERROR(INDEX(Paramètres!$C$7:$C$12,MATCH(INDEX(Effectif!$D$7:$D$21,MATCH(D299,Effectif!$C$7:$C$21,0)),Paramètres!$B$7:$B$12,0)),0),"")</f>
        <v/>
      </c>
      <c r="M299" s="1" t="n"/>
    </row>
    <row r="300">
      <c r="A300" s="1" t="n"/>
      <c r="B300" s="24" t="n">
        <v>294</v>
      </c>
      <c r="C300" s="25" t="n"/>
      <c r="D300" s="26" t="n"/>
      <c r="E300" s="26" t="n"/>
      <c r="F300" s="26" t="n"/>
      <c r="G300" s="27">
        <f>IF(F300="","",IFERROR(INDEX(Catalogue!$C$7:$C$19,MATCH(F300,Catalogue!$B$7:$B$19,0)),"#N/A"))</f>
        <v/>
      </c>
      <c r="H300" s="28" t="n"/>
      <c r="I300" s="29">
        <f>IF(OR(F300="",H300=""),"",IFERROR(H300*INDEX(Catalogue!$G$7:$G$19,MATCH(F300,Catalogue!$B$7:$B$19,0)),"#N/A"))</f>
        <v/>
      </c>
      <c r="J300" s="30">
        <f>IF(ISNUMBER(I300),I300-K300,"")</f>
        <v/>
      </c>
      <c r="K300" s="31">
        <f>IF(OR(F300="",H300=""),"",IFERROR(H300*INDEX(Catalogue!$F$7:$F$19,MATCH(F300,Catalogue!$B$7:$B$19,0)),"#N/A"))</f>
        <v/>
      </c>
      <c r="L300" s="31">
        <f>IF(ISNUMBER(J300),J300*IFERROR(INDEX(Paramètres!$C$7:$C$12,MATCH(INDEX(Effectif!$D$7:$D$21,MATCH(D300,Effectif!$C$7:$C$21,0)),Paramètres!$B$7:$B$12,0)),0),"")</f>
        <v/>
      </c>
      <c r="M300" s="1" t="n"/>
    </row>
    <row r="301">
      <c r="A301" s="1" t="n"/>
      <c r="B301" s="24" t="n">
        <v>295</v>
      </c>
      <c r="C301" s="25" t="n"/>
      <c r="D301" s="26" t="n"/>
      <c r="E301" s="26" t="n"/>
      <c r="F301" s="26" t="n"/>
      <c r="G301" s="27">
        <f>IF(F301="","",IFERROR(INDEX(Catalogue!$C$7:$C$19,MATCH(F301,Catalogue!$B$7:$B$19,0)),"#N/A"))</f>
        <v/>
      </c>
      <c r="H301" s="28" t="n"/>
      <c r="I301" s="29">
        <f>IF(OR(F301="",H301=""),"",IFERROR(H301*INDEX(Catalogue!$G$7:$G$19,MATCH(F301,Catalogue!$B$7:$B$19,0)),"#N/A"))</f>
        <v/>
      </c>
      <c r="J301" s="30">
        <f>IF(ISNUMBER(I301),I301-K301,"")</f>
        <v/>
      </c>
      <c r="K301" s="31">
        <f>IF(OR(F301="",H301=""),"",IFERROR(H301*INDEX(Catalogue!$F$7:$F$19,MATCH(F301,Catalogue!$B$7:$B$19,0)),"#N/A"))</f>
        <v/>
      </c>
      <c r="L301" s="31">
        <f>IF(ISNUMBER(J301),J301*IFERROR(INDEX(Paramètres!$C$7:$C$12,MATCH(INDEX(Effectif!$D$7:$D$21,MATCH(D301,Effectif!$C$7:$C$21,0)),Paramètres!$B$7:$B$12,0)),0),"")</f>
        <v/>
      </c>
      <c r="M301" s="1" t="n"/>
    </row>
    <row r="302">
      <c r="A302" s="1" t="n"/>
      <c r="B302" s="24" t="n">
        <v>296</v>
      </c>
      <c r="C302" s="25" t="n"/>
      <c r="D302" s="26" t="n"/>
      <c r="E302" s="26" t="n"/>
      <c r="F302" s="26" t="n"/>
      <c r="G302" s="27">
        <f>IF(F302="","",IFERROR(INDEX(Catalogue!$C$7:$C$19,MATCH(F302,Catalogue!$B$7:$B$19,0)),"#N/A"))</f>
        <v/>
      </c>
      <c r="H302" s="28" t="n"/>
      <c r="I302" s="29">
        <f>IF(OR(F302="",H302=""),"",IFERROR(H302*INDEX(Catalogue!$G$7:$G$19,MATCH(F302,Catalogue!$B$7:$B$19,0)),"#N/A"))</f>
        <v/>
      </c>
      <c r="J302" s="30">
        <f>IF(ISNUMBER(I302),I302-K302,"")</f>
        <v/>
      </c>
      <c r="K302" s="31">
        <f>IF(OR(F302="",H302=""),"",IFERROR(H302*INDEX(Catalogue!$F$7:$F$19,MATCH(F302,Catalogue!$B$7:$B$19,0)),"#N/A"))</f>
        <v/>
      </c>
      <c r="L302" s="31">
        <f>IF(ISNUMBER(J302),J302*IFERROR(INDEX(Paramètres!$C$7:$C$12,MATCH(INDEX(Effectif!$D$7:$D$21,MATCH(D302,Effectif!$C$7:$C$21,0)),Paramètres!$B$7:$B$12,0)),0),"")</f>
        <v/>
      </c>
      <c r="M302" s="1" t="n"/>
    </row>
    <row r="303">
      <c r="A303" s="1" t="n"/>
      <c r="B303" s="24" t="n">
        <v>297</v>
      </c>
      <c r="C303" s="25" t="n"/>
      <c r="D303" s="26" t="n"/>
      <c r="E303" s="26" t="n"/>
      <c r="F303" s="26" t="n"/>
      <c r="G303" s="27">
        <f>IF(F303="","",IFERROR(INDEX(Catalogue!$C$7:$C$19,MATCH(F303,Catalogue!$B$7:$B$19,0)),"#N/A"))</f>
        <v/>
      </c>
      <c r="H303" s="28" t="n"/>
      <c r="I303" s="29">
        <f>IF(OR(F303="",H303=""),"",IFERROR(H303*INDEX(Catalogue!$G$7:$G$19,MATCH(F303,Catalogue!$B$7:$B$19,0)),"#N/A"))</f>
        <v/>
      </c>
      <c r="J303" s="30">
        <f>IF(ISNUMBER(I303),I303-K303,"")</f>
        <v/>
      </c>
      <c r="K303" s="31">
        <f>IF(OR(F303="",H303=""),"",IFERROR(H303*INDEX(Catalogue!$F$7:$F$19,MATCH(F303,Catalogue!$B$7:$B$19,0)),"#N/A"))</f>
        <v/>
      </c>
      <c r="L303" s="31">
        <f>IF(ISNUMBER(J303),J303*IFERROR(INDEX(Paramètres!$C$7:$C$12,MATCH(INDEX(Effectif!$D$7:$D$21,MATCH(D303,Effectif!$C$7:$C$21,0)),Paramètres!$B$7:$B$12,0)),0),"")</f>
        <v/>
      </c>
      <c r="M303" s="1" t="n"/>
    </row>
    <row r="304">
      <c r="A304" s="1" t="n"/>
      <c r="B304" s="24" t="n">
        <v>298</v>
      </c>
      <c r="C304" s="25" t="n"/>
      <c r="D304" s="26" t="n"/>
      <c r="E304" s="26" t="n"/>
      <c r="F304" s="26" t="n"/>
      <c r="G304" s="27">
        <f>IF(F304="","",IFERROR(INDEX(Catalogue!$C$7:$C$19,MATCH(F304,Catalogue!$B$7:$B$19,0)),"#N/A"))</f>
        <v/>
      </c>
      <c r="H304" s="28" t="n"/>
      <c r="I304" s="29">
        <f>IF(OR(F304="",H304=""),"",IFERROR(H304*INDEX(Catalogue!$G$7:$G$19,MATCH(F304,Catalogue!$B$7:$B$19,0)),"#N/A"))</f>
        <v/>
      </c>
      <c r="J304" s="30">
        <f>IF(ISNUMBER(I304),I304-K304,"")</f>
        <v/>
      </c>
      <c r="K304" s="31">
        <f>IF(OR(F304="",H304=""),"",IFERROR(H304*INDEX(Catalogue!$F$7:$F$19,MATCH(F304,Catalogue!$B$7:$B$19,0)),"#N/A"))</f>
        <v/>
      </c>
      <c r="L304" s="31">
        <f>IF(ISNUMBER(J304),J304*IFERROR(INDEX(Paramètres!$C$7:$C$12,MATCH(INDEX(Effectif!$D$7:$D$21,MATCH(D304,Effectif!$C$7:$C$21,0)),Paramètres!$B$7:$B$12,0)),0),"")</f>
        <v/>
      </c>
      <c r="M304" s="1" t="n"/>
    </row>
    <row r="305">
      <c r="A305" s="1" t="n"/>
      <c r="B305" s="24" t="n">
        <v>299</v>
      </c>
      <c r="C305" s="25" t="n"/>
      <c r="D305" s="26" t="n"/>
      <c r="E305" s="26" t="n"/>
      <c r="F305" s="26" t="n"/>
      <c r="G305" s="27">
        <f>IF(F305="","",IFERROR(INDEX(Catalogue!$C$7:$C$19,MATCH(F305,Catalogue!$B$7:$B$19,0)),"#N/A"))</f>
        <v/>
      </c>
      <c r="H305" s="28" t="n"/>
      <c r="I305" s="29">
        <f>IF(OR(F305="",H305=""),"",IFERROR(H305*INDEX(Catalogue!$G$7:$G$19,MATCH(F305,Catalogue!$B$7:$B$19,0)),"#N/A"))</f>
        <v/>
      </c>
      <c r="J305" s="30">
        <f>IF(ISNUMBER(I305),I305-K305,"")</f>
        <v/>
      </c>
      <c r="K305" s="31">
        <f>IF(OR(F305="",H305=""),"",IFERROR(H305*INDEX(Catalogue!$F$7:$F$19,MATCH(F305,Catalogue!$B$7:$B$19,0)),"#N/A"))</f>
        <v/>
      </c>
      <c r="L305" s="31">
        <f>IF(ISNUMBER(J305),J305*IFERROR(INDEX(Paramètres!$C$7:$C$12,MATCH(INDEX(Effectif!$D$7:$D$21,MATCH(D305,Effectif!$C$7:$C$21,0)),Paramètres!$B$7:$B$12,0)),0),"")</f>
        <v/>
      </c>
      <c r="M305" s="1" t="n"/>
    </row>
    <row r="306">
      <c r="A306" s="1" t="n"/>
      <c r="B306" s="24" t="n">
        <v>300</v>
      </c>
      <c r="C306" s="25" t="n"/>
      <c r="D306" s="26" t="n"/>
      <c r="E306" s="26" t="n"/>
      <c r="F306" s="26" t="n"/>
      <c r="G306" s="27">
        <f>IF(F306="","",IFERROR(INDEX(Catalogue!$C$7:$C$19,MATCH(F306,Catalogue!$B$7:$B$19,0)),"#N/A"))</f>
        <v/>
      </c>
      <c r="H306" s="28" t="n"/>
      <c r="I306" s="29">
        <f>IF(OR(F306="",H306=""),"",IFERROR(H306*INDEX(Catalogue!$G$7:$G$19,MATCH(F306,Catalogue!$B$7:$B$19,0)),"#N/A"))</f>
        <v/>
      </c>
      <c r="J306" s="30">
        <f>IF(ISNUMBER(I306),I306-K306,"")</f>
        <v/>
      </c>
      <c r="K306" s="31">
        <f>IF(OR(F306="",H306=""),"",IFERROR(H306*INDEX(Catalogue!$F$7:$F$19,MATCH(F306,Catalogue!$B$7:$B$19,0)),"#N/A"))</f>
        <v/>
      </c>
      <c r="L306" s="31">
        <f>IF(ISNUMBER(J306),J306*IFERROR(INDEX(Paramètres!$C$7:$C$12,MATCH(INDEX(Effectif!$D$7:$D$21,MATCH(D306,Effectif!$C$7:$C$21,0)),Paramètres!$B$7:$B$12,0)),0),"")</f>
        <v/>
      </c>
      <c r="M306" s="1" t="n"/>
    </row>
    <row r="307">
      <c r="A307" s="1" t="n"/>
      <c r="B307" s="24" t="n">
        <v>301</v>
      </c>
      <c r="C307" s="25" t="n"/>
      <c r="D307" s="26" t="n"/>
      <c r="E307" s="26" t="n"/>
      <c r="F307" s="26" t="n"/>
      <c r="G307" s="27">
        <f>IF(F307="","",IFERROR(INDEX(Catalogue!$C$7:$C$19,MATCH(F307,Catalogue!$B$7:$B$19,0)),"#N/A"))</f>
        <v/>
      </c>
      <c r="H307" s="28" t="n"/>
      <c r="I307" s="29">
        <f>IF(OR(F307="",H307=""),"",IFERROR(H307*INDEX(Catalogue!$G$7:$G$19,MATCH(F307,Catalogue!$B$7:$B$19,0)),"#N/A"))</f>
        <v/>
      </c>
      <c r="J307" s="30">
        <f>IF(ISNUMBER(I307),I307-K307,"")</f>
        <v/>
      </c>
      <c r="K307" s="31">
        <f>IF(OR(F307="",H307=""),"",IFERROR(H307*INDEX(Catalogue!$F$7:$F$19,MATCH(F307,Catalogue!$B$7:$B$19,0)),"#N/A"))</f>
        <v/>
      </c>
      <c r="L307" s="31">
        <f>IF(ISNUMBER(J307),J307*IFERROR(INDEX(Paramètres!$C$7:$C$12,MATCH(INDEX(Effectif!$D$7:$D$21,MATCH(D307,Effectif!$C$7:$C$21,0)),Paramètres!$B$7:$B$12,0)),0),"")</f>
        <v/>
      </c>
      <c r="M307" s="1" t="n"/>
    </row>
    <row r="308">
      <c r="A308" s="1" t="n"/>
      <c r="B308" s="24" t="n">
        <v>302</v>
      </c>
      <c r="C308" s="25" t="n"/>
      <c r="D308" s="26" t="n"/>
      <c r="E308" s="26" t="n"/>
      <c r="F308" s="26" t="n"/>
      <c r="G308" s="27">
        <f>IF(F308="","",IFERROR(INDEX(Catalogue!$C$7:$C$19,MATCH(F308,Catalogue!$B$7:$B$19,0)),"#N/A"))</f>
        <v/>
      </c>
      <c r="H308" s="28" t="n"/>
      <c r="I308" s="29">
        <f>IF(OR(F308="",H308=""),"",IFERROR(H308*INDEX(Catalogue!$G$7:$G$19,MATCH(F308,Catalogue!$B$7:$B$19,0)),"#N/A"))</f>
        <v/>
      </c>
      <c r="J308" s="30">
        <f>IF(ISNUMBER(I308),I308-K308,"")</f>
        <v/>
      </c>
      <c r="K308" s="31">
        <f>IF(OR(F308="",H308=""),"",IFERROR(H308*INDEX(Catalogue!$F$7:$F$19,MATCH(F308,Catalogue!$B$7:$B$19,0)),"#N/A"))</f>
        <v/>
      </c>
      <c r="L308" s="31">
        <f>IF(ISNUMBER(J308),J308*IFERROR(INDEX(Paramètres!$C$7:$C$12,MATCH(INDEX(Effectif!$D$7:$D$21,MATCH(D308,Effectif!$C$7:$C$21,0)),Paramètres!$B$7:$B$12,0)),0),"")</f>
        <v/>
      </c>
      <c r="M308" s="1" t="n"/>
    </row>
    <row r="309">
      <c r="A309" s="1" t="n"/>
      <c r="B309" s="24" t="n">
        <v>303</v>
      </c>
      <c r="C309" s="25" t="n"/>
      <c r="D309" s="26" t="n"/>
      <c r="E309" s="26" t="n"/>
      <c r="F309" s="26" t="n"/>
      <c r="G309" s="27">
        <f>IF(F309="","",IFERROR(INDEX(Catalogue!$C$7:$C$19,MATCH(F309,Catalogue!$B$7:$B$19,0)),"#N/A"))</f>
        <v/>
      </c>
      <c r="H309" s="28" t="n"/>
      <c r="I309" s="29">
        <f>IF(OR(F309="",H309=""),"",IFERROR(H309*INDEX(Catalogue!$G$7:$G$19,MATCH(F309,Catalogue!$B$7:$B$19,0)),"#N/A"))</f>
        <v/>
      </c>
      <c r="J309" s="30">
        <f>IF(ISNUMBER(I309),I309-K309,"")</f>
        <v/>
      </c>
      <c r="K309" s="31">
        <f>IF(OR(F309="",H309=""),"",IFERROR(H309*INDEX(Catalogue!$F$7:$F$19,MATCH(F309,Catalogue!$B$7:$B$19,0)),"#N/A"))</f>
        <v/>
      </c>
      <c r="L309" s="31">
        <f>IF(ISNUMBER(J309),J309*IFERROR(INDEX(Paramètres!$C$7:$C$12,MATCH(INDEX(Effectif!$D$7:$D$21,MATCH(D309,Effectif!$C$7:$C$21,0)),Paramètres!$B$7:$B$12,0)),0),"")</f>
        <v/>
      </c>
      <c r="M309" s="1" t="n"/>
    </row>
    <row r="310">
      <c r="A310" s="1" t="n"/>
      <c r="B310" s="24" t="n">
        <v>304</v>
      </c>
      <c r="C310" s="25" t="n"/>
      <c r="D310" s="26" t="n"/>
      <c r="E310" s="26" t="n"/>
      <c r="F310" s="26" t="n"/>
      <c r="G310" s="27">
        <f>IF(F310="","",IFERROR(INDEX(Catalogue!$C$7:$C$19,MATCH(F310,Catalogue!$B$7:$B$19,0)),"#N/A"))</f>
        <v/>
      </c>
      <c r="H310" s="28" t="n"/>
      <c r="I310" s="29">
        <f>IF(OR(F310="",H310=""),"",IFERROR(H310*INDEX(Catalogue!$G$7:$G$19,MATCH(F310,Catalogue!$B$7:$B$19,0)),"#N/A"))</f>
        <v/>
      </c>
      <c r="J310" s="30">
        <f>IF(ISNUMBER(I310),I310-K310,"")</f>
        <v/>
      </c>
      <c r="K310" s="31">
        <f>IF(OR(F310="",H310=""),"",IFERROR(H310*INDEX(Catalogue!$F$7:$F$19,MATCH(F310,Catalogue!$B$7:$B$19,0)),"#N/A"))</f>
        <v/>
      </c>
      <c r="L310" s="31">
        <f>IF(ISNUMBER(J310),J310*IFERROR(INDEX(Paramètres!$C$7:$C$12,MATCH(INDEX(Effectif!$D$7:$D$21,MATCH(D310,Effectif!$C$7:$C$21,0)),Paramètres!$B$7:$B$12,0)),0),"")</f>
        <v/>
      </c>
      <c r="M310" s="1" t="n"/>
    </row>
    <row r="311">
      <c r="A311" s="1" t="n"/>
      <c r="B311" s="24" t="n">
        <v>305</v>
      </c>
      <c r="C311" s="25" t="n"/>
      <c r="D311" s="26" t="n"/>
      <c r="E311" s="26" t="n"/>
      <c r="F311" s="26" t="n"/>
      <c r="G311" s="27">
        <f>IF(F311="","",IFERROR(INDEX(Catalogue!$C$7:$C$19,MATCH(F311,Catalogue!$B$7:$B$19,0)),"#N/A"))</f>
        <v/>
      </c>
      <c r="H311" s="28" t="n"/>
      <c r="I311" s="29">
        <f>IF(OR(F311="",H311=""),"",IFERROR(H311*INDEX(Catalogue!$G$7:$G$19,MATCH(F311,Catalogue!$B$7:$B$19,0)),"#N/A"))</f>
        <v/>
      </c>
      <c r="J311" s="30">
        <f>IF(ISNUMBER(I311),I311-K311,"")</f>
        <v/>
      </c>
      <c r="K311" s="31">
        <f>IF(OR(F311="",H311=""),"",IFERROR(H311*INDEX(Catalogue!$F$7:$F$19,MATCH(F311,Catalogue!$B$7:$B$19,0)),"#N/A"))</f>
        <v/>
      </c>
      <c r="L311" s="31">
        <f>IF(ISNUMBER(J311),J311*IFERROR(INDEX(Paramètres!$C$7:$C$12,MATCH(INDEX(Effectif!$D$7:$D$21,MATCH(D311,Effectif!$C$7:$C$21,0)),Paramètres!$B$7:$B$12,0)),0),"")</f>
        <v/>
      </c>
      <c r="M311" s="1" t="n"/>
    </row>
    <row r="312">
      <c r="A312" s="1" t="n"/>
      <c r="B312" s="24" t="n">
        <v>306</v>
      </c>
      <c r="C312" s="25" t="n"/>
      <c r="D312" s="26" t="n"/>
      <c r="E312" s="26" t="n"/>
      <c r="F312" s="26" t="n"/>
      <c r="G312" s="27">
        <f>IF(F312="","",IFERROR(INDEX(Catalogue!$C$7:$C$19,MATCH(F312,Catalogue!$B$7:$B$19,0)),"#N/A"))</f>
        <v/>
      </c>
      <c r="H312" s="28" t="n"/>
      <c r="I312" s="29">
        <f>IF(OR(F312="",H312=""),"",IFERROR(H312*INDEX(Catalogue!$G$7:$G$19,MATCH(F312,Catalogue!$B$7:$B$19,0)),"#N/A"))</f>
        <v/>
      </c>
      <c r="J312" s="30">
        <f>IF(ISNUMBER(I312),I312-K312,"")</f>
        <v/>
      </c>
      <c r="K312" s="31">
        <f>IF(OR(F312="",H312=""),"",IFERROR(H312*INDEX(Catalogue!$F$7:$F$19,MATCH(F312,Catalogue!$B$7:$B$19,0)),"#N/A"))</f>
        <v/>
      </c>
      <c r="L312" s="31">
        <f>IF(ISNUMBER(J312),J312*IFERROR(INDEX(Paramètres!$C$7:$C$12,MATCH(INDEX(Effectif!$D$7:$D$21,MATCH(D312,Effectif!$C$7:$C$21,0)),Paramètres!$B$7:$B$12,0)),0),"")</f>
        <v/>
      </c>
      <c r="M312" s="1" t="n"/>
    </row>
    <row r="313">
      <c r="A313" s="1" t="n"/>
      <c r="B313" s="24" t="n">
        <v>307</v>
      </c>
      <c r="C313" s="25" t="n"/>
      <c r="D313" s="26" t="n"/>
      <c r="E313" s="26" t="n"/>
      <c r="F313" s="26" t="n"/>
      <c r="G313" s="27">
        <f>IF(F313="","",IFERROR(INDEX(Catalogue!$C$7:$C$19,MATCH(F313,Catalogue!$B$7:$B$19,0)),"#N/A"))</f>
        <v/>
      </c>
      <c r="H313" s="28" t="n"/>
      <c r="I313" s="29">
        <f>IF(OR(F313="",H313=""),"",IFERROR(H313*INDEX(Catalogue!$G$7:$G$19,MATCH(F313,Catalogue!$B$7:$B$19,0)),"#N/A"))</f>
        <v/>
      </c>
      <c r="J313" s="30">
        <f>IF(ISNUMBER(I313),I313-K313,"")</f>
        <v/>
      </c>
      <c r="K313" s="31">
        <f>IF(OR(F313="",H313=""),"",IFERROR(H313*INDEX(Catalogue!$F$7:$F$19,MATCH(F313,Catalogue!$B$7:$B$19,0)),"#N/A"))</f>
        <v/>
      </c>
      <c r="L313" s="31">
        <f>IF(ISNUMBER(J313),J313*IFERROR(INDEX(Paramètres!$C$7:$C$12,MATCH(INDEX(Effectif!$D$7:$D$21,MATCH(D313,Effectif!$C$7:$C$21,0)),Paramètres!$B$7:$B$12,0)),0),"")</f>
        <v/>
      </c>
      <c r="M313" s="1" t="n"/>
    </row>
    <row r="314">
      <c r="A314" s="1" t="n"/>
      <c r="B314" s="24" t="n">
        <v>308</v>
      </c>
      <c r="C314" s="25" t="n"/>
      <c r="D314" s="26" t="n"/>
      <c r="E314" s="26" t="n"/>
      <c r="F314" s="26" t="n"/>
      <c r="G314" s="27">
        <f>IF(F314="","",IFERROR(INDEX(Catalogue!$C$7:$C$19,MATCH(F314,Catalogue!$B$7:$B$19,0)),"#N/A"))</f>
        <v/>
      </c>
      <c r="H314" s="28" t="n"/>
      <c r="I314" s="29">
        <f>IF(OR(F314="",H314=""),"",IFERROR(H314*INDEX(Catalogue!$G$7:$G$19,MATCH(F314,Catalogue!$B$7:$B$19,0)),"#N/A"))</f>
        <v/>
      </c>
      <c r="J314" s="30">
        <f>IF(ISNUMBER(I314),I314-K314,"")</f>
        <v/>
      </c>
      <c r="K314" s="31">
        <f>IF(OR(F314="",H314=""),"",IFERROR(H314*INDEX(Catalogue!$F$7:$F$19,MATCH(F314,Catalogue!$B$7:$B$19,0)),"#N/A"))</f>
        <v/>
      </c>
      <c r="L314" s="31">
        <f>IF(ISNUMBER(J314),J314*IFERROR(INDEX(Paramètres!$C$7:$C$12,MATCH(INDEX(Effectif!$D$7:$D$21,MATCH(D314,Effectif!$C$7:$C$21,0)),Paramètres!$B$7:$B$12,0)),0),"")</f>
        <v/>
      </c>
      <c r="M314" s="1" t="n"/>
    </row>
    <row r="315">
      <c r="A315" s="1" t="n"/>
      <c r="B315" s="24" t="n">
        <v>309</v>
      </c>
      <c r="C315" s="25" t="n"/>
      <c r="D315" s="26" t="n"/>
      <c r="E315" s="26" t="n"/>
      <c r="F315" s="26" t="n"/>
      <c r="G315" s="27">
        <f>IF(F315="","",IFERROR(INDEX(Catalogue!$C$7:$C$19,MATCH(F315,Catalogue!$B$7:$B$19,0)),"#N/A"))</f>
        <v/>
      </c>
      <c r="H315" s="28" t="n"/>
      <c r="I315" s="29">
        <f>IF(OR(F315="",H315=""),"",IFERROR(H315*INDEX(Catalogue!$G$7:$G$19,MATCH(F315,Catalogue!$B$7:$B$19,0)),"#N/A"))</f>
        <v/>
      </c>
      <c r="J315" s="30">
        <f>IF(ISNUMBER(I315),I315-K315,"")</f>
        <v/>
      </c>
      <c r="K315" s="31">
        <f>IF(OR(F315="",H315=""),"",IFERROR(H315*INDEX(Catalogue!$F$7:$F$19,MATCH(F315,Catalogue!$B$7:$B$19,0)),"#N/A"))</f>
        <v/>
      </c>
      <c r="L315" s="31">
        <f>IF(ISNUMBER(J315),J315*IFERROR(INDEX(Paramètres!$C$7:$C$12,MATCH(INDEX(Effectif!$D$7:$D$21,MATCH(D315,Effectif!$C$7:$C$21,0)),Paramètres!$B$7:$B$12,0)),0),"")</f>
        <v/>
      </c>
      <c r="M315" s="1" t="n"/>
    </row>
    <row r="316">
      <c r="A316" s="1" t="n"/>
      <c r="B316" s="24" t="n">
        <v>310</v>
      </c>
      <c r="C316" s="25" t="n"/>
      <c r="D316" s="26" t="n"/>
      <c r="E316" s="26" t="n"/>
      <c r="F316" s="26" t="n"/>
      <c r="G316" s="27">
        <f>IF(F316="","",IFERROR(INDEX(Catalogue!$C$7:$C$19,MATCH(F316,Catalogue!$B$7:$B$19,0)),"#N/A"))</f>
        <v/>
      </c>
      <c r="H316" s="28" t="n"/>
      <c r="I316" s="29">
        <f>IF(OR(F316="",H316=""),"",IFERROR(H316*INDEX(Catalogue!$G$7:$G$19,MATCH(F316,Catalogue!$B$7:$B$19,0)),"#N/A"))</f>
        <v/>
      </c>
      <c r="J316" s="30">
        <f>IF(ISNUMBER(I316),I316-K316,"")</f>
        <v/>
      </c>
      <c r="K316" s="31">
        <f>IF(OR(F316="",H316=""),"",IFERROR(H316*INDEX(Catalogue!$F$7:$F$19,MATCH(F316,Catalogue!$B$7:$B$19,0)),"#N/A"))</f>
        <v/>
      </c>
      <c r="L316" s="31">
        <f>IF(ISNUMBER(J316),J316*IFERROR(INDEX(Paramètres!$C$7:$C$12,MATCH(INDEX(Effectif!$D$7:$D$21,MATCH(D316,Effectif!$C$7:$C$21,0)),Paramètres!$B$7:$B$12,0)),0),"")</f>
        <v/>
      </c>
      <c r="M316" s="1" t="n"/>
    </row>
    <row r="317">
      <c r="A317" s="1" t="n"/>
      <c r="B317" s="24" t="n">
        <v>311</v>
      </c>
      <c r="C317" s="25" t="n"/>
      <c r="D317" s="26" t="n"/>
      <c r="E317" s="26" t="n"/>
      <c r="F317" s="26" t="n"/>
      <c r="G317" s="27">
        <f>IF(F317="","",IFERROR(INDEX(Catalogue!$C$7:$C$19,MATCH(F317,Catalogue!$B$7:$B$19,0)),"#N/A"))</f>
        <v/>
      </c>
      <c r="H317" s="28" t="n"/>
      <c r="I317" s="29">
        <f>IF(OR(F317="",H317=""),"",IFERROR(H317*INDEX(Catalogue!$G$7:$G$19,MATCH(F317,Catalogue!$B$7:$B$19,0)),"#N/A"))</f>
        <v/>
      </c>
      <c r="J317" s="30">
        <f>IF(ISNUMBER(I317),I317-K317,"")</f>
        <v/>
      </c>
      <c r="K317" s="31">
        <f>IF(OR(F317="",H317=""),"",IFERROR(H317*INDEX(Catalogue!$F$7:$F$19,MATCH(F317,Catalogue!$B$7:$B$19,0)),"#N/A"))</f>
        <v/>
      </c>
      <c r="L317" s="31">
        <f>IF(ISNUMBER(J317),J317*IFERROR(INDEX(Paramètres!$C$7:$C$12,MATCH(INDEX(Effectif!$D$7:$D$21,MATCH(D317,Effectif!$C$7:$C$21,0)),Paramètres!$B$7:$B$12,0)),0),"")</f>
        <v/>
      </c>
      <c r="M317" s="1" t="n"/>
    </row>
    <row r="318">
      <c r="A318" s="1" t="n"/>
      <c r="B318" s="24" t="n">
        <v>312</v>
      </c>
      <c r="C318" s="25" t="n"/>
      <c r="D318" s="26" t="n"/>
      <c r="E318" s="26" t="n"/>
      <c r="F318" s="26" t="n"/>
      <c r="G318" s="27">
        <f>IF(F318="","",IFERROR(INDEX(Catalogue!$C$7:$C$19,MATCH(F318,Catalogue!$B$7:$B$19,0)),"#N/A"))</f>
        <v/>
      </c>
      <c r="H318" s="28" t="n"/>
      <c r="I318" s="29">
        <f>IF(OR(F318="",H318=""),"",IFERROR(H318*INDEX(Catalogue!$G$7:$G$19,MATCH(F318,Catalogue!$B$7:$B$19,0)),"#N/A"))</f>
        <v/>
      </c>
      <c r="J318" s="30">
        <f>IF(ISNUMBER(I318),I318-K318,"")</f>
        <v/>
      </c>
      <c r="K318" s="31">
        <f>IF(OR(F318="",H318=""),"",IFERROR(H318*INDEX(Catalogue!$F$7:$F$19,MATCH(F318,Catalogue!$B$7:$B$19,0)),"#N/A"))</f>
        <v/>
      </c>
      <c r="L318" s="31">
        <f>IF(ISNUMBER(J318),J318*IFERROR(INDEX(Paramètres!$C$7:$C$12,MATCH(INDEX(Effectif!$D$7:$D$21,MATCH(D318,Effectif!$C$7:$C$21,0)),Paramètres!$B$7:$B$12,0)),0),"")</f>
        <v/>
      </c>
      <c r="M318" s="1" t="n"/>
    </row>
    <row r="319">
      <c r="A319" s="1" t="n"/>
      <c r="B319" s="24" t="n">
        <v>313</v>
      </c>
      <c r="C319" s="25" t="n"/>
      <c r="D319" s="26" t="n"/>
      <c r="E319" s="26" t="n"/>
      <c r="F319" s="26" t="n"/>
      <c r="G319" s="27">
        <f>IF(F319="","",IFERROR(INDEX(Catalogue!$C$7:$C$19,MATCH(F319,Catalogue!$B$7:$B$19,0)),"#N/A"))</f>
        <v/>
      </c>
      <c r="H319" s="28" t="n"/>
      <c r="I319" s="29">
        <f>IF(OR(F319="",H319=""),"",IFERROR(H319*INDEX(Catalogue!$G$7:$G$19,MATCH(F319,Catalogue!$B$7:$B$19,0)),"#N/A"))</f>
        <v/>
      </c>
      <c r="J319" s="30">
        <f>IF(ISNUMBER(I319),I319-K319,"")</f>
        <v/>
      </c>
      <c r="K319" s="31">
        <f>IF(OR(F319="",H319=""),"",IFERROR(H319*INDEX(Catalogue!$F$7:$F$19,MATCH(F319,Catalogue!$B$7:$B$19,0)),"#N/A"))</f>
        <v/>
      </c>
      <c r="L319" s="31">
        <f>IF(ISNUMBER(J319),J319*IFERROR(INDEX(Paramètres!$C$7:$C$12,MATCH(INDEX(Effectif!$D$7:$D$21,MATCH(D319,Effectif!$C$7:$C$21,0)),Paramètres!$B$7:$B$12,0)),0),"")</f>
        <v/>
      </c>
      <c r="M319" s="1" t="n"/>
    </row>
    <row r="320">
      <c r="A320" s="1" t="n"/>
      <c r="B320" s="24" t="n">
        <v>314</v>
      </c>
      <c r="C320" s="25" t="n"/>
      <c r="D320" s="26" t="n"/>
      <c r="E320" s="26" t="n"/>
      <c r="F320" s="26" t="n"/>
      <c r="G320" s="27">
        <f>IF(F320="","",IFERROR(INDEX(Catalogue!$C$7:$C$19,MATCH(F320,Catalogue!$B$7:$B$19,0)),"#N/A"))</f>
        <v/>
      </c>
      <c r="H320" s="28" t="n"/>
      <c r="I320" s="29">
        <f>IF(OR(F320="",H320=""),"",IFERROR(H320*INDEX(Catalogue!$G$7:$G$19,MATCH(F320,Catalogue!$B$7:$B$19,0)),"#N/A"))</f>
        <v/>
      </c>
      <c r="J320" s="30">
        <f>IF(ISNUMBER(I320),I320-K320,"")</f>
        <v/>
      </c>
      <c r="K320" s="31">
        <f>IF(OR(F320="",H320=""),"",IFERROR(H320*INDEX(Catalogue!$F$7:$F$19,MATCH(F320,Catalogue!$B$7:$B$19,0)),"#N/A"))</f>
        <v/>
      </c>
      <c r="L320" s="31">
        <f>IF(ISNUMBER(J320),J320*IFERROR(INDEX(Paramètres!$C$7:$C$12,MATCH(INDEX(Effectif!$D$7:$D$21,MATCH(D320,Effectif!$C$7:$C$21,0)),Paramètres!$B$7:$B$12,0)),0),"")</f>
        <v/>
      </c>
      <c r="M320" s="1" t="n"/>
    </row>
    <row r="321">
      <c r="A321" s="1" t="n"/>
      <c r="B321" s="24" t="n">
        <v>315</v>
      </c>
      <c r="C321" s="25" t="n"/>
      <c r="D321" s="26" t="n"/>
      <c r="E321" s="26" t="n"/>
      <c r="F321" s="26" t="n"/>
      <c r="G321" s="27">
        <f>IF(F321="","",IFERROR(INDEX(Catalogue!$C$7:$C$19,MATCH(F321,Catalogue!$B$7:$B$19,0)),"#N/A"))</f>
        <v/>
      </c>
      <c r="H321" s="28" t="n"/>
      <c r="I321" s="29">
        <f>IF(OR(F321="",H321=""),"",IFERROR(H321*INDEX(Catalogue!$G$7:$G$19,MATCH(F321,Catalogue!$B$7:$B$19,0)),"#N/A"))</f>
        <v/>
      </c>
      <c r="J321" s="30">
        <f>IF(ISNUMBER(I321),I321-K321,"")</f>
        <v/>
      </c>
      <c r="K321" s="31">
        <f>IF(OR(F321="",H321=""),"",IFERROR(H321*INDEX(Catalogue!$F$7:$F$19,MATCH(F321,Catalogue!$B$7:$B$19,0)),"#N/A"))</f>
        <v/>
      </c>
      <c r="L321" s="31">
        <f>IF(ISNUMBER(J321),J321*IFERROR(INDEX(Paramètres!$C$7:$C$12,MATCH(INDEX(Effectif!$D$7:$D$21,MATCH(D321,Effectif!$C$7:$C$21,0)),Paramètres!$B$7:$B$12,0)),0),"")</f>
        <v/>
      </c>
      <c r="M321" s="1" t="n"/>
    </row>
    <row r="322">
      <c r="A322" s="1" t="n"/>
      <c r="B322" s="24" t="n">
        <v>316</v>
      </c>
      <c r="C322" s="25" t="n"/>
      <c r="D322" s="26" t="n"/>
      <c r="E322" s="26" t="n"/>
      <c r="F322" s="26" t="n"/>
      <c r="G322" s="27">
        <f>IF(F322="","",IFERROR(INDEX(Catalogue!$C$7:$C$19,MATCH(F322,Catalogue!$B$7:$B$19,0)),"#N/A"))</f>
        <v/>
      </c>
      <c r="H322" s="28" t="n"/>
      <c r="I322" s="29">
        <f>IF(OR(F322="",H322=""),"",IFERROR(H322*INDEX(Catalogue!$G$7:$G$19,MATCH(F322,Catalogue!$B$7:$B$19,0)),"#N/A"))</f>
        <v/>
      </c>
      <c r="J322" s="30">
        <f>IF(ISNUMBER(I322),I322-K322,"")</f>
        <v/>
      </c>
      <c r="K322" s="31">
        <f>IF(OR(F322="",H322=""),"",IFERROR(H322*INDEX(Catalogue!$F$7:$F$19,MATCH(F322,Catalogue!$B$7:$B$19,0)),"#N/A"))</f>
        <v/>
      </c>
      <c r="L322" s="31">
        <f>IF(ISNUMBER(J322),J322*IFERROR(INDEX(Paramètres!$C$7:$C$12,MATCH(INDEX(Effectif!$D$7:$D$21,MATCH(D322,Effectif!$C$7:$C$21,0)),Paramètres!$B$7:$B$12,0)),0),"")</f>
        <v/>
      </c>
      <c r="M322" s="1" t="n"/>
    </row>
    <row r="323">
      <c r="A323" s="1" t="n"/>
      <c r="B323" s="24" t="n">
        <v>317</v>
      </c>
      <c r="C323" s="25" t="n"/>
      <c r="D323" s="26" t="n"/>
      <c r="E323" s="26" t="n"/>
      <c r="F323" s="26" t="n"/>
      <c r="G323" s="27">
        <f>IF(F323="","",IFERROR(INDEX(Catalogue!$C$7:$C$19,MATCH(F323,Catalogue!$B$7:$B$19,0)),"#N/A"))</f>
        <v/>
      </c>
      <c r="H323" s="28" t="n"/>
      <c r="I323" s="29">
        <f>IF(OR(F323="",H323=""),"",IFERROR(H323*INDEX(Catalogue!$G$7:$G$19,MATCH(F323,Catalogue!$B$7:$B$19,0)),"#N/A"))</f>
        <v/>
      </c>
      <c r="J323" s="30">
        <f>IF(ISNUMBER(I323),I323-K323,"")</f>
        <v/>
      </c>
      <c r="K323" s="31">
        <f>IF(OR(F323="",H323=""),"",IFERROR(H323*INDEX(Catalogue!$F$7:$F$19,MATCH(F323,Catalogue!$B$7:$B$19,0)),"#N/A"))</f>
        <v/>
      </c>
      <c r="L323" s="31">
        <f>IF(ISNUMBER(J323),J323*IFERROR(INDEX(Paramètres!$C$7:$C$12,MATCH(INDEX(Effectif!$D$7:$D$21,MATCH(D323,Effectif!$C$7:$C$21,0)),Paramètres!$B$7:$B$12,0)),0),"")</f>
        <v/>
      </c>
      <c r="M323" s="1" t="n"/>
    </row>
    <row r="324">
      <c r="A324" s="1" t="n"/>
      <c r="B324" s="24" t="n">
        <v>318</v>
      </c>
      <c r="C324" s="25" t="n"/>
      <c r="D324" s="26" t="n"/>
      <c r="E324" s="26" t="n"/>
      <c r="F324" s="26" t="n"/>
      <c r="G324" s="27">
        <f>IF(F324="","",IFERROR(INDEX(Catalogue!$C$7:$C$19,MATCH(F324,Catalogue!$B$7:$B$19,0)),"#N/A"))</f>
        <v/>
      </c>
      <c r="H324" s="28" t="n"/>
      <c r="I324" s="29">
        <f>IF(OR(F324="",H324=""),"",IFERROR(H324*INDEX(Catalogue!$G$7:$G$19,MATCH(F324,Catalogue!$B$7:$B$19,0)),"#N/A"))</f>
        <v/>
      </c>
      <c r="J324" s="30">
        <f>IF(ISNUMBER(I324),I324-K324,"")</f>
        <v/>
      </c>
      <c r="K324" s="31">
        <f>IF(OR(F324="",H324=""),"",IFERROR(H324*INDEX(Catalogue!$F$7:$F$19,MATCH(F324,Catalogue!$B$7:$B$19,0)),"#N/A"))</f>
        <v/>
      </c>
      <c r="L324" s="31">
        <f>IF(ISNUMBER(J324),J324*IFERROR(INDEX(Paramètres!$C$7:$C$12,MATCH(INDEX(Effectif!$D$7:$D$21,MATCH(D324,Effectif!$C$7:$C$21,0)),Paramètres!$B$7:$B$12,0)),0),"")</f>
        <v/>
      </c>
      <c r="M324" s="1" t="n"/>
    </row>
    <row r="325">
      <c r="A325" s="1" t="n"/>
      <c r="B325" s="24" t="n">
        <v>319</v>
      </c>
      <c r="C325" s="25" t="n"/>
      <c r="D325" s="26" t="n"/>
      <c r="E325" s="26" t="n"/>
      <c r="F325" s="26" t="n"/>
      <c r="G325" s="27">
        <f>IF(F325="","",IFERROR(INDEX(Catalogue!$C$7:$C$19,MATCH(F325,Catalogue!$B$7:$B$19,0)),"#N/A"))</f>
        <v/>
      </c>
      <c r="H325" s="28" t="n"/>
      <c r="I325" s="29">
        <f>IF(OR(F325="",H325=""),"",IFERROR(H325*INDEX(Catalogue!$G$7:$G$19,MATCH(F325,Catalogue!$B$7:$B$19,0)),"#N/A"))</f>
        <v/>
      </c>
      <c r="J325" s="30">
        <f>IF(ISNUMBER(I325),I325-K325,"")</f>
        <v/>
      </c>
      <c r="K325" s="31">
        <f>IF(OR(F325="",H325=""),"",IFERROR(H325*INDEX(Catalogue!$F$7:$F$19,MATCH(F325,Catalogue!$B$7:$B$19,0)),"#N/A"))</f>
        <v/>
      </c>
      <c r="L325" s="31">
        <f>IF(ISNUMBER(J325),J325*IFERROR(INDEX(Paramètres!$C$7:$C$12,MATCH(INDEX(Effectif!$D$7:$D$21,MATCH(D325,Effectif!$C$7:$C$21,0)),Paramètres!$B$7:$B$12,0)),0),"")</f>
        <v/>
      </c>
      <c r="M325" s="1" t="n"/>
    </row>
    <row r="326">
      <c r="A326" s="1" t="n"/>
      <c r="B326" s="24" t="n">
        <v>320</v>
      </c>
      <c r="C326" s="25" t="n"/>
      <c r="D326" s="26" t="n"/>
      <c r="E326" s="26" t="n"/>
      <c r="F326" s="26" t="n"/>
      <c r="G326" s="27">
        <f>IF(F326="","",IFERROR(INDEX(Catalogue!$C$7:$C$19,MATCH(F326,Catalogue!$B$7:$B$19,0)),"#N/A"))</f>
        <v/>
      </c>
      <c r="H326" s="28" t="n"/>
      <c r="I326" s="29">
        <f>IF(OR(F326="",H326=""),"",IFERROR(H326*INDEX(Catalogue!$G$7:$G$19,MATCH(F326,Catalogue!$B$7:$B$19,0)),"#N/A"))</f>
        <v/>
      </c>
      <c r="J326" s="30">
        <f>IF(ISNUMBER(I326),I326-K326,"")</f>
        <v/>
      </c>
      <c r="K326" s="31">
        <f>IF(OR(F326="",H326=""),"",IFERROR(H326*INDEX(Catalogue!$F$7:$F$19,MATCH(F326,Catalogue!$B$7:$B$19,0)),"#N/A"))</f>
        <v/>
      </c>
      <c r="L326" s="31">
        <f>IF(ISNUMBER(J326),J326*IFERROR(INDEX(Paramètres!$C$7:$C$12,MATCH(INDEX(Effectif!$D$7:$D$21,MATCH(D326,Effectif!$C$7:$C$21,0)),Paramètres!$B$7:$B$12,0)),0),"")</f>
        <v/>
      </c>
      <c r="M326" s="1" t="n"/>
    </row>
    <row r="327">
      <c r="A327" s="1" t="n"/>
      <c r="B327" s="24" t="n">
        <v>321</v>
      </c>
      <c r="C327" s="25" t="n"/>
      <c r="D327" s="26" t="n"/>
      <c r="E327" s="26" t="n"/>
      <c r="F327" s="26" t="n"/>
      <c r="G327" s="27">
        <f>IF(F327="","",IFERROR(INDEX(Catalogue!$C$7:$C$19,MATCH(F327,Catalogue!$B$7:$B$19,0)),"#N/A"))</f>
        <v/>
      </c>
      <c r="H327" s="28" t="n"/>
      <c r="I327" s="29">
        <f>IF(OR(F327="",H327=""),"",IFERROR(H327*INDEX(Catalogue!$G$7:$G$19,MATCH(F327,Catalogue!$B$7:$B$19,0)),"#N/A"))</f>
        <v/>
      </c>
      <c r="J327" s="30">
        <f>IF(ISNUMBER(I327),I327-K327,"")</f>
        <v/>
      </c>
      <c r="K327" s="31">
        <f>IF(OR(F327="",H327=""),"",IFERROR(H327*INDEX(Catalogue!$F$7:$F$19,MATCH(F327,Catalogue!$B$7:$B$19,0)),"#N/A"))</f>
        <v/>
      </c>
      <c r="L327" s="31">
        <f>IF(ISNUMBER(J327),J327*IFERROR(INDEX(Paramètres!$C$7:$C$12,MATCH(INDEX(Effectif!$D$7:$D$21,MATCH(D327,Effectif!$C$7:$C$21,0)),Paramètres!$B$7:$B$12,0)),0),"")</f>
        <v/>
      </c>
      <c r="M327" s="1" t="n"/>
    </row>
    <row r="328">
      <c r="A328" s="1" t="n"/>
      <c r="B328" s="24" t="n">
        <v>322</v>
      </c>
      <c r="C328" s="25" t="n"/>
      <c r="D328" s="26" t="n"/>
      <c r="E328" s="26" t="n"/>
      <c r="F328" s="26" t="n"/>
      <c r="G328" s="27">
        <f>IF(F328="","",IFERROR(INDEX(Catalogue!$C$7:$C$19,MATCH(F328,Catalogue!$B$7:$B$19,0)),"#N/A"))</f>
        <v/>
      </c>
      <c r="H328" s="28" t="n"/>
      <c r="I328" s="29">
        <f>IF(OR(F328="",H328=""),"",IFERROR(H328*INDEX(Catalogue!$G$7:$G$19,MATCH(F328,Catalogue!$B$7:$B$19,0)),"#N/A"))</f>
        <v/>
      </c>
      <c r="J328" s="30">
        <f>IF(ISNUMBER(I328),I328-K328,"")</f>
        <v/>
      </c>
      <c r="K328" s="31">
        <f>IF(OR(F328="",H328=""),"",IFERROR(H328*INDEX(Catalogue!$F$7:$F$19,MATCH(F328,Catalogue!$B$7:$B$19,0)),"#N/A"))</f>
        <v/>
      </c>
      <c r="L328" s="31">
        <f>IF(ISNUMBER(J328),J328*IFERROR(INDEX(Paramètres!$C$7:$C$12,MATCH(INDEX(Effectif!$D$7:$D$21,MATCH(D328,Effectif!$C$7:$C$21,0)),Paramètres!$B$7:$B$12,0)),0),"")</f>
        <v/>
      </c>
      <c r="M328" s="1" t="n"/>
    </row>
    <row r="329">
      <c r="A329" s="1" t="n"/>
      <c r="B329" s="24" t="n">
        <v>323</v>
      </c>
      <c r="C329" s="25" t="n"/>
      <c r="D329" s="26" t="n"/>
      <c r="E329" s="26" t="n"/>
      <c r="F329" s="26" t="n"/>
      <c r="G329" s="27">
        <f>IF(F329="","",IFERROR(INDEX(Catalogue!$C$7:$C$19,MATCH(F329,Catalogue!$B$7:$B$19,0)),"#N/A"))</f>
        <v/>
      </c>
      <c r="H329" s="28" t="n"/>
      <c r="I329" s="29">
        <f>IF(OR(F329="",H329=""),"",IFERROR(H329*INDEX(Catalogue!$G$7:$G$19,MATCH(F329,Catalogue!$B$7:$B$19,0)),"#N/A"))</f>
        <v/>
      </c>
      <c r="J329" s="30">
        <f>IF(ISNUMBER(I329),I329-K329,"")</f>
        <v/>
      </c>
      <c r="K329" s="31">
        <f>IF(OR(F329="",H329=""),"",IFERROR(H329*INDEX(Catalogue!$F$7:$F$19,MATCH(F329,Catalogue!$B$7:$B$19,0)),"#N/A"))</f>
        <v/>
      </c>
      <c r="L329" s="31">
        <f>IF(ISNUMBER(J329),J329*IFERROR(INDEX(Paramètres!$C$7:$C$12,MATCH(INDEX(Effectif!$D$7:$D$21,MATCH(D329,Effectif!$C$7:$C$21,0)),Paramètres!$B$7:$B$12,0)),0),"")</f>
        <v/>
      </c>
      <c r="M329" s="1" t="n"/>
    </row>
    <row r="330">
      <c r="A330" s="1" t="n"/>
      <c r="B330" s="24" t="n">
        <v>324</v>
      </c>
      <c r="C330" s="25" t="n"/>
      <c r="D330" s="26" t="n"/>
      <c r="E330" s="26" t="n"/>
      <c r="F330" s="26" t="n"/>
      <c r="G330" s="27">
        <f>IF(F330="","",IFERROR(INDEX(Catalogue!$C$7:$C$19,MATCH(F330,Catalogue!$B$7:$B$19,0)),"#N/A"))</f>
        <v/>
      </c>
      <c r="H330" s="28" t="n"/>
      <c r="I330" s="29">
        <f>IF(OR(F330="",H330=""),"",IFERROR(H330*INDEX(Catalogue!$G$7:$G$19,MATCH(F330,Catalogue!$B$7:$B$19,0)),"#N/A"))</f>
        <v/>
      </c>
      <c r="J330" s="30">
        <f>IF(ISNUMBER(I330),I330-K330,"")</f>
        <v/>
      </c>
      <c r="K330" s="31">
        <f>IF(OR(F330="",H330=""),"",IFERROR(H330*INDEX(Catalogue!$F$7:$F$19,MATCH(F330,Catalogue!$B$7:$B$19,0)),"#N/A"))</f>
        <v/>
      </c>
      <c r="L330" s="31">
        <f>IF(ISNUMBER(J330),J330*IFERROR(INDEX(Paramètres!$C$7:$C$12,MATCH(INDEX(Effectif!$D$7:$D$21,MATCH(D330,Effectif!$C$7:$C$21,0)),Paramètres!$B$7:$B$12,0)),0),"")</f>
        <v/>
      </c>
      <c r="M330" s="1" t="n"/>
    </row>
    <row r="331">
      <c r="A331" s="1" t="n"/>
      <c r="B331" s="24" t="n">
        <v>325</v>
      </c>
      <c r="C331" s="25" t="n"/>
      <c r="D331" s="26" t="n"/>
      <c r="E331" s="26" t="n"/>
      <c r="F331" s="26" t="n"/>
      <c r="G331" s="27">
        <f>IF(F331="","",IFERROR(INDEX(Catalogue!$C$7:$C$19,MATCH(F331,Catalogue!$B$7:$B$19,0)),"#N/A"))</f>
        <v/>
      </c>
      <c r="H331" s="28" t="n"/>
      <c r="I331" s="29">
        <f>IF(OR(F331="",H331=""),"",IFERROR(H331*INDEX(Catalogue!$G$7:$G$19,MATCH(F331,Catalogue!$B$7:$B$19,0)),"#N/A"))</f>
        <v/>
      </c>
      <c r="J331" s="30">
        <f>IF(ISNUMBER(I331),I331-K331,"")</f>
        <v/>
      </c>
      <c r="K331" s="31">
        <f>IF(OR(F331="",H331=""),"",IFERROR(H331*INDEX(Catalogue!$F$7:$F$19,MATCH(F331,Catalogue!$B$7:$B$19,0)),"#N/A"))</f>
        <v/>
      </c>
      <c r="L331" s="31">
        <f>IF(ISNUMBER(J331),J331*IFERROR(INDEX(Paramètres!$C$7:$C$12,MATCH(INDEX(Effectif!$D$7:$D$21,MATCH(D331,Effectif!$C$7:$C$21,0)),Paramètres!$B$7:$B$12,0)),0),"")</f>
        <v/>
      </c>
      <c r="M331" s="1" t="n"/>
    </row>
    <row r="332">
      <c r="A332" s="1" t="n"/>
      <c r="B332" s="24" t="n">
        <v>326</v>
      </c>
      <c r="C332" s="25" t="n"/>
      <c r="D332" s="26" t="n"/>
      <c r="E332" s="26" t="n"/>
      <c r="F332" s="26" t="n"/>
      <c r="G332" s="27">
        <f>IF(F332="","",IFERROR(INDEX(Catalogue!$C$7:$C$19,MATCH(F332,Catalogue!$B$7:$B$19,0)),"#N/A"))</f>
        <v/>
      </c>
      <c r="H332" s="28" t="n"/>
      <c r="I332" s="29">
        <f>IF(OR(F332="",H332=""),"",IFERROR(H332*INDEX(Catalogue!$G$7:$G$19,MATCH(F332,Catalogue!$B$7:$B$19,0)),"#N/A"))</f>
        <v/>
      </c>
      <c r="J332" s="30">
        <f>IF(ISNUMBER(I332),I332-K332,"")</f>
        <v/>
      </c>
      <c r="K332" s="31">
        <f>IF(OR(F332="",H332=""),"",IFERROR(H332*INDEX(Catalogue!$F$7:$F$19,MATCH(F332,Catalogue!$B$7:$B$19,0)),"#N/A"))</f>
        <v/>
      </c>
      <c r="L332" s="31">
        <f>IF(ISNUMBER(J332),J332*IFERROR(INDEX(Paramètres!$C$7:$C$12,MATCH(INDEX(Effectif!$D$7:$D$21,MATCH(D332,Effectif!$C$7:$C$21,0)),Paramètres!$B$7:$B$12,0)),0),"")</f>
        <v/>
      </c>
      <c r="M332" s="1" t="n"/>
    </row>
    <row r="333">
      <c r="A333" s="1" t="n"/>
      <c r="B333" s="24" t="n">
        <v>327</v>
      </c>
      <c r="C333" s="25" t="n"/>
      <c r="D333" s="26" t="n"/>
      <c r="E333" s="26" t="n"/>
      <c r="F333" s="26" t="n"/>
      <c r="G333" s="27">
        <f>IF(F333="","",IFERROR(INDEX(Catalogue!$C$7:$C$19,MATCH(F333,Catalogue!$B$7:$B$19,0)),"#N/A"))</f>
        <v/>
      </c>
      <c r="H333" s="28" t="n"/>
      <c r="I333" s="29">
        <f>IF(OR(F333="",H333=""),"",IFERROR(H333*INDEX(Catalogue!$G$7:$G$19,MATCH(F333,Catalogue!$B$7:$B$19,0)),"#N/A"))</f>
        <v/>
      </c>
      <c r="J333" s="30">
        <f>IF(ISNUMBER(I333),I333-K333,"")</f>
        <v/>
      </c>
      <c r="K333" s="31">
        <f>IF(OR(F333="",H333=""),"",IFERROR(H333*INDEX(Catalogue!$F$7:$F$19,MATCH(F333,Catalogue!$B$7:$B$19,0)),"#N/A"))</f>
        <v/>
      </c>
      <c r="L333" s="31">
        <f>IF(ISNUMBER(J333),J333*IFERROR(INDEX(Paramètres!$C$7:$C$12,MATCH(INDEX(Effectif!$D$7:$D$21,MATCH(D333,Effectif!$C$7:$C$21,0)),Paramètres!$B$7:$B$12,0)),0),"")</f>
        <v/>
      </c>
      <c r="M333" s="1" t="n"/>
    </row>
    <row r="334">
      <c r="A334" s="1" t="n"/>
      <c r="B334" s="24" t="n">
        <v>328</v>
      </c>
      <c r="C334" s="25" t="n"/>
      <c r="D334" s="26" t="n"/>
      <c r="E334" s="26" t="n"/>
      <c r="F334" s="26" t="n"/>
      <c r="G334" s="27">
        <f>IF(F334="","",IFERROR(INDEX(Catalogue!$C$7:$C$19,MATCH(F334,Catalogue!$B$7:$B$19,0)),"#N/A"))</f>
        <v/>
      </c>
      <c r="H334" s="28" t="n"/>
      <c r="I334" s="29">
        <f>IF(OR(F334="",H334=""),"",IFERROR(H334*INDEX(Catalogue!$G$7:$G$19,MATCH(F334,Catalogue!$B$7:$B$19,0)),"#N/A"))</f>
        <v/>
      </c>
      <c r="J334" s="30">
        <f>IF(ISNUMBER(I334),I334-K334,"")</f>
        <v/>
      </c>
      <c r="K334" s="31">
        <f>IF(OR(F334="",H334=""),"",IFERROR(H334*INDEX(Catalogue!$F$7:$F$19,MATCH(F334,Catalogue!$B$7:$B$19,0)),"#N/A"))</f>
        <v/>
      </c>
      <c r="L334" s="31">
        <f>IF(ISNUMBER(J334),J334*IFERROR(INDEX(Paramètres!$C$7:$C$12,MATCH(INDEX(Effectif!$D$7:$D$21,MATCH(D334,Effectif!$C$7:$C$21,0)),Paramètres!$B$7:$B$12,0)),0),"")</f>
        <v/>
      </c>
      <c r="M334" s="1" t="n"/>
    </row>
    <row r="335">
      <c r="A335" s="1" t="n"/>
      <c r="B335" s="24" t="n">
        <v>329</v>
      </c>
      <c r="C335" s="25" t="n"/>
      <c r="D335" s="26" t="n"/>
      <c r="E335" s="26" t="n"/>
      <c r="F335" s="26" t="n"/>
      <c r="G335" s="27">
        <f>IF(F335="","",IFERROR(INDEX(Catalogue!$C$7:$C$19,MATCH(F335,Catalogue!$B$7:$B$19,0)),"#N/A"))</f>
        <v/>
      </c>
      <c r="H335" s="28" t="n"/>
      <c r="I335" s="29">
        <f>IF(OR(F335="",H335=""),"",IFERROR(H335*INDEX(Catalogue!$G$7:$G$19,MATCH(F335,Catalogue!$B$7:$B$19,0)),"#N/A"))</f>
        <v/>
      </c>
      <c r="J335" s="30">
        <f>IF(ISNUMBER(I335),I335-K335,"")</f>
        <v/>
      </c>
      <c r="K335" s="31">
        <f>IF(OR(F335="",H335=""),"",IFERROR(H335*INDEX(Catalogue!$F$7:$F$19,MATCH(F335,Catalogue!$B$7:$B$19,0)),"#N/A"))</f>
        <v/>
      </c>
      <c r="L335" s="31">
        <f>IF(ISNUMBER(J335),J335*IFERROR(INDEX(Paramètres!$C$7:$C$12,MATCH(INDEX(Effectif!$D$7:$D$21,MATCH(D335,Effectif!$C$7:$C$21,0)),Paramètres!$B$7:$B$12,0)),0),"")</f>
        <v/>
      </c>
      <c r="M335" s="1" t="n"/>
    </row>
    <row r="336">
      <c r="A336" s="1" t="n"/>
      <c r="B336" s="24" t="n">
        <v>330</v>
      </c>
      <c r="C336" s="25" t="n"/>
      <c r="D336" s="26" t="n"/>
      <c r="E336" s="26" t="n"/>
      <c r="F336" s="26" t="n"/>
      <c r="G336" s="27">
        <f>IF(F336="","",IFERROR(INDEX(Catalogue!$C$7:$C$19,MATCH(F336,Catalogue!$B$7:$B$19,0)),"#N/A"))</f>
        <v/>
      </c>
      <c r="H336" s="28" t="n"/>
      <c r="I336" s="29">
        <f>IF(OR(F336="",H336=""),"",IFERROR(H336*INDEX(Catalogue!$G$7:$G$19,MATCH(F336,Catalogue!$B$7:$B$19,0)),"#N/A"))</f>
        <v/>
      </c>
      <c r="J336" s="30">
        <f>IF(ISNUMBER(I336),I336-K336,"")</f>
        <v/>
      </c>
      <c r="K336" s="31">
        <f>IF(OR(F336="",H336=""),"",IFERROR(H336*INDEX(Catalogue!$F$7:$F$19,MATCH(F336,Catalogue!$B$7:$B$19,0)),"#N/A"))</f>
        <v/>
      </c>
      <c r="L336" s="31">
        <f>IF(ISNUMBER(J336),J336*IFERROR(INDEX(Paramètres!$C$7:$C$12,MATCH(INDEX(Effectif!$D$7:$D$21,MATCH(D336,Effectif!$C$7:$C$21,0)),Paramètres!$B$7:$B$12,0)),0),"")</f>
        <v/>
      </c>
      <c r="M336" s="1" t="n"/>
    </row>
    <row r="337">
      <c r="A337" s="1" t="n"/>
      <c r="B337" s="24" t="n">
        <v>331</v>
      </c>
      <c r="C337" s="25" t="n"/>
      <c r="D337" s="26" t="n"/>
      <c r="E337" s="26" t="n"/>
      <c r="F337" s="26" t="n"/>
      <c r="G337" s="27">
        <f>IF(F337="","",IFERROR(INDEX(Catalogue!$C$7:$C$19,MATCH(F337,Catalogue!$B$7:$B$19,0)),"#N/A"))</f>
        <v/>
      </c>
      <c r="H337" s="28" t="n"/>
      <c r="I337" s="29">
        <f>IF(OR(F337="",H337=""),"",IFERROR(H337*INDEX(Catalogue!$G$7:$G$19,MATCH(F337,Catalogue!$B$7:$B$19,0)),"#N/A"))</f>
        <v/>
      </c>
      <c r="J337" s="30">
        <f>IF(ISNUMBER(I337),I337-K337,"")</f>
        <v/>
      </c>
      <c r="K337" s="31">
        <f>IF(OR(F337="",H337=""),"",IFERROR(H337*INDEX(Catalogue!$F$7:$F$19,MATCH(F337,Catalogue!$B$7:$B$19,0)),"#N/A"))</f>
        <v/>
      </c>
      <c r="L337" s="31">
        <f>IF(ISNUMBER(J337),J337*IFERROR(INDEX(Paramètres!$C$7:$C$12,MATCH(INDEX(Effectif!$D$7:$D$21,MATCH(D337,Effectif!$C$7:$C$21,0)),Paramètres!$B$7:$B$12,0)),0),"")</f>
        <v/>
      </c>
      <c r="M337" s="1" t="n"/>
    </row>
    <row r="338">
      <c r="A338" s="1" t="n"/>
      <c r="B338" s="24" t="n">
        <v>332</v>
      </c>
      <c r="C338" s="25" t="n"/>
      <c r="D338" s="26" t="n"/>
      <c r="E338" s="26" t="n"/>
      <c r="F338" s="26" t="n"/>
      <c r="G338" s="27">
        <f>IF(F338="","",IFERROR(INDEX(Catalogue!$C$7:$C$19,MATCH(F338,Catalogue!$B$7:$B$19,0)),"#N/A"))</f>
        <v/>
      </c>
      <c r="H338" s="28" t="n"/>
      <c r="I338" s="29">
        <f>IF(OR(F338="",H338=""),"",IFERROR(H338*INDEX(Catalogue!$G$7:$G$19,MATCH(F338,Catalogue!$B$7:$B$19,0)),"#N/A"))</f>
        <v/>
      </c>
      <c r="J338" s="30">
        <f>IF(ISNUMBER(I338),I338-K338,"")</f>
        <v/>
      </c>
      <c r="K338" s="31">
        <f>IF(OR(F338="",H338=""),"",IFERROR(H338*INDEX(Catalogue!$F$7:$F$19,MATCH(F338,Catalogue!$B$7:$B$19,0)),"#N/A"))</f>
        <v/>
      </c>
      <c r="L338" s="31">
        <f>IF(ISNUMBER(J338),J338*IFERROR(INDEX(Paramètres!$C$7:$C$12,MATCH(INDEX(Effectif!$D$7:$D$21,MATCH(D338,Effectif!$C$7:$C$21,0)),Paramètres!$B$7:$B$12,0)),0),"")</f>
        <v/>
      </c>
      <c r="M338" s="1" t="n"/>
    </row>
    <row r="339">
      <c r="A339" s="1" t="n"/>
      <c r="B339" s="24" t="n">
        <v>333</v>
      </c>
      <c r="C339" s="25" t="n"/>
      <c r="D339" s="26" t="n"/>
      <c r="E339" s="26" t="n"/>
      <c r="F339" s="26" t="n"/>
      <c r="G339" s="27">
        <f>IF(F339="","",IFERROR(INDEX(Catalogue!$C$7:$C$19,MATCH(F339,Catalogue!$B$7:$B$19,0)),"#N/A"))</f>
        <v/>
      </c>
      <c r="H339" s="28" t="n"/>
      <c r="I339" s="29">
        <f>IF(OR(F339="",H339=""),"",IFERROR(H339*INDEX(Catalogue!$G$7:$G$19,MATCH(F339,Catalogue!$B$7:$B$19,0)),"#N/A"))</f>
        <v/>
      </c>
      <c r="J339" s="30">
        <f>IF(ISNUMBER(I339),I339-K339,"")</f>
        <v/>
      </c>
      <c r="K339" s="31">
        <f>IF(OR(F339="",H339=""),"",IFERROR(H339*INDEX(Catalogue!$F$7:$F$19,MATCH(F339,Catalogue!$B$7:$B$19,0)),"#N/A"))</f>
        <v/>
      </c>
      <c r="L339" s="31">
        <f>IF(ISNUMBER(J339),J339*IFERROR(INDEX(Paramètres!$C$7:$C$12,MATCH(INDEX(Effectif!$D$7:$D$21,MATCH(D339,Effectif!$C$7:$C$21,0)),Paramètres!$B$7:$B$12,0)),0),"")</f>
        <v/>
      </c>
      <c r="M339" s="1" t="n"/>
    </row>
    <row r="340">
      <c r="A340" s="1" t="n"/>
      <c r="B340" s="24" t="n">
        <v>334</v>
      </c>
      <c r="C340" s="25" t="n"/>
      <c r="D340" s="26" t="n"/>
      <c r="E340" s="26" t="n"/>
      <c r="F340" s="26" t="n"/>
      <c r="G340" s="27">
        <f>IF(F340="","",IFERROR(INDEX(Catalogue!$C$7:$C$19,MATCH(F340,Catalogue!$B$7:$B$19,0)),"#N/A"))</f>
        <v/>
      </c>
      <c r="H340" s="28" t="n"/>
      <c r="I340" s="29">
        <f>IF(OR(F340="",H340=""),"",IFERROR(H340*INDEX(Catalogue!$G$7:$G$19,MATCH(F340,Catalogue!$B$7:$B$19,0)),"#N/A"))</f>
        <v/>
      </c>
      <c r="J340" s="30">
        <f>IF(ISNUMBER(I340),I340-K340,"")</f>
        <v/>
      </c>
      <c r="K340" s="31">
        <f>IF(OR(F340="",H340=""),"",IFERROR(H340*INDEX(Catalogue!$F$7:$F$19,MATCH(F340,Catalogue!$B$7:$B$19,0)),"#N/A"))</f>
        <v/>
      </c>
      <c r="L340" s="31">
        <f>IF(ISNUMBER(J340),J340*IFERROR(INDEX(Paramètres!$C$7:$C$12,MATCH(INDEX(Effectif!$D$7:$D$21,MATCH(D340,Effectif!$C$7:$C$21,0)),Paramètres!$B$7:$B$12,0)),0),"")</f>
        <v/>
      </c>
      <c r="M340" s="1" t="n"/>
    </row>
    <row r="341">
      <c r="A341" s="1" t="n"/>
      <c r="B341" s="24" t="n">
        <v>335</v>
      </c>
      <c r="C341" s="25" t="n"/>
      <c r="D341" s="26" t="n"/>
      <c r="E341" s="26" t="n"/>
      <c r="F341" s="26" t="n"/>
      <c r="G341" s="27">
        <f>IF(F341="","",IFERROR(INDEX(Catalogue!$C$7:$C$19,MATCH(F341,Catalogue!$B$7:$B$19,0)),"#N/A"))</f>
        <v/>
      </c>
      <c r="H341" s="28" t="n"/>
      <c r="I341" s="29">
        <f>IF(OR(F341="",H341=""),"",IFERROR(H341*INDEX(Catalogue!$G$7:$G$19,MATCH(F341,Catalogue!$B$7:$B$19,0)),"#N/A"))</f>
        <v/>
      </c>
      <c r="J341" s="30">
        <f>IF(ISNUMBER(I341),I341-K341,"")</f>
        <v/>
      </c>
      <c r="K341" s="31">
        <f>IF(OR(F341="",H341=""),"",IFERROR(H341*INDEX(Catalogue!$F$7:$F$19,MATCH(F341,Catalogue!$B$7:$B$19,0)),"#N/A"))</f>
        <v/>
      </c>
      <c r="L341" s="31">
        <f>IF(ISNUMBER(J341),J341*IFERROR(INDEX(Paramètres!$C$7:$C$12,MATCH(INDEX(Effectif!$D$7:$D$21,MATCH(D341,Effectif!$C$7:$C$21,0)),Paramètres!$B$7:$B$12,0)),0),"")</f>
        <v/>
      </c>
      <c r="M341" s="1" t="n"/>
    </row>
    <row r="342">
      <c r="A342" s="1" t="n"/>
      <c r="B342" s="24" t="n">
        <v>336</v>
      </c>
      <c r="C342" s="25" t="n"/>
      <c r="D342" s="26" t="n"/>
      <c r="E342" s="26" t="n"/>
      <c r="F342" s="26" t="n"/>
      <c r="G342" s="27">
        <f>IF(F342="","",IFERROR(INDEX(Catalogue!$C$7:$C$19,MATCH(F342,Catalogue!$B$7:$B$19,0)),"#N/A"))</f>
        <v/>
      </c>
      <c r="H342" s="28" t="n"/>
      <c r="I342" s="29">
        <f>IF(OR(F342="",H342=""),"",IFERROR(H342*INDEX(Catalogue!$G$7:$G$19,MATCH(F342,Catalogue!$B$7:$B$19,0)),"#N/A"))</f>
        <v/>
      </c>
      <c r="J342" s="30">
        <f>IF(ISNUMBER(I342),I342-K342,"")</f>
        <v/>
      </c>
      <c r="K342" s="31">
        <f>IF(OR(F342="",H342=""),"",IFERROR(H342*INDEX(Catalogue!$F$7:$F$19,MATCH(F342,Catalogue!$B$7:$B$19,0)),"#N/A"))</f>
        <v/>
      </c>
      <c r="L342" s="31">
        <f>IF(ISNUMBER(J342),J342*IFERROR(INDEX(Paramètres!$C$7:$C$12,MATCH(INDEX(Effectif!$D$7:$D$21,MATCH(D342,Effectif!$C$7:$C$21,0)),Paramètres!$B$7:$B$12,0)),0),"")</f>
        <v/>
      </c>
      <c r="M342" s="1" t="n"/>
    </row>
    <row r="343">
      <c r="A343" s="1" t="n"/>
      <c r="B343" s="24" t="n">
        <v>337</v>
      </c>
      <c r="C343" s="25" t="n"/>
      <c r="D343" s="26" t="n"/>
      <c r="E343" s="26" t="n"/>
      <c r="F343" s="26" t="n"/>
      <c r="G343" s="27">
        <f>IF(F343="","",IFERROR(INDEX(Catalogue!$C$7:$C$19,MATCH(F343,Catalogue!$B$7:$B$19,0)),"#N/A"))</f>
        <v/>
      </c>
      <c r="H343" s="28" t="n"/>
      <c r="I343" s="29">
        <f>IF(OR(F343="",H343=""),"",IFERROR(H343*INDEX(Catalogue!$G$7:$G$19,MATCH(F343,Catalogue!$B$7:$B$19,0)),"#N/A"))</f>
        <v/>
      </c>
      <c r="J343" s="30">
        <f>IF(ISNUMBER(I343),I343-K343,"")</f>
        <v/>
      </c>
      <c r="K343" s="31">
        <f>IF(OR(F343="",H343=""),"",IFERROR(H343*INDEX(Catalogue!$F$7:$F$19,MATCH(F343,Catalogue!$B$7:$B$19,0)),"#N/A"))</f>
        <v/>
      </c>
      <c r="L343" s="31">
        <f>IF(ISNUMBER(J343),J343*IFERROR(INDEX(Paramètres!$C$7:$C$12,MATCH(INDEX(Effectif!$D$7:$D$21,MATCH(D343,Effectif!$C$7:$C$21,0)),Paramètres!$B$7:$B$12,0)),0),"")</f>
        <v/>
      </c>
      <c r="M343" s="1" t="n"/>
    </row>
    <row r="344">
      <c r="A344" s="1" t="n"/>
      <c r="B344" s="24" t="n">
        <v>338</v>
      </c>
      <c r="C344" s="25" t="n"/>
      <c r="D344" s="26" t="n"/>
      <c r="E344" s="26" t="n"/>
      <c r="F344" s="26" t="n"/>
      <c r="G344" s="27">
        <f>IF(F344="","",IFERROR(INDEX(Catalogue!$C$7:$C$19,MATCH(F344,Catalogue!$B$7:$B$19,0)),"#N/A"))</f>
        <v/>
      </c>
      <c r="H344" s="28" t="n"/>
      <c r="I344" s="29">
        <f>IF(OR(F344="",H344=""),"",IFERROR(H344*INDEX(Catalogue!$G$7:$G$19,MATCH(F344,Catalogue!$B$7:$B$19,0)),"#N/A"))</f>
        <v/>
      </c>
      <c r="J344" s="30">
        <f>IF(ISNUMBER(I344),I344-K344,"")</f>
        <v/>
      </c>
      <c r="K344" s="31">
        <f>IF(OR(F344="",H344=""),"",IFERROR(H344*INDEX(Catalogue!$F$7:$F$19,MATCH(F344,Catalogue!$B$7:$B$19,0)),"#N/A"))</f>
        <v/>
      </c>
      <c r="L344" s="31">
        <f>IF(ISNUMBER(J344),J344*IFERROR(INDEX(Paramètres!$C$7:$C$12,MATCH(INDEX(Effectif!$D$7:$D$21,MATCH(D344,Effectif!$C$7:$C$21,0)),Paramètres!$B$7:$B$12,0)),0),"")</f>
        <v/>
      </c>
      <c r="M344" s="1" t="n"/>
    </row>
    <row r="345">
      <c r="A345" s="1" t="n"/>
      <c r="B345" s="24" t="n">
        <v>339</v>
      </c>
      <c r="C345" s="25" t="n"/>
      <c r="D345" s="26" t="n"/>
      <c r="E345" s="26" t="n"/>
      <c r="F345" s="26" t="n"/>
      <c r="G345" s="27">
        <f>IF(F345="","",IFERROR(INDEX(Catalogue!$C$7:$C$19,MATCH(F345,Catalogue!$B$7:$B$19,0)),"#N/A"))</f>
        <v/>
      </c>
      <c r="H345" s="28" t="n"/>
      <c r="I345" s="29">
        <f>IF(OR(F345="",H345=""),"",IFERROR(H345*INDEX(Catalogue!$G$7:$G$19,MATCH(F345,Catalogue!$B$7:$B$19,0)),"#N/A"))</f>
        <v/>
      </c>
      <c r="J345" s="30">
        <f>IF(ISNUMBER(I345),I345-K345,"")</f>
        <v/>
      </c>
      <c r="K345" s="31">
        <f>IF(OR(F345="",H345=""),"",IFERROR(H345*INDEX(Catalogue!$F$7:$F$19,MATCH(F345,Catalogue!$B$7:$B$19,0)),"#N/A"))</f>
        <v/>
      </c>
      <c r="L345" s="31">
        <f>IF(ISNUMBER(J345),J345*IFERROR(INDEX(Paramètres!$C$7:$C$12,MATCH(INDEX(Effectif!$D$7:$D$21,MATCH(D345,Effectif!$C$7:$C$21,0)),Paramètres!$B$7:$B$12,0)),0),"")</f>
        <v/>
      </c>
      <c r="M345" s="1" t="n"/>
    </row>
    <row r="346">
      <c r="A346" s="1" t="n"/>
      <c r="B346" s="24" t="n">
        <v>340</v>
      </c>
      <c r="C346" s="25" t="n"/>
      <c r="D346" s="26" t="n"/>
      <c r="E346" s="26" t="n"/>
      <c r="F346" s="26" t="n"/>
      <c r="G346" s="27">
        <f>IF(F346="","",IFERROR(INDEX(Catalogue!$C$7:$C$19,MATCH(F346,Catalogue!$B$7:$B$19,0)),"#N/A"))</f>
        <v/>
      </c>
      <c r="H346" s="28" t="n"/>
      <c r="I346" s="29">
        <f>IF(OR(F346="",H346=""),"",IFERROR(H346*INDEX(Catalogue!$G$7:$G$19,MATCH(F346,Catalogue!$B$7:$B$19,0)),"#N/A"))</f>
        <v/>
      </c>
      <c r="J346" s="30">
        <f>IF(ISNUMBER(I346),I346-K346,"")</f>
        <v/>
      </c>
      <c r="K346" s="31">
        <f>IF(OR(F346="",H346=""),"",IFERROR(H346*INDEX(Catalogue!$F$7:$F$19,MATCH(F346,Catalogue!$B$7:$B$19,0)),"#N/A"))</f>
        <v/>
      </c>
      <c r="L346" s="31">
        <f>IF(ISNUMBER(J346),J346*IFERROR(INDEX(Paramètres!$C$7:$C$12,MATCH(INDEX(Effectif!$D$7:$D$21,MATCH(D346,Effectif!$C$7:$C$21,0)),Paramètres!$B$7:$B$12,0)),0),"")</f>
        <v/>
      </c>
      <c r="M346" s="1" t="n"/>
    </row>
    <row r="347">
      <c r="A347" s="1" t="n"/>
      <c r="B347" s="24" t="n">
        <v>341</v>
      </c>
      <c r="C347" s="25" t="n"/>
      <c r="D347" s="26" t="n"/>
      <c r="E347" s="26" t="n"/>
      <c r="F347" s="26" t="n"/>
      <c r="G347" s="27">
        <f>IF(F347="","",IFERROR(INDEX(Catalogue!$C$7:$C$19,MATCH(F347,Catalogue!$B$7:$B$19,0)),"#N/A"))</f>
        <v/>
      </c>
      <c r="H347" s="28" t="n"/>
      <c r="I347" s="29">
        <f>IF(OR(F347="",H347=""),"",IFERROR(H347*INDEX(Catalogue!$G$7:$G$19,MATCH(F347,Catalogue!$B$7:$B$19,0)),"#N/A"))</f>
        <v/>
      </c>
      <c r="J347" s="30">
        <f>IF(ISNUMBER(I347),I347-K347,"")</f>
        <v/>
      </c>
      <c r="K347" s="31">
        <f>IF(OR(F347="",H347=""),"",IFERROR(H347*INDEX(Catalogue!$F$7:$F$19,MATCH(F347,Catalogue!$B$7:$B$19,0)),"#N/A"))</f>
        <v/>
      </c>
      <c r="L347" s="31">
        <f>IF(ISNUMBER(J347),J347*IFERROR(INDEX(Paramètres!$C$7:$C$12,MATCH(INDEX(Effectif!$D$7:$D$21,MATCH(D347,Effectif!$C$7:$C$21,0)),Paramètres!$B$7:$B$12,0)),0),"")</f>
        <v/>
      </c>
      <c r="M347" s="1" t="n"/>
    </row>
    <row r="348">
      <c r="A348" s="1" t="n"/>
      <c r="B348" s="24" t="n">
        <v>342</v>
      </c>
      <c r="C348" s="25" t="n"/>
      <c r="D348" s="26" t="n"/>
      <c r="E348" s="26" t="n"/>
      <c r="F348" s="26" t="n"/>
      <c r="G348" s="27">
        <f>IF(F348="","",IFERROR(INDEX(Catalogue!$C$7:$C$19,MATCH(F348,Catalogue!$B$7:$B$19,0)),"#N/A"))</f>
        <v/>
      </c>
      <c r="H348" s="28" t="n"/>
      <c r="I348" s="29">
        <f>IF(OR(F348="",H348=""),"",IFERROR(H348*INDEX(Catalogue!$G$7:$G$19,MATCH(F348,Catalogue!$B$7:$B$19,0)),"#N/A"))</f>
        <v/>
      </c>
      <c r="J348" s="30">
        <f>IF(ISNUMBER(I348),I348-K348,"")</f>
        <v/>
      </c>
      <c r="K348" s="31">
        <f>IF(OR(F348="",H348=""),"",IFERROR(H348*INDEX(Catalogue!$F$7:$F$19,MATCH(F348,Catalogue!$B$7:$B$19,0)),"#N/A"))</f>
        <v/>
      </c>
      <c r="L348" s="31">
        <f>IF(ISNUMBER(J348),J348*IFERROR(INDEX(Paramètres!$C$7:$C$12,MATCH(INDEX(Effectif!$D$7:$D$21,MATCH(D348,Effectif!$C$7:$C$21,0)),Paramètres!$B$7:$B$12,0)),0),"")</f>
        <v/>
      </c>
      <c r="M348" s="1" t="n"/>
    </row>
    <row r="349">
      <c r="A349" s="1" t="n"/>
      <c r="B349" s="24" t="n">
        <v>343</v>
      </c>
      <c r="C349" s="25" t="n"/>
      <c r="D349" s="26" t="n"/>
      <c r="E349" s="26" t="n"/>
      <c r="F349" s="26" t="n"/>
      <c r="G349" s="27">
        <f>IF(F349="","",IFERROR(INDEX(Catalogue!$C$7:$C$19,MATCH(F349,Catalogue!$B$7:$B$19,0)),"#N/A"))</f>
        <v/>
      </c>
      <c r="H349" s="28" t="n"/>
      <c r="I349" s="29">
        <f>IF(OR(F349="",H349=""),"",IFERROR(H349*INDEX(Catalogue!$G$7:$G$19,MATCH(F349,Catalogue!$B$7:$B$19,0)),"#N/A"))</f>
        <v/>
      </c>
      <c r="J349" s="30">
        <f>IF(ISNUMBER(I349),I349-K349,"")</f>
        <v/>
      </c>
      <c r="K349" s="31">
        <f>IF(OR(F349="",H349=""),"",IFERROR(H349*INDEX(Catalogue!$F$7:$F$19,MATCH(F349,Catalogue!$B$7:$B$19,0)),"#N/A"))</f>
        <v/>
      </c>
      <c r="L349" s="31">
        <f>IF(ISNUMBER(J349),J349*IFERROR(INDEX(Paramètres!$C$7:$C$12,MATCH(INDEX(Effectif!$D$7:$D$21,MATCH(D349,Effectif!$C$7:$C$21,0)),Paramètres!$B$7:$B$12,0)),0),"")</f>
        <v/>
      </c>
      <c r="M349" s="1" t="n"/>
    </row>
    <row r="350">
      <c r="A350" s="1" t="n"/>
      <c r="B350" s="24" t="n">
        <v>344</v>
      </c>
      <c r="C350" s="25" t="n"/>
      <c r="D350" s="26" t="n"/>
      <c r="E350" s="26" t="n"/>
      <c r="F350" s="26" t="n"/>
      <c r="G350" s="27">
        <f>IF(F350="","",IFERROR(INDEX(Catalogue!$C$7:$C$19,MATCH(F350,Catalogue!$B$7:$B$19,0)),"#N/A"))</f>
        <v/>
      </c>
      <c r="H350" s="28" t="n"/>
      <c r="I350" s="29">
        <f>IF(OR(F350="",H350=""),"",IFERROR(H350*INDEX(Catalogue!$G$7:$G$19,MATCH(F350,Catalogue!$B$7:$B$19,0)),"#N/A"))</f>
        <v/>
      </c>
      <c r="J350" s="30">
        <f>IF(ISNUMBER(I350),I350-K350,"")</f>
        <v/>
      </c>
      <c r="K350" s="31">
        <f>IF(OR(F350="",H350=""),"",IFERROR(H350*INDEX(Catalogue!$F$7:$F$19,MATCH(F350,Catalogue!$B$7:$B$19,0)),"#N/A"))</f>
        <v/>
      </c>
      <c r="L350" s="31">
        <f>IF(ISNUMBER(J350),J350*IFERROR(INDEX(Paramètres!$C$7:$C$12,MATCH(INDEX(Effectif!$D$7:$D$21,MATCH(D350,Effectif!$C$7:$C$21,0)),Paramètres!$B$7:$B$12,0)),0),"")</f>
        <v/>
      </c>
      <c r="M350" s="1" t="n"/>
    </row>
    <row r="351">
      <c r="A351" s="1" t="n"/>
      <c r="B351" s="24" t="n">
        <v>345</v>
      </c>
      <c r="C351" s="25" t="n"/>
      <c r="D351" s="26" t="n"/>
      <c r="E351" s="26" t="n"/>
      <c r="F351" s="26" t="n"/>
      <c r="G351" s="27">
        <f>IF(F351="","",IFERROR(INDEX(Catalogue!$C$7:$C$19,MATCH(F351,Catalogue!$B$7:$B$19,0)),"#N/A"))</f>
        <v/>
      </c>
      <c r="H351" s="28" t="n"/>
      <c r="I351" s="29">
        <f>IF(OR(F351="",H351=""),"",IFERROR(H351*INDEX(Catalogue!$G$7:$G$19,MATCH(F351,Catalogue!$B$7:$B$19,0)),"#N/A"))</f>
        <v/>
      </c>
      <c r="J351" s="30">
        <f>IF(ISNUMBER(I351),I351-K351,"")</f>
        <v/>
      </c>
      <c r="K351" s="31">
        <f>IF(OR(F351="",H351=""),"",IFERROR(H351*INDEX(Catalogue!$F$7:$F$19,MATCH(F351,Catalogue!$B$7:$B$19,0)),"#N/A"))</f>
        <v/>
      </c>
      <c r="L351" s="31">
        <f>IF(ISNUMBER(J351),J351*IFERROR(INDEX(Paramètres!$C$7:$C$12,MATCH(INDEX(Effectif!$D$7:$D$21,MATCH(D351,Effectif!$C$7:$C$21,0)),Paramètres!$B$7:$B$12,0)),0),"")</f>
        <v/>
      </c>
      <c r="M351" s="1" t="n"/>
    </row>
    <row r="352">
      <c r="A352" s="1" t="n"/>
      <c r="B352" s="24" t="n">
        <v>346</v>
      </c>
      <c r="C352" s="25" t="n"/>
      <c r="D352" s="26" t="n"/>
      <c r="E352" s="26" t="n"/>
      <c r="F352" s="26" t="n"/>
      <c r="G352" s="27">
        <f>IF(F352="","",IFERROR(INDEX(Catalogue!$C$7:$C$19,MATCH(F352,Catalogue!$B$7:$B$19,0)),"#N/A"))</f>
        <v/>
      </c>
      <c r="H352" s="28" t="n"/>
      <c r="I352" s="29">
        <f>IF(OR(F352="",H352=""),"",IFERROR(H352*INDEX(Catalogue!$G$7:$G$19,MATCH(F352,Catalogue!$B$7:$B$19,0)),"#N/A"))</f>
        <v/>
      </c>
      <c r="J352" s="30">
        <f>IF(ISNUMBER(I352),I352-K352,"")</f>
        <v/>
      </c>
      <c r="K352" s="31">
        <f>IF(OR(F352="",H352=""),"",IFERROR(H352*INDEX(Catalogue!$F$7:$F$19,MATCH(F352,Catalogue!$B$7:$B$19,0)),"#N/A"))</f>
        <v/>
      </c>
      <c r="L352" s="31">
        <f>IF(ISNUMBER(J352),J352*IFERROR(INDEX(Paramètres!$C$7:$C$12,MATCH(INDEX(Effectif!$D$7:$D$21,MATCH(D352,Effectif!$C$7:$C$21,0)),Paramètres!$B$7:$B$12,0)),0),"")</f>
        <v/>
      </c>
      <c r="M352" s="1" t="n"/>
    </row>
    <row r="353">
      <c r="A353" s="1" t="n"/>
      <c r="B353" s="24" t="n">
        <v>347</v>
      </c>
      <c r="C353" s="25" t="n"/>
      <c r="D353" s="26" t="n"/>
      <c r="E353" s="26" t="n"/>
      <c r="F353" s="26" t="n"/>
      <c r="G353" s="27">
        <f>IF(F353="","",IFERROR(INDEX(Catalogue!$C$7:$C$19,MATCH(F353,Catalogue!$B$7:$B$19,0)),"#N/A"))</f>
        <v/>
      </c>
      <c r="H353" s="28" t="n"/>
      <c r="I353" s="29">
        <f>IF(OR(F353="",H353=""),"",IFERROR(H353*INDEX(Catalogue!$G$7:$G$19,MATCH(F353,Catalogue!$B$7:$B$19,0)),"#N/A"))</f>
        <v/>
      </c>
      <c r="J353" s="30">
        <f>IF(ISNUMBER(I353),I353-K353,"")</f>
        <v/>
      </c>
      <c r="K353" s="31">
        <f>IF(OR(F353="",H353=""),"",IFERROR(H353*INDEX(Catalogue!$F$7:$F$19,MATCH(F353,Catalogue!$B$7:$B$19,0)),"#N/A"))</f>
        <v/>
      </c>
      <c r="L353" s="31">
        <f>IF(ISNUMBER(J353),J353*IFERROR(INDEX(Paramètres!$C$7:$C$12,MATCH(INDEX(Effectif!$D$7:$D$21,MATCH(D353,Effectif!$C$7:$C$21,0)),Paramètres!$B$7:$B$12,0)),0),"")</f>
        <v/>
      </c>
      <c r="M353" s="1" t="n"/>
    </row>
    <row r="354">
      <c r="A354" s="1" t="n"/>
      <c r="B354" s="24" t="n">
        <v>348</v>
      </c>
      <c r="C354" s="25" t="n"/>
      <c r="D354" s="26" t="n"/>
      <c r="E354" s="26" t="n"/>
      <c r="F354" s="26" t="n"/>
      <c r="G354" s="27">
        <f>IF(F354="","",IFERROR(INDEX(Catalogue!$C$7:$C$19,MATCH(F354,Catalogue!$B$7:$B$19,0)),"#N/A"))</f>
        <v/>
      </c>
      <c r="H354" s="28" t="n"/>
      <c r="I354" s="29">
        <f>IF(OR(F354="",H354=""),"",IFERROR(H354*INDEX(Catalogue!$G$7:$G$19,MATCH(F354,Catalogue!$B$7:$B$19,0)),"#N/A"))</f>
        <v/>
      </c>
      <c r="J354" s="30">
        <f>IF(ISNUMBER(I354),I354-K354,"")</f>
        <v/>
      </c>
      <c r="K354" s="31">
        <f>IF(OR(F354="",H354=""),"",IFERROR(H354*INDEX(Catalogue!$F$7:$F$19,MATCH(F354,Catalogue!$B$7:$B$19,0)),"#N/A"))</f>
        <v/>
      </c>
      <c r="L354" s="31">
        <f>IF(ISNUMBER(J354),J354*IFERROR(INDEX(Paramètres!$C$7:$C$12,MATCH(INDEX(Effectif!$D$7:$D$21,MATCH(D354,Effectif!$C$7:$C$21,0)),Paramètres!$B$7:$B$12,0)),0),"")</f>
        <v/>
      </c>
      <c r="M354" s="1" t="n"/>
    </row>
    <row r="355">
      <c r="A355" s="1" t="n"/>
      <c r="B355" s="24" t="n">
        <v>349</v>
      </c>
      <c r="C355" s="25" t="n"/>
      <c r="D355" s="26" t="n"/>
      <c r="E355" s="26" t="n"/>
      <c r="F355" s="26" t="n"/>
      <c r="G355" s="27">
        <f>IF(F355="","",IFERROR(INDEX(Catalogue!$C$7:$C$19,MATCH(F355,Catalogue!$B$7:$B$19,0)),"#N/A"))</f>
        <v/>
      </c>
      <c r="H355" s="28" t="n"/>
      <c r="I355" s="29">
        <f>IF(OR(F355="",H355=""),"",IFERROR(H355*INDEX(Catalogue!$G$7:$G$19,MATCH(F355,Catalogue!$B$7:$B$19,0)),"#N/A"))</f>
        <v/>
      </c>
      <c r="J355" s="30">
        <f>IF(ISNUMBER(I355),I355-K355,"")</f>
        <v/>
      </c>
      <c r="K355" s="31">
        <f>IF(OR(F355="",H355=""),"",IFERROR(H355*INDEX(Catalogue!$F$7:$F$19,MATCH(F355,Catalogue!$B$7:$B$19,0)),"#N/A"))</f>
        <v/>
      </c>
      <c r="L355" s="31">
        <f>IF(ISNUMBER(J355),J355*IFERROR(INDEX(Paramètres!$C$7:$C$12,MATCH(INDEX(Effectif!$D$7:$D$21,MATCH(D355,Effectif!$C$7:$C$21,0)),Paramètres!$B$7:$B$12,0)),0),"")</f>
        <v/>
      </c>
      <c r="M355" s="1" t="n"/>
    </row>
    <row r="356">
      <c r="A356" s="1" t="n"/>
      <c r="B356" s="24" t="n">
        <v>350</v>
      </c>
      <c r="C356" s="25" t="n"/>
      <c r="D356" s="26" t="n"/>
      <c r="E356" s="26" t="n"/>
      <c r="F356" s="26" t="n"/>
      <c r="G356" s="27">
        <f>IF(F356="","",IFERROR(INDEX(Catalogue!$C$7:$C$19,MATCH(F356,Catalogue!$B$7:$B$19,0)),"#N/A"))</f>
        <v/>
      </c>
      <c r="H356" s="28" t="n"/>
      <c r="I356" s="29">
        <f>IF(OR(F356="",H356=""),"",IFERROR(H356*INDEX(Catalogue!$G$7:$G$19,MATCH(F356,Catalogue!$B$7:$B$19,0)),"#N/A"))</f>
        <v/>
      </c>
      <c r="J356" s="30">
        <f>IF(ISNUMBER(I356),I356-K356,"")</f>
        <v/>
      </c>
      <c r="K356" s="31">
        <f>IF(OR(F356="",H356=""),"",IFERROR(H356*INDEX(Catalogue!$F$7:$F$19,MATCH(F356,Catalogue!$B$7:$B$19,0)),"#N/A"))</f>
        <v/>
      </c>
      <c r="L356" s="31">
        <f>IF(ISNUMBER(J356),J356*IFERROR(INDEX(Paramètres!$C$7:$C$12,MATCH(INDEX(Effectif!$D$7:$D$21,MATCH(D356,Effectif!$C$7:$C$21,0)),Paramètres!$B$7:$B$12,0)),0),"")</f>
        <v/>
      </c>
      <c r="M356" s="1" t="n"/>
    </row>
    <row r="357">
      <c r="A357" s="1" t="n"/>
      <c r="B357" s="24" t="n">
        <v>351</v>
      </c>
      <c r="C357" s="25" t="n"/>
      <c r="D357" s="26" t="n"/>
      <c r="E357" s="26" t="n"/>
      <c r="F357" s="26" t="n"/>
      <c r="G357" s="27">
        <f>IF(F357="","",IFERROR(INDEX(Catalogue!$C$7:$C$19,MATCH(F357,Catalogue!$B$7:$B$19,0)),"#N/A"))</f>
        <v/>
      </c>
      <c r="H357" s="28" t="n"/>
      <c r="I357" s="29">
        <f>IF(OR(F357="",H357=""),"",IFERROR(H357*INDEX(Catalogue!$G$7:$G$19,MATCH(F357,Catalogue!$B$7:$B$19,0)),"#N/A"))</f>
        <v/>
      </c>
      <c r="J357" s="30">
        <f>IF(ISNUMBER(I357),I357-K357,"")</f>
        <v/>
      </c>
      <c r="K357" s="31">
        <f>IF(OR(F357="",H357=""),"",IFERROR(H357*INDEX(Catalogue!$F$7:$F$19,MATCH(F357,Catalogue!$B$7:$B$19,0)),"#N/A"))</f>
        <v/>
      </c>
      <c r="L357" s="31">
        <f>IF(ISNUMBER(J357),J357*IFERROR(INDEX(Paramètres!$C$7:$C$12,MATCH(INDEX(Effectif!$D$7:$D$21,MATCH(D357,Effectif!$C$7:$C$21,0)),Paramètres!$B$7:$B$12,0)),0),"")</f>
        <v/>
      </c>
      <c r="M357" s="1" t="n"/>
    </row>
    <row r="358">
      <c r="A358" s="1" t="n"/>
      <c r="B358" s="24" t="n">
        <v>352</v>
      </c>
      <c r="C358" s="25" t="n"/>
      <c r="D358" s="26" t="n"/>
      <c r="E358" s="26" t="n"/>
      <c r="F358" s="26" t="n"/>
      <c r="G358" s="27">
        <f>IF(F358="","",IFERROR(INDEX(Catalogue!$C$7:$C$19,MATCH(F358,Catalogue!$B$7:$B$19,0)),"#N/A"))</f>
        <v/>
      </c>
      <c r="H358" s="28" t="n"/>
      <c r="I358" s="29">
        <f>IF(OR(F358="",H358=""),"",IFERROR(H358*INDEX(Catalogue!$G$7:$G$19,MATCH(F358,Catalogue!$B$7:$B$19,0)),"#N/A"))</f>
        <v/>
      </c>
      <c r="J358" s="30">
        <f>IF(ISNUMBER(I358),I358-K358,"")</f>
        <v/>
      </c>
      <c r="K358" s="31">
        <f>IF(OR(F358="",H358=""),"",IFERROR(H358*INDEX(Catalogue!$F$7:$F$19,MATCH(F358,Catalogue!$B$7:$B$19,0)),"#N/A"))</f>
        <v/>
      </c>
      <c r="L358" s="31">
        <f>IF(ISNUMBER(J358),J358*IFERROR(INDEX(Paramètres!$C$7:$C$12,MATCH(INDEX(Effectif!$D$7:$D$21,MATCH(D358,Effectif!$C$7:$C$21,0)),Paramètres!$B$7:$B$12,0)),0),"")</f>
        <v/>
      </c>
      <c r="M358" s="1" t="n"/>
    </row>
    <row r="359">
      <c r="A359" s="1" t="n"/>
      <c r="B359" s="24" t="n">
        <v>353</v>
      </c>
      <c r="C359" s="25" t="n"/>
      <c r="D359" s="26" t="n"/>
      <c r="E359" s="26" t="n"/>
      <c r="F359" s="26" t="n"/>
      <c r="G359" s="27">
        <f>IF(F359="","",IFERROR(INDEX(Catalogue!$C$7:$C$19,MATCH(F359,Catalogue!$B$7:$B$19,0)),"#N/A"))</f>
        <v/>
      </c>
      <c r="H359" s="28" t="n"/>
      <c r="I359" s="29">
        <f>IF(OR(F359="",H359=""),"",IFERROR(H359*INDEX(Catalogue!$G$7:$G$19,MATCH(F359,Catalogue!$B$7:$B$19,0)),"#N/A"))</f>
        <v/>
      </c>
      <c r="J359" s="30">
        <f>IF(ISNUMBER(I359),I359-K359,"")</f>
        <v/>
      </c>
      <c r="K359" s="31">
        <f>IF(OR(F359="",H359=""),"",IFERROR(H359*INDEX(Catalogue!$F$7:$F$19,MATCH(F359,Catalogue!$B$7:$B$19,0)),"#N/A"))</f>
        <v/>
      </c>
      <c r="L359" s="31">
        <f>IF(ISNUMBER(J359),J359*IFERROR(INDEX(Paramètres!$C$7:$C$12,MATCH(INDEX(Effectif!$D$7:$D$21,MATCH(D359,Effectif!$C$7:$C$21,0)),Paramètres!$B$7:$B$12,0)),0),"")</f>
        <v/>
      </c>
      <c r="M359" s="1" t="n"/>
    </row>
    <row r="360">
      <c r="A360" s="1" t="n"/>
      <c r="B360" s="24" t="n">
        <v>354</v>
      </c>
      <c r="C360" s="25" t="n"/>
      <c r="D360" s="26" t="n"/>
      <c r="E360" s="26" t="n"/>
      <c r="F360" s="26" t="n"/>
      <c r="G360" s="27">
        <f>IF(F360="","",IFERROR(INDEX(Catalogue!$C$7:$C$19,MATCH(F360,Catalogue!$B$7:$B$19,0)),"#N/A"))</f>
        <v/>
      </c>
      <c r="H360" s="28" t="n"/>
      <c r="I360" s="29">
        <f>IF(OR(F360="",H360=""),"",IFERROR(H360*INDEX(Catalogue!$G$7:$G$19,MATCH(F360,Catalogue!$B$7:$B$19,0)),"#N/A"))</f>
        <v/>
      </c>
      <c r="J360" s="30">
        <f>IF(ISNUMBER(I360),I360-K360,"")</f>
        <v/>
      </c>
      <c r="K360" s="31">
        <f>IF(OR(F360="",H360=""),"",IFERROR(H360*INDEX(Catalogue!$F$7:$F$19,MATCH(F360,Catalogue!$B$7:$B$19,0)),"#N/A"))</f>
        <v/>
      </c>
      <c r="L360" s="31">
        <f>IF(ISNUMBER(J360),J360*IFERROR(INDEX(Paramètres!$C$7:$C$12,MATCH(INDEX(Effectif!$D$7:$D$21,MATCH(D360,Effectif!$C$7:$C$21,0)),Paramètres!$B$7:$B$12,0)),0),"")</f>
        <v/>
      </c>
      <c r="M360" s="1" t="n"/>
    </row>
    <row r="361">
      <c r="A361" s="1" t="n"/>
      <c r="B361" s="24" t="n">
        <v>355</v>
      </c>
      <c r="C361" s="25" t="n"/>
      <c r="D361" s="26" t="n"/>
      <c r="E361" s="26" t="n"/>
      <c r="F361" s="26" t="n"/>
      <c r="G361" s="27">
        <f>IF(F361="","",IFERROR(INDEX(Catalogue!$C$7:$C$19,MATCH(F361,Catalogue!$B$7:$B$19,0)),"#N/A"))</f>
        <v/>
      </c>
      <c r="H361" s="28" t="n"/>
      <c r="I361" s="29">
        <f>IF(OR(F361="",H361=""),"",IFERROR(H361*INDEX(Catalogue!$G$7:$G$19,MATCH(F361,Catalogue!$B$7:$B$19,0)),"#N/A"))</f>
        <v/>
      </c>
      <c r="J361" s="30">
        <f>IF(ISNUMBER(I361),I361-K361,"")</f>
        <v/>
      </c>
      <c r="K361" s="31">
        <f>IF(OR(F361="",H361=""),"",IFERROR(H361*INDEX(Catalogue!$F$7:$F$19,MATCH(F361,Catalogue!$B$7:$B$19,0)),"#N/A"))</f>
        <v/>
      </c>
      <c r="L361" s="31">
        <f>IF(ISNUMBER(J361),J361*IFERROR(INDEX(Paramètres!$C$7:$C$12,MATCH(INDEX(Effectif!$D$7:$D$21,MATCH(D361,Effectif!$C$7:$C$21,0)),Paramètres!$B$7:$B$12,0)),0),"")</f>
        <v/>
      </c>
      <c r="M361" s="1" t="n"/>
    </row>
    <row r="362">
      <c r="A362" s="1" t="n"/>
      <c r="B362" s="24" t="n">
        <v>356</v>
      </c>
      <c r="C362" s="25" t="n"/>
      <c r="D362" s="26" t="n"/>
      <c r="E362" s="26" t="n"/>
      <c r="F362" s="26" t="n"/>
      <c r="G362" s="27">
        <f>IF(F362="","",IFERROR(INDEX(Catalogue!$C$7:$C$19,MATCH(F362,Catalogue!$B$7:$B$19,0)),"#N/A"))</f>
        <v/>
      </c>
      <c r="H362" s="28" t="n"/>
      <c r="I362" s="29">
        <f>IF(OR(F362="",H362=""),"",IFERROR(H362*INDEX(Catalogue!$G$7:$G$19,MATCH(F362,Catalogue!$B$7:$B$19,0)),"#N/A"))</f>
        <v/>
      </c>
      <c r="J362" s="30">
        <f>IF(ISNUMBER(I362),I362-K362,"")</f>
        <v/>
      </c>
      <c r="K362" s="31">
        <f>IF(OR(F362="",H362=""),"",IFERROR(H362*INDEX(Catalogue!$F$7:$F$19,MATCH(F362,Catalogue!$B$7:$B$19,0)),"#N/A"))</f>
        <v/>
      </c>
      <c r="L362" s="31">
        <f>IF(ISNUMBER(J362),J362*IFERROR(INDEX(Paramètres!$C$7:$C$12,MATCH(INDEX(Effectif!$D$7:$D$21,MATCH(D362,Effectif!$C$7:$C$21,0)),Paramètres!$B$7:$B$12,0)),0),"")</f>
        <v/>
      </c>
      <c r="M362" s="1" t="n"/>
    </row>
    <row r="363">
      <c r="A363" s="1" t="n"/>
      <c r="B363" s="24" t="n">
        <v>357</v>
      </c>
      <c r="C363" s="25" t="n"/>
      <c r="D363" s="26" t="n"/>
      <c r="E363" s="26" t="n"/>
      <c r="F363" s="26" t="n"/>
      <c r="G363" s="27">
        <f>IF(F363="","",IFERROR(INDEX(Catalogue!$C$7:$C$19,MATCH(F363,Catalogue!$B$7:$B$19,0)),"#N/A"))</f>
        <v/>
      </c>
      <c r="H363" s="28" t="n"/>
      <c r="I363" s="29">
        <f>IF(OR(F363="",H363=""),"",IFERROR(H363*INDEX(Catalogue!$G$7:$G$19,MATCH(F363,Catalogue!$B$7:$B$19,0)),"#N/A"))</f>
        <v/>
      </c>
      <c r="J363" s="30">
        <f>IF(ISNUMBER(I363),I363-K363,"")</f>
        <v/>
      </c>
      <c r="K363" s="31">
        <f>IF(OR(F363="",H363=""),"",IFERROR(H363*INDEX(Catalogue!$F$7:$F$19,MATCH(F363,Catalogue!$B$7:$B$19,0)),"#N/A"))</f>
        <v/>
      </c>
      <c r="L363" s="31">
        <f>IF(ISNUMBER(J363),J363*IFERROR(INDEX(Paramètres!$C$7:$C$12,MATCH(INDEX(Effectif!$D$7:$D$21,MATCH(D363,Effectif!$C$7:$C$21,0)),Paramètres!$B$7:$B$12,0)),0),"")</f>
        <v/>
      </c>
      <c r="M363" s="1" t="n"/>
    </row>
    <row r="364">
      <c r="A364" s="1" t="n"/>
      <c r="B364" s="24" t="n">
        <v>358</v>
      </c>
      <c r="C364" s="25" t="n"/>
      <c r="D364" s="26" t="n"/>
      <c r="E364" s="26" t="n"/>
      <c r="F364" s="26" t="n"/>
      <c r="G364" s="27">
        <f>IF(F364="","",IFERROR(INDEX(Catalogue!$C$7:$C$19,MATCH(F364,Catalogue!$B$7:$B$19,0)),"#N/A"))</f>
        <v/>
      </c>
      <c r="H364" s="28" t="n"/>
      <c r="I364" s="29">
        <f>IF(OR(F364="",H364=""),"",IFERROR(H364*INDEX(Catalogue!$G$7:$G$19,MATCH(F364,Catalogue!$B$7:$B$19,0)),"#N/A"))</f>
        <v/>
      </c>
      <c r="J364" s="30">
        <f>IF(ISNUMBER(I364),I364-K364,"")</f>
        <v/>
      </c>
      <c r="K364" s="31">
        <f>IF(OR(F364="",H364=""),"",IFERROR(H364*INDEX(Catalogue!$F$7:$F$19,MATCH(F364,Catalogue!$B$7:$B$19,0)),"#N/A"))</f>
        <v/>
      </c>
      <c r="L364" s="31">
        <f>IF(ISNUMBER(J364),J364*IFERROR(INDEX(Paramètres!$C$7:$C$12,MATCH(INDEX(Effectif!$D$7:$D$21,MATCH(D364,Effectif!$C$7:$C$21,0)),Paramètres!$B$7:$B$12,0)),0),"")</f>
        <v/>
      </c>
      <c r="M364" s="1" t="n"/>
    </row>
    <row r="365">
      <c r="A365" s="1" t="n"/>
      <c r="B365" s="24" t="n">
        <v>359</v>
      </c>
      <c r="C365" s="25" t="n"/>
      <c r="D365" s="26" t="n"/>
      <c r="E365" s="26" t="n"/>
      <c r="F365" s="26" t="n"/>
      <c r="G365" s="27">
        <f>IF(F365="","",IFERROR(INDEX(Catalogue!$C$7:$C$19,MATCH(F365,Catalogue!$B$7:$B$19,0)),"#N/A"))</f>
        <v/>
      </c>
      <c r="H365" s="28" t="n"/>
      <c r="I365" s="29">
        <f>IF(OR(F365="",H365=""),"",IFERROR(H365*INDEX(Catalogue!$G$7:$G$19,MATCH(F365,Catalogue!$B$7:$B$19,0)),"#N/A"))</f>
        <v/>
      </c>
      <c r="J365" s="30">
        <f>IF(ISNUMBER(I365),I365-K365,"")</f>
        <v/>
      </c>
      <c r="K365" s="31">
        <f>IF(OR(F365="",H365=""),"",IFERROR(H365*INDEX(Catalogue!$F$7:$F$19,MATCH(F365,Catalogue!$B$7:$B$19,0)),"#N/A"))</f>
        <v/>
      </c>
      <c r="L365" s="31">
        <f>IF(ISNUMBER(J365),J365*IFERROR(INDEX(Paramètres!$C$7:$C$12,MATCH(INDEX(Effectif!$D$7:$D$21,MATCH(D365,Effectif!$C$7:$C$21,0)),Paramètres!$B$7:$B$12,0)),0),"")</f>
        <v/>
      </c>
      <c r="M365" s="1" t="n"/>
    </row>
    <row r="366">
      <c r="A366" s="1" t="n"/>
      <c r="B366" s="24" t="n">
        <v>360</v>
      </c>
      <c r="C366" s="25" t="n"/>
      <c r="D366" s="26" t="n"/>
      <c r="E366" s="26" t="n"/>
      <c r="F366" s="26" t="n"/>
      <c r="G366" s="27">
        <f>IF(F366="","",IFERROR(INDEX(Catalogue!$C$7:$C$19,MATCH(F366,Catalogue!$B$7:$B$19,0)),"#N/A"))</f>
        <v/>
      </c>
      <c r="H366" s="28" t="n"/>
      <c r="I366" s="29">
        <f>IF(OR(F366="",H366=""),"",IFERROR(H366*INDEX(Catalogue!$G$7:$G$19,MATCH(F366,Catalogue!$B$7:$B$19,0)),"#N/A"))</f>
        <v/>
      </c>
      <c r="J366" s="30">
        <f>IF(ISNUMBER(I366),I366-K366,"")</f>
        <v/>
      </c>
      <c r="K366" s="31">
        <f>IF(OR(F366="",H366=""),"",IFERROR(H366*INDEX(Catalogue!$F$7:$F$19,MATCH(F366,Catalogue!$B$7:$B$19,0)),"#N/A"))</f>
        <v/>
      </c>
      <c r="L366" s="31">
        <f>IF(ISNUMBER(J366),J366*IFERROR(INDEX(Paramètres!$C$7:$C$12,MATCH(INDEX(Effectif!$D$7:$D$21,MATCH(D366,Effectif!$C$7:$C$21,0)),Paramètres!$B$7:$B$12,0)),0),"")</f>
        <v/>
      </c>
      <c r="M366" s="1" t="n"/>
    </row>
    <row r="367">
      <c r="A367" s="1" t="n"/>
      <c r="B367" s="24" t="n">
        <v>361</v>
      </c>
      <c r="C367" s="25" t="n"/>
      <c r="D367" s="26" t="n"/>
      <c r="E367" s="26" t="n"/>
      <c r="F367" s="26" t="n"/>
      <c r="G367" s="27">
        <f>IF(F367="","",IFERROR(INDEX(Catalogue!$C$7:$C$19,MATCH(F367,Catalogue!$B$7:$B$19,0)),"#N/A"))</f>
        <v/>
      </c>
      <c r="H367" s="28" t="n"/>
      <c r="I367" s="29">
        <f>IF(OR(F367="",H367=""),"",IFERROR(H367*INDEX(Catalogue!$G$7:$G$19,MATCH(F367,Catalogue!$B$7:$B$19,0)),"#N/A"))</f>
        <v/>
      </c>
      <c r="J367" s="30">
        <f>IF(ISNUMBER(I367),I367-K367,"")</f>
        <v/>
      </c>
      <c r="K367" s="31">
        <f>IF(OR(F367="",H367=""),"",IFERROR(H367*INDEX(Catalogue!$F$7:$F$19,MATCH(F367,Catalogue!$B$7:$B$19,0)),"#N/A"))</f>
        <v/>
      </c>
      <c r="L367" s="31">
        <f>IF(ISNUMBER(J367),J367*IFERROR(INDEX(Paramètres!$C$7:$C$12,MATCH(INDEX(Effectif!$D$7:$D$21,MATCH(D367,Effectif!$C$7:$C$21,0)),Paramètres!$B$7:$B$12,0)),0),"")</f>
        <v/>
      </c>
      <c r="M367" s="1" t="n"/>
    </row>
    <row r="368">
      <c r="A368" s="1" t="n"/>
      <c r="B368" s="24" t="n">
        <v>362</v>
      </c>
      <c r="C368" s="25" t="n"/>
      <c r="D368" s="26" t="n"/>
      <c r="E368" s="26" t="n"/>
      <c r="F368" s="26" t="n"/>
      <c r="G368" s="27">
        <f>IF(F368="","",IFERROR(INDEX(Catalogue!$C$7:$C$19,MATCH(F368,Catalogue!$B$7:$B$19,0)),"#N/A"))</f>
        <v/>
      </c>
      <c r="H368" s="28" t="n"/>
      <c r="I368" s="29">
        <f>IF(OR(F368="",H368=""),"",IFERROR(H368*INDEX(Catalogue!$G$7:$G$19,MATCH(F368,Catalogue!$B$7:$B$19,0)),"#N/A"))</f>
        <v/>
      </c>
      <c r="J368" s="30">
        <f>IF(ISNUMBER(I368),I368-K368,"")</f>
        <v/>
      </c>
      <c r="K368" s="31">
        <f>IF(OR(F368="",H368=""),"",IFERROR(H368*INDEX(Catalogue!$F$7:$F$19,MATCH(F368,Catalogue!$B$7:$B$19,0)),"#N/A"))</f>
        <v/>
      </c>
      <c r="L368" s="31">
        <f>IF(ISNUMBER(J368),J368*IFERROR(INDEX(Paramètres!$C$7:$C$12,MATCH(INDEX(Effectif!$D$7:$D$21,MATCH(D368,Effectif!$C$7:$C$21,0)),Paramètres!$B$7:$B$12,0)),0),"")</f>
        <v/>
      </c>
      <c r="M368" s="1" t="n"/>
    </row>
    <row r="369">
      <c r="A369" s="1" t="n"/>
      <c r="B369" s="24" t="n">
        <v>363</v>
      </c>
      <c r="C369" s="25" t="n"/>
      <c r="D369" s="26" t="n"/>
      <c r="E369" s="26" t="n"/>
      <c r="F369" s="26" t="n"/>
      <c r="G369" s="27">
        <f>IF(F369="","",IFERROR(INDEX(Catalogue!$C$7:$C$19,MATCH(F369,Catalogue!$B$7:$B$19,0)),"#N/A"))</f>
        <v/>
      </c>
      <c r="H369" s="28" t="n"/>
      <c r="I369" s="29">
        <f>IF(OR(F369="",H369=""),"",IFERROR(H369*INDEX(Catalogue!$G$7:$G$19,MATCH(F369,Catalogue!$B$7:$B$19,0)),"#N/A"))</f>
        <v/>
      </c>
      <c r="J369" s="30">
        <f>IF(ISNUMBER(I369),I369-K369,"")</f>
        <v/>
      </c>
      <c r="K369" s="31">
        <f>IF(OR(F369="",H369=""),"",IFERROR(H369*INDEX(Catalogue!$F$7:$F$19,MATCH(F369,Catalogue!$B$7:$B$19,0)),"#N/A"))</f>
        <v/>
      </c>
      <c r="L369" s="31">
        <f>IF(ISNUMBER(J369),J369*IFERROR(INDEX(Paramètres!$C$7:$C$12,MATCH(INDEX(Effectif!$D$7:$D$21,MATCH(D369,Effectif!$C$7:$C$21,0)),Paramètres!$B$7:$B$12,0)),0),"")</f>
        <v/>
      </c>
      <c r="M369" s="1" t="n"/>
    </row>
    <row r="370">
      <c r="A370" s="1" t="n"/>
      <c r="B370" s="24" t="n">
        <v>364</v>
      </c>
      <c r="C370" s="25" t="n"/>
      <c r="D370" s="26" t="n"/>
      <c r="E370" s="26" t="n"/>
      <c r="F370" s="26" t="n"/>
      <c r="G370" s="27">
        <f>IF(F370="","",IFERROR(INDEX(Catalogue!$C$7:$C$19,MATCH(F370,Catalogue!$B$7:$B$19,0)),"#N/A"))</f>
        <v/>
      </c>
      <c r="H370" s="28" t="n"/>
      <c r="I370" s="29">
        <f>IF(OR(F370="",H370=""),"",IFERROR(H370*INDEX(Catalogue!$G$7:$G$19,MATCH(F370,Catalogue!$B$7:$B$19,0)),"#N/A"))</f>
        <v/>
      </c>
      <c r="J370" s="30">
        <f>IF(ISNUMBER(I370),I370-K370,"")</f>
        <v/>
      </c>
      <c r="K370" s="31">
        <f>IF(OR(F370="",H370=""),"",IFERROR(H370*INDEX(Catalogue!$F$7:$F$19,MATCH(F370,Catalogue!$B$7:$B$19,0)),"#N/A"))</f>
        <v/>
      </c>
      <c r="L370" s="31">
        <f>IF(ISNUMBER(J370),J370*IFERROR(INDEX(Paramètres!$C$7:$C$12,MATCH(INDEX(Effectif!$D$7:$D$21,MATCH(D370,Effectif!$C$7:$C$21,0)),Paramètres!$B$7:$B$12,0)),0),"")</f>
        <v/>
      </c>
      <c r="M370" s="1" t="n"/>
    </row>
    <row r="371">
      <c r="A371" s="1" t="n"/>
      <c r="B371" s="24" t="n">
        <v>365</v>
      </c>
      <c r="C371" s="25" t="n"/>
      <c r="D371" s="26" t="n"/>
      <c r="E371" s="26" t="n"/>
      <c r="F371" s="26" t="n"/>
      <c r="G371" s="27">
        <f>IF(F371="","",IFERROR(INDEX(Catalogue!$C$7:$C$19,MATCH(F371,Catalogue!$B$7:$B$19,0)),"#N/A"))</f>
        <v/>
      </c>
      <c r="H371" s="28" t="n"/>
      <c r="I371" s="29">
        <f>IF(OR(F371="",H371=""),"",IFERROR(H371*INDEX(Catalogue!$G$7:$G$19,MATCH(F371,Catalogue!$B$7:$B$19,0)),"#N/A"))</f>
        <v/>
      </c>
      <c r="J371" s="30">
        <f>IF(ISNUMBER(I371),I371-K371,"")</f>
        <v/>
      </c>
      <c r="K371" s="31">
        <f>IF(OR(F371="",H371=""),"",IFERROR(H371*INDEX(Catalogue!$F$7:$F$19,MATCH(F371,Catalogue!$B$7:$B$19,0)),"#N/A"))</f>
        <v/>
      </c>
      <c r="L371" s="31">
        <f>IF(ISNUMBER(J371),J371*IFERROR(INDEX(Paramètres!$C$7:$C$12,MATCH(INDEX(Effectif!$D$7:$D$21,MATCH(D371,Effectif!$C$7:$C$21,0)),Paramètres!$B$7:$B$12,0)),0),"")</f>
        <v/>
      </c>
      <c r="M371" s="1" t="n"/>
    </row>
    <row r="372">
      <c r="A372" s="1" t="n"/>
      <c r="B372" s="24" t="n">
        <v>366</v>
      </c>
      <c r="C372" s="25" t="n"/>
      <c r="D372" s="26" t="n"/>
      <c r="E372" s="26" t="n"/>
      <c r="F372" s="26" t="n"/>
      <c r="G372" s="27">
        <f>IF(F372="","",IFERROR(INDEX(Catalogue!$C$7:$C$19,MATCH(F372,Catalogue!$B$7:$B$19,0)),"#N/A"))</f>
        <v/>
      </c>
      <c r="H372" s="28" t="n"/>
      <c r="I372" s="29">
        <f>IF(OR(F372="",H372=""),"",IFERROR(H372*INDEX(Catalogue!$G$7:$G$19,MATCH(F372,Catalogue!$B$7:$B$19,0)),"#N/A"))</f>
        <v/>
      </c>
      <c r="J372" s="30">
        <f>IF(ISNUMBER(I372),I372-K372,"")</f>
        <v/>
      </c>
      <c r="K372" s="31">
        <f>IF(OR(F372="",H372=""),"",IFERROR(H372*INDEX(Catalogue!$F$7:$F$19,MATCH(F372,Catalogue!$B$7:$B$19,0)),"#N/A"))</f>
        <v/>
      </c>
      <c r="L372" s="31">
        <f>IF(ISNUMBER(J372),J372*IFERROR(INDEX(Paramètres!$C$7:$C$12,MATCH(INDEX(Effectif!$D$7:$D$21,MATCH(D372,Effectif!$C$7:$C$21,0)),Paramètres!$B$7:$B$12,0)),0),"")</f>
        <v/>
      </c>
      <c r="M372" s="1" t="n"/>
    </row>
    <row r="373">
      <c r="A373" s="1" t="n"/>
      <c r="B373" s="24" t="n">
        <v>367</v>
      </c>
      <c r="C373" s="25" t="n"/>
      <c r="D373" s="26" t="n"/>
      <c r="E373" s="26" t="n"/>
      <c r="F373" s="26" t="n"/>
      <c r="G373" s="27">
        <f>IF(F373="","",IFERROR(INDEX(Catalogue!$C$7:$C$19,MATCH(F373,Catalogue!$B$7:$B$19,0)),"#N/A"))</f>
        <v/>
      </c>
      <c r="H373" s="28" t="n"/>
      <c r="I373" s="29">
        <f>IF(OR(F373="",H373=""),"",IFERROR(H373*INDEX(Catalogue!$G$7:$G$19,MATCH(F373,Catalogue!$B$7:$B$19,0)),"#N/A"))</f>
        <v/>
      </c>
      <c r="J373" s="30">
        <f>IF(ISNUMBER(I373),I373-K373,"")</f>
        <v/>
      </c>
      <c r="K373" s="31">
        <f>IF(OR(F373="",H373=""),"",IFERROR(H373*INDEX(Catalogue!$F$7:$F$19,MATCH(F373,Catalogue!$B$7:$B$19,0)),"#N/A"))</f>
        <v/>
      </c>
      <c r="L373" s="31">
        <f>IF(ISNUMBER(J373),J373*IFERROR(INDEX(Paramètres!$C$7:$C$12,MATCH(INDEX(Effectif!$D$7:$D$21,MATCH(D373,Effectif!$C$7:$C$21,0)),Paramètres!$B$7:$B$12,0)),0),"")</f>
        <v/>
      </c>
      <c r="M373" s="1" t="n"/>
    </row>
    <row r="374">
      <c r="A374" s="1" t="n"/>
      <c r="B374" s="24" t="n">
        <v>368</v>
      </c>
      <c r="C374" s="25" t="n"/>
      <c r="D374" s="26" t="n"/>
      <c r="E374" s="26" t="n"/>
      <c r="F374" s="26" t="n"/>
      <c r="G374" s="27">
        <f>IF(F374="","",IFERROR(INDEX(Catalogue!$C$7:$C$19,MATCH(F374,Catalogue!$B$7:$B$19,0)),"#N/A"))</f>
        <v/>
      </c>
      <c r="H374" s="28" t="n"/>
      <c r="I374" s="29">
        <f>IF(OR(F374="",H374=""),"",IFERROR(H374*INDEX(Catalogue!$G$7:$G$19,MATCH(F374,Catalogue!$B$7:$B$19,0)),"#N/A"))</f>
        <v/>
      </c>
      <c r="J374" s="30">
        <f>IF(ISNUMBER(I374),I374-K374,"")</f>
        <v/>
      </c>
      <c r="K374" s="31">
        <f>IF(OR(F374="",H374=""),"",IFERROR(H374*INDEX(Catalogue!$F$7:$F$19,MATCH(F374,Catalogue!$B$7:$B$19,0)),"#N/A"))</f>
        <v/>
      </c>
      <c r="L374" s="31">
        <f>IF(ISNUMBER(J374),J374*IFERROR(INDEX(Paramètres!$C$7:$C$12,MATCH(INDEX(Effectif!$D$7:$D$21,MATCH(D374,Effectif!$C$7:$C$21,0)),Paramètres!$B$7:$B$12,0)),0),"")</f>
        <v/>
      </c>
      <c r="M374" s="1" t="n"/>
    </row>
    <row r="375">
      <c r="A375" s="1" t="n"/>
      <c r="B375" s="24" t="n">
        <v>369</v>
      </c>
      <c r="C375" s="25" t="n"/>
      <c r="D375" s="26" t="n"/>
      <c r="E375" s="26" t="n"/>
      <c r="F375" s="26" t="n"/>
      <c r="G375" s="27">
        <f>IF(F375="","",IFERROR(INDEX(Catalogue!$C$7:$C$19,MATCH(F375,Catalogue!$B$7:$B$19,0)),"#N/A"))</f>
        <v/>
      </c>
      <c r="H375" s="28" t="n"/>
      <c r="I375" s="29">
        <f>IF(OR(F375="",H375=""),"",IFERROR(H375*INDEX(Catalogue!$G$7:$G$19,MATCH(F375,Catalogue!$B$7:$B$19,0)),"#N/A"))</f>
        <v/>
      </c>
      <c r="J375" s="30">
        <f>IF(ISNUMBER(I375),I375-K375,"")</f>
        <v/>
      </c>
      <c r="K375" s="31">
        <f>IF(OR(F375="",H375=""),"",IFERROR(H375*INDEX(Catalogue!$F$7:$F$19,MATCH(F375,Catalogue!$B$7:$B$19,0)),"#N/A"))</f>
        <v/>
      </c>
      <c r="L375" s="31">
        <f>IF(ISNUMBER(J375),J375*IFERROR(INDEX(Paramètres!$C$7:$C$12,MATCH(INDEX(Effectif!$D$7:$D$21,MATCH(D375,Effectif!$C$7:$C$21,0)),Paramètres!$B$7:$B$12,0)),0),"")</f>
        <v/>
      </c>
      <c r="M375" s="1" t="n"/>
    </row>
    <row r="376">
      <c r="A376" s="1" t="n"/>
      <c r="B376" s="24" t="n">
        <v>370</v>
      </c>
      <c r="C376" s="25" t="n"/>
      <c r="D376" s="26" t="n"/>
      <c r="E376" s="26" t="n"/>
      <c r="F376" s="26" t="n"/>
      <c r="G376" s="27">
        <f>IF(F376="","",IFERROR(INDEX(Catalogue!$C$7:$C$19,MATCH(F376,Catalogue!$B$7:$B$19,0)),"#N/A"))</f>
        <v/>
      </c>
      <c r="H376" s="28" t="n"/>
      <c r="I376" s="29">
        <f>IF(OR(F376="",H376=""),"",IFERROR(H376*INDEX(Catalogue!$G$7:$G$19,MATCH(F376,Catalogue!$B$7:$B$19,0)),"#N/A"))</f>
        <v/>
      </c>
      <c r="J376" s="30">
        <f>IF(ISNUMBER(I376),I376-K376,"")</f>
        <v/>
      </c>
      <c r="K376" s="31">
        <f>IF(OR(F376="",H376=""),"",IFERROR(H376*INDEX(Catalogue!$F$7:$F$19,MATCH(F376,Catalogue!$B$7:$B$19,0)),"#N/A"))</f>
        <v/>
      </c>
      <c r="L376" s="31">
        <f>IF(ISNUMBER(J376),J376*IFERROR(INDEX(Paramètres!$C$7:$C$12,MATCH(INDEX(Effectif!$D$7:$D$21,MATCH(D376,Effectif!$C$7:$C$21,0)),Paramètres!$B$7:$B$12,0)),0),"")</f>
        <v/>
      </c>
      <c r="M376" s="1" t="n"/>
    </row>
    <row r="377">
      <c r="A377" s="1" t="n"/>
      <c r="B377" s="24" t="n">
        <v>371</v>
      </c>
      <c r="C377" s="25" t="n"/>
      <c r="D377" s="26" t="n"/>
      <c r="E377" s="26" t="n"/>
      <c r="F377" s="26" t="n"/>
      <c r="G377" s="27">
        <f>IF(F377="","",IFERROR(INDEX(Catalogue!$C$7:$C$19,MATCH(F377,Catalogue!$B$7:$B$19,0)),"#N/A"))</f>
        <v/>
      </c>
      <c r="H377" s="28" t="n"/>
      <c r="I377" s="29">
        <f>IF(OR(F377="",H377=""),"",IFERROR(H377*INDEX(Catalogue!$G$7:$G$19,MATCH(F377,Catalogue!$B$7:$B$19,0)),"#N/A"))</f>
        <v/>
      </c>
      <c r="J377" s="30">
        <f>IF(ISNUMBER(I377),I377-K377,"")</f>
        <v/>
      </c>
      <c r="K377" s="31">
        <f>IF(OR(F377="",H377=""),"",IFERROR(H377*INDEX(Catalogue!$F$7:$F$19,MATCH(F377,Catalogue!$B$7:$B$19,0)),"#N/A"))</f>
        <v/>
      </c>
      <c r="L377" s="31">
        <f>IF(ISNUMBER(J377),J377*IFERROR(INDEX(Paramètres!$C$7:$C$12,MATCH(INDEX(Effectif!$D$7:$D$21,MATCH(D377,Effectif!$C$7:$C$21,0)),Paramètres!$B$7:$B$12,0)),0),"")</f>
        <v/>
      </c>
      <c r="M377" s="1" t="n"/>
    </row>
    <row r="378">
      <c r="A378" s="1" t="n"/>
      <c r="B378" s="24" t="n">
        <v>372</v>
      </c>
      <c r="C378" s="25" t="n"/>
      <c r="D378" s="26" t="n"/>
      <c r="E378" s="26" t="n"/>
      <c r="F378" s="26" t="n"/>
      <c r="G378" s="27">
        <f>IF(F378="","",IFERROR(INDEX(Catalogue!$C$7:$C$19,MATCH(F378,Catalogue!$B$7:$B$19,0)),"#N/A"))</f>
        <v/>
      </c>
      <c r="H378" s="28" t="n"/>
      <c r="I378" s="29">
        <f>IF(OR(F378="",H378=""),"",IFERROR(H378*INDEX(Catalogue!$G$7:$G$19,MATCH(F378,Catalogue!$B$7:$B$19,0)),"#N/A"))</f>
        <v/>
      </c>
      <c r="J378" s="30">
        <f>IF(ISNUMBER(I378),I378-K378,"")</f>
        <v/>
      </c>
      <c r="K378" s="31">
        <f>IF(OR(F378="",H378=""),"",IFERROR(H378*INDEX(Catalogue!$F$7:$F$19,MATCH(F378,Catalogue!$B$7:$B$19,0)),"#N/A"))</f>
        <v/>
      </c>
      <c r="L378" s="31">
        <f>IF(ISNUMBER(J378),J378*IFERROR(INDEX(Paramètres!$C$7:$C$12,MATCH(INDEX(Effectif!$D$7:$D$21,MATCH(D378,Effectif!$C$7:$C$21,0)),Paramètres!$B$7:$B$12,0)),0),"")</f>
        <v/>
      </c>
      <c r="M378" s="1" t="n"/>
    </row>
    <row r="379">
      <c r="A379" s="1" t="n"/>
      <c r="B379" s="24" t="n">
        <v>373</v>
      </c>
      <c r="C379" s="25" t="n"/>
      <c r="D379" s="26" t="n"/>
      <c r="E379" s="26" t="n"/>
      <c r="F379" s="26" t="n"/>
      <c r="G379" s="27">
        <f>IF(F379="","",IFERROR(INDEX(Catalogue!$C$7:$C$19,MATCH(F379,Catalogue!$B$7:$B$19,0)),"#N/A"))</f>
        <v/>
      </c>
      <c r="H379" s="28" t="n"/>
      <c r="I379" s="29">
        <f>IF(OR(F379="",H379=""),"",IFERROR(H379*INDEX(Catalogue!$G$7:$G$19,MATCH(F379,Catalogue!$B$7:$B$19,0)),"#N/A"))</f>
        <v/>
      </c>
      <c r="J379" s="30">
        <f>IF(ISNUMBER(I379),I379-K379,"")</f>
        <v/>
      </c>
      <c r="K379" s="31">
        <f>IF(OR(F379="",H379=""),"",IFERROR(H379*INDEX(Catalogue!$F$7:$F$19,MATCH(F379,Catalogue!$B$7:$B$19,0)),"#N/A"))</f>
        <v/>
      </c>
      <c r="L379" s="31">
        <f>IF(ISNUMBER(J379),J379*IFERROR(INDEX(Paramètres!$C$7:$C$12,MATCH(INDEX(Effectif!$D$7:$D$21,MATCH(D379,Effectif!$C$7:$C$21,0)),Paramètres!$B$7:$B$12,0)),0),"")</f>
        <v/>
      </c>
      <c r="M379" s="1" t="n"/>
    </row>
    <row r="380">
      <c r="A380" s="1" t="n"/>
      <c r="B380" s="24" t="n">
        <v>374</v>
      </c>
      <c r="C380" s="25" t="n"/>
      <c r="D380" s="26" t="n"/>
      <c r="E380" s="26" t="n"/>
      <c r="F380" s="26" t="n"/>
      <c r="G380" s="27">
        <f>IF(F380="","",IFERROR(INDEX(Catalogue!$C$7:$C$19,MATCH(F380,Catalogue!$B$7:$B$19,0)),"#N/A"))</f>
        <v/>
      </c>
      <c r="H380" s="28" t="n"/>
      <c r="I380" s="29">
        <f>IF(OR(F380="",H380=""),"",IFERROR(H380*INDEX(Catalogue!$G$7:$G$19,MATCH(F380,Catalogue!$B$7:$B$19,0)),"#N/A"))</f>
        <v/>
      </c>
      <c r="J380" s="30">
        <f>IF(ISNUMBER(I380),I380-K380,"")</f>
        <v/>
      </c>
      <c r="K380" s="31">
        <f>IF(OR(F380="",H380=""),"",IFERROR(H380*INDEX(Catalogue!$F$7:$F$19,MATCH(F380,Catalogue!$B$7:$B$19,0)),"#N/A"))</f>
        <v/>
      </c>
      <c r="L380" s="31">
        <f>IF(ISNUMBER(J380),J380*IFERROR(INDEX(Paramètres!$C$7:$C$12,MATCH(INDEX(Effectif!$D$7:$D$21,MATCH(D380,Effectif!$C$7:$C$21,0)),Paramètres!$B$7:$B$12,0)),0),"")</f>
        <v/>
      </c>
      <c r="M380" s="1" t="n"/>
    </row>
    <row r="381">
      <c r="A381" s="1" t="n"/>
      <c r="B381" s="24" t="n">
        <v>375</v>
      </c>
      <c r="C381" s="25" t="n"/>
      <c r="D381" s="26" t="n"/>
      <c r="E381" s="26" t="n"/>
      <c r="F381" s="26" t="n"/>
      <c r="G381" s="27">
        <f>IF(F381="","",IFERROR(INDEX(Catalogue!$C$7:$C$19,MATCH(F381,Catalogue!$B$7:$B$19,0)),"#N/A"))</f>
        <v/>
      </c>
      <c r="H381" s="28" t="n"/>
      <c r="I381" s="29">
        <f>IF(OR(F381="",H381=""),"",IFERROR(H381*INDEX(Catalogue!$G$7:$G$19,MATCH(F381,Catalogue!$B$7:$B$19,0)),"#N/A"))</f>
        <v/>
      </c>
      <c r="J381" s="30">
        <f>IF(ISNUMBER(I381),I381-K381,"")</f>
        <v/>
      </c>
      <c r="K381" s="31">
        <f>IF(OR(F381="",H381=""),"",IFERROR(H381*INDEX(Catalogue!$F$7:$F$19,MATCH(F381,Catalogue!$B$7:$B$19,0)),"#N/A"))</f>
        <v/>
      </c>
      <c r="L381" s="31">
        <f>IF(ISNUMBER(J381),J381*IFERROR(INDEX(Paramètres!$C$7:$C$12,MATCH(INDEX(Effectif!$D$7:$D$21,MATCH(D381,Effectif!$C$7:$C$21,0)),Paramètres!$B$7:$B$12,0)),0),"")</f>
        <v/>
      </c>
      <c r="M381" s="1" t="n"/>
    </row>
    <row r="382">
      <c r="A382" s="1" t="n"/>
      <c r="B382" s="24" t="n">
        <v>376</v>
      </c>
      <c r="C382" s="25" t="n"/>
      <c r="D382" s="26" t="n"/>
      <c r="E382" s="26" t="n"/>
      <c r="F382" s="26" t="n"/>
      <c r="G382" s="27">
        <f>IF(F382="","",IFERROR(INDEX(Catalogue!$C$7:$C$19,MATCH(F382,Catalogue!$B$7:$B$19,0)),"#N/A"))</f>
        <v/>
      </c>
      <c r="H382" s="28" t="n"/>
      <c r="I382" s="29">
        <f>IF(OR(F382="",H382=""),"",IFERROR(H382*INDEX(Catalogue!$G$7:$G$19,MATCH(F382,Catalogue!$B$7:$B$19,0)),"#N/A"))</f>
        <v/>
      </c>
      <c r="J382" s="30">
        <f>IF(ISNUMBER(I382),I382-K382,"")</f>
        <v/>
      </c>
      <c r="K382" s="31">
        <f>IF(OR(F382="",H382=""),"",IFERROR(H382*INDEX(Catalogue!$F$7:$F$19,MATCH(F382,Catalogue!$B$7:$B$19,0)),"#N/A"))</f>
        <v/>
      </c>
      <c r="L382" s="31">
        <f>IF(ISNUMBER(J382),J382*IFERROR(INDEX(Paramètres!$C$7:$C$12,MATCH(INDEX(Effectif!$D$7:$D$21,MATCH(D382,Effectif!$C$7:$C$21,0)),Paramètres!$B$7:$B$12,0)),0),"")</f>
        <v/>
      </c>
      <c r="M382" s="1" t="n"/>
    </row>
    <row r="383">
      <c r="A383" s="1" t="n"/>
      <c r="B383" s="24" t="n">
        <v>377</v>
      </c>
      <c r="C383" s="25" t="n"/>
      <c r="D383" s="26" t="n"/>
      <c r="E383" s="26" t="n"/>
      <c r="F383" s="26" t="n"/>
      <c r="G383" s="27">
        <f>IF(F383="","",IFERROR(INDEX(Catalogue!$C$7:$C$19,MATCH(F383,Catalogue!$B$7:$B$19,0)),"#N/A"))</f>
        <v/>
      </c>
      <c r="H383" s="28" t="n"/>
      <c r="I383" s="29">
        <f>IF(OR(F383="",H383=""),"",IFERROR(H383*INDEX(Catalogue!$G$7:$G$19,MATCH(F383,Catalogue!$B$7:$B$19,0)),"#N/A"))</f>
        <v/>
      </c>
      <c r="J383" s="30">
        <f>IF(ISNUMBER(I383),I383-K383,"")</f>
        <v/>
      </c>
      <c r="K383" s="31">
        <f>IF(OR(F383="",H383=""),"",IFERROR(H383*INDEX(Catalogue!$F$7:$F$19,MATCH(F383,Catalogue!$B$7:$B$19,0)),"#N/A"))</f>
        <v/>
      </c>
      <c r="L383" s="31">
        <f>IF(ISNUMBER(J383),J383*IFERROR(INDEX(Paramètres!$C$7:$C$12,MATCH(INDEX(Effectif!$D$7:$D$21,MATCH(D383,Effectif!$C$7:$C$21,0)),Paramètres!$B$7:$B$12,0)),0),"")</f>
        <v/>
      </c>
      <c r="M383" s="1" t="n"/>
    </row>
    <row r="384">
      <c r="A384" s="1" t="n"/>
      <c r="B384" s="24" t="n">
        <v>378</v>
      </c>
      <c r="C384" s="25" t="n"/>
      <c r="D384" s="26" t="n"/>
      <c r="E384" s="26" t="n"/>
      <c r="F384" s="26" t="n"/>
      <c r="G384" s="27">
        <f>IF(F384="","",IFERROR(INDEX(Catalogue!$C$7:$C$19,MATCH(F384,Catalogue!$B$7:$B$19,0)),"#N/A"))</f>
        <v/>
      </c>
      <c r="H384" s="28" t="n"/>
      <c r="I384" s="29">
        <f>IF(OR(F384="",H384=""),"",IFERROR(H384*INDEX(Catalogue!$G$7:$G$19,MATCH(F384,Catalogue!$B$7:$B$19,0)),"#N/A"))</f>
        <v/>
      </c>
      <c r="J384" s="30">
        <f>IF(ISNUMBER(I384),I384-K384,"")</f>
        <v/>
      </c>
      <c r="K384" s="31">
        <f>IF(OR(F384="",H384=""),"",IFERROR(H384*INDEX(Catalogue!$F$7:$F$19,MATCH(F384,Catalogue!$B$7:$B$19,0)),"#N/A"))</f>
        <v/>
      </c>
      <c r="L384" s="31">
        <f>IF(ISNUMBER(J384),J384*IFERROR(INDEX(Paramètres!$C$7:$C$12,MATCH(INDEX(Effectif!$D$7:$D$21,MATCH(D384,Effectif!$C$7:$C$21,0)),Paramètres!$B$7:$B$12,0)),0),"")</f>
        <v/>
      </c>
      <c r="M384" s="1" t="n"/>
    </row>
    <row r="385">
      <c r="A385" s="1" t="n"/>
      <c r="B385" s="24" t="n">
        <v>379</v>
      </c>
      <c r="C385" s="25" t="n"/>
      <c r="D385" s="26" t="n"/>
      <c r="E385" s="26" t="n"/>
      <c r="F385" s="26" t="n"/>
      <c r="G385" s="27">
        <f>IF(F385="","",IFERROR(INDEX(Catalogue!$C$7:$C$19,MATCH(F385,Catalogue!$B$7:$B$19,0)),"#N/A"))</f>
        <v/>
      </c>
      <c r="H385" s="28" t="n"/>
      <c r="I385" s="29">
        <f>IF(OR(F385="",H385=""),"",IFERROR(H385*INDEX(Catalogue!$G$7:$G$19,MATCH(F385,Catalogue!$B$7:$B$19,0)),"#N/A"))</f>
        <v/>
      </c>
      <c r="J385" s="30">
        <f>IF(ISNUMBER(I385),I385-K385,"")</f>
        <v/>
      </c>
      <c r="K385" s="31">
        <f>IF(OR(F385="",H385=""),"",IFERROR(H385*INDEX(Catalogue!$F$7:$F$19,MATCH(F385,Catalogue!$B$7:$B$19,0)),"#N/A"))</f>
        <v/>
      </c>
      <c r="L385" s="31">
        <f>IF(ISNUMBER(J385),J385*IFERROR(INDEX(Paramètres!$C$7:$C$12,MATCH(INDEX(Effectif!$D$7:$D$21,MATCH(D385,Effectif!$C$7:$C$21,0)),Paramètres!$B$7:$B$12,0)),0),"")</f>
        <v/>
      </c>
      <c r="M385" s="1" t="n"/>
    </row>
    <row r="386">
      <c r="A386" s="1" t="n"/>
      <c r="B386" s="24" t="n">
        <v>380</v>
      </c>
      <c r="C386" s="25" t="n"/>
      <c r="D386" s="26" t="n"/>
      <c r="E386" s="26" t="n"/>
      <c r="F386" s="26" t="n"/>
      <c r="G386" s="27">
        <f>IF(F386="","",IFERROR(INDEX(Catalogue!$C$7:$C$19,MATCH(F386,Catalogue!$B$7:$B$19,0)),"#N/A"))</f>
        <v/>
      </c>
      <c r="H386" s="28" t="n"/>
      <c r="I386" s="29">
        <f>IF(OR(F386="",H386=""),"",IFERROR(H386*INDEX(Catalogue!$G$7:$G$19,MATCH(F386,Catalogue!$B$7:$B$19,0)),"#N/A"))</f>
        <v/>
      </c>
      <c r="J386" s="30">
        <f>IF(ISNUMBER(I386),I386-K386,"")</f>
        <v/>
      </c>
      <c r="K386" s="31">
        <f>IF(OR(F386="",H386=""),"",IFERROR(H386*INDEX(Catalogue!$F$7:$F$19,MATCH(F386,Catalogue!$B$7:$B$19,0)),"#N/A"))</f>
        <v/>
      </c>
      <c r="L386" s="31">
        <f>IF(ISNUMBER(J386),J386*IFERROR(INDEX(Paramètres!$C$7:$C$12,MATCH(INDEX(Effectif!$D$7:$D$21,MATCH(D386,Effectif!$C$7:$C$21,0)),Paramètres!$B$7:$B$12,0)),0),"")</f>
        <v/>
      </c>
      <c r="M386" s="1" t="n"/>
    </row>
    <row r="387">
      <c r="A387" s="1" t="n"/>
      <c r="B387" s="24" t="n">
        <v>381</v>
      </c>
      <c r="C387" s="25" t="n"/>
      <c r="D387" s="26" t="n"/>
      <c r="E387" s="26" t="n"/>
      <c r="F387" s="26" t="n"/>
      <c r="G387" s="27">
        <f>IF(F387="","",IFERROR(INDEX(Catalogue!$C$7:$C$19,MATCH(F387,Catalogue!$B$7:$B$19,0)),"#N/A"))</f>
        <v/>
      </c>
      <c r="H387" s="28" t="n"/>
      <c r="I387" s="29">
        <f>IF(OR(F387="",H387=""),"",IFERROR(H387*INDEX(Catalogue!$G$7:$G$19,MATCH(F387,Catalogue!$B$7:$B$19,0)),"#N/A"))</f>
        <v/>
      </c>
      <c r="J387" s="30">
        <f>IF(ISNUMBER(I387),I387-K387,"")</f>
        <v/>
      </c>
      <c r="K387" s="31">
        <f>IF(OR(F387="",H387=""),"",IFERROR(H387*INDEX(Catalogue!$F$7:$F$19,MATCH(F387,Catalogue!$B$7:$B$19,0)),"#N/A"))</f>
        <v/>
      </c>
      <c r="L387" s="31">
        <f>IF(ISNUMBER(J387),J387*IFERROR(INDEX(Paramètres!$C$7:$C$12,MATCH(INDEX(Effectif!$D$7:$D$21,MATCH(D387,Effectif!$C$7:$C$21,0)),Paramètres!$B$7:$B$12,0)),0),"")</f>
        <v/>
      </c>
      <c r="M387" s="1" t="n"/>
    </row>
    <row r="388">
      <c r="A388" s="1" t="n"/>
      <c r="B388" s="24" t="n">
        <v>382</v>
      </c>
      <c r="C388" s="25" t="n"/>
      <c r="D388" s="26" t="n"/>
      <c r="E388" s="26" t="n"/>
      <c r="F388" s="26" t="n"/>
      <c r="G388" s="27">
        <f>IF(F388="","",IFERROR(INDEX(Catalogue!$C$7:$C$19,MATCH(F388,Catalogue!$B$7:$B$19,0)),"#N/A"))</f>
        <v/>
      </c>
      <c r="H388" s="28" t="n"/>
      <c r="I388" s="29">
        <f>IF(OR(F388="",H388=""),"",IFERROR(H388*INDEX(Catalogue!$G$7:$G$19,MATCH(F388,Catalogue!$B$7:$B$19,0)),"#N/A"))</f>
        <v/>
      </c>
      <c r="J388" s="30">
        <f>IF(ISNUMBER(I388),I388-K388,"")</f>
        <v/>
      </c>
      <c r="K388" s="31">
        <f>IF(OR(F388="",H388=""),"",IFERROR(H388*INDEX(Catalogue!$F$7:$F$19,MATCH(F388,Catalogue!$B$7:$B$19,0)),"#N/A"))</f>
        <v/>
      </c>
      <c r="L388" s="31">
        <f>IF(ISNUMBER(J388),J388*IFERROR(INDEX(Paramètres!$C$7:$C$12,MATCH(INDEX(Effectif!$D$7:$D$21,MATCH(D388,Effectif!$C$7:$C$21,0)),Paramètres!$B$7:$B$12,0)),0),"")</f>
        <v/>
      </c>
      <c r="M388" s="1" t="n"/>
    </row>
    <row r="389">
      <c r="A389" s="1" t="n"/>
      <c r="B389" s="24" t="n">
        <v>383</v>
      </c>
      <c r="C389" s="25" t="n"/>
      <c r="D389" s="26" t="n"/>
      <c r="E389" s="26" t="n"/>
      <c r="F389" s="26" t="n"/>
      <c r="G389" s="27">
        <f>IF(F389="","",IFERROR(INDEX(Catalogue!$C$7:$C$19,MATCH(F389,Catalogue!$B$7:$B$19,0)),"#N/A"))</f>
        <v/>
      </c>
      <c r="H389" s="28" t="n"/>
      <c r="I389" s="29">
        <f>IF(OR(F389="",H389=""),"",IFERROR(H389*INDEX(Catalogue!$G$7:$G$19,MATCH(F389,Catalogue!$B$7:$B$19,0)),"#N/A"))</f>
        <v/>
      </c>
      <c r="J389" s="30">
        <f>IF(ISNUMBER(I389),I389-K389,"")</f>
        <v/>
      </c>
      <c r="K389" s="31">
        <f>IF(OR(F389="",H389=""),"",IFERROR(H389*INDEX(Catalogue!$F$7:$F$19,MATCH(F389,Catalogue!$B$7:$B$19,0)),"#N/A"))</f>
        <v/>
      </c>
      <c r="L389" s="31">
        <f>IF(ISNUMBER(J389),J389*IFERROR(INDEX(Paramètres!$C$7:$C$12,MATCH(INDEX(Effectif!$D$7:$D$21,MATCH(D389,Effectif!$C$7:$C$21,0)),Paramètres!$B$7:$B$12,0)),0),"")</f>
        <v/>
      </c>
      <c r="M389" s="1" t="n"/>
    </row>
    <row r="390">
      <c r="A390" s="1" t="n"/>
      <c r="B390" s="24" t="n">
        <v>384</v>
      </c>
      <c r="C390" s="25" t="n"/>
      <c r="D390" s="26" t="n"/>
      <c r="E390" s="26" t="n"/>
      <c r="F390" s="26" t="n"/>
      <c r="G390" s="27">
        <f>IF(F390="","",IFERROR(INDEX(Catalogue!$C$7:$C$19,MATCH(F390,Catalogue!$B$7:$B$19,0)),"#N/A"))</f>
        <v/>
      </c>
      <c r="H390" s="28" t="n"/>
      <c r="I390" s="29">
        <f>IF(OR(F390="",H390=""),"",IFERROR(H390*INDEX(Catalogue!$G$7:$G$19,MATCH(F390,Catalogue!$B$7:$B$19,0)),"#N/A"))</f>
        <v/>
      </c>
      <c r="J390" s="30">
        <f>IF(ISNUMBER(I390),I390-K390,"")</f>
        <v/>
      </c>
      <c r="K390" s="31">
        <f>IF(OR(F390="",H390=""),"",IFERROR(H390*INDEX(Catalogue!$F$7:$F$19,MATCH(F390,Catalogue!$B$7:$B$19,0)),"#N/A"))</f>
        <v/>
      </c>
      <c r="L390" s="31">
        <f>IF(ISNUMBER(J390),J390*IFERROR(INDEX(Paramètres!$C$7:$C$12,MATCH(INDEX(Effectif!$D$7:$D$21,MATCH(D390,Effectif!$C$7:$C$21,0)),Paramètres!$B$7:$B$12,0)),0),"")</f>
        <v/>
      </c>
      <c r="M390" s="1" t="n"/>
    </row>
    <row r="391">
      <c r="A391" s="1" t="n"/>
      <c r="B391" s="24" t="n">
        <v>385</v>
      </c>
      <c r="C391" s="25" t="n"/>
      <c r="D391" s="26" t="n"/>
      <c r="E391" s="26" t="n"/>
      <c r="F391" s="26" t="n"/>
      <c r="G391" s="27">
        <f>IF(F391="","",IFERROR(INDEX(Catalogue!$C$7:$C$19,MATCH(F391,Catalogue!$B$7:$B$19,0)),"#N/A"))</f>
        <v/>
      </c>
      <c r="H391" s="28" t="n"/>
      <c r="I391" s="29">
        <f>IF(OR(F391="",H391=""),"",IFERROR(H391*INDEX(Catalogue!$G$7:$G$19,MATCH(F391,Catalogue!$B$7:$B$19,0)),"#N/A"))</f>
        <v/>
      </c>
      <c r="J391" s="30">
        <f>IF(ISNUMBER(I391),I391-K391,"")</f>
        <v/>
      </c>
      <c r="K391" s="31">
        <f>IF(OR(F391="",H391=""),"",IFERROR(H391*INDEX(Catalogue!$F$7:$F$19,MATCH(F391,Catalogue!$B$7:$B$19,0)),"#N/A"))</f>
        <v/>
      </c>
      <c r="L391" s="31">
        <f>IF(ISNUMBER(J391),J391*IFERROR(INDEX(Paramètres!$C$7:$C$12,MATCH(INDEX(Effectif!$D$7:$D$21,MATCH(D391,Effectif!$C$7:$C$21,0)),Paramètres!$B$7:$B$12,0)),0),"")</f>
        <v/>
      </c>
      <c r="M391" s="1" t="n"/>
    </row>
    <row r="392">
      <c r="A392" s="1" t="n"/>
      <c r="B392" s="24" t="n">
        <v>386</v>
      </c>
      <c r="C392" s="25" t="n"/>
      <c r="D392" s="26" t="n"/>
      <c r="E392" s="26" t="n"/>
      <c r="F392" s="26" t="n"/>
      <c r="G392" s="27">
        <f>IF(F392="","",IFERROR(INDEX(Catalogue!$C$7:$C$19,MATCH(F392,Catalogue!$B$7:$B$19,0)),"#N/A"))</f>
        <v/>
      </c>
      <c r="H392" s="28" t="n"/>
      <c r="I392" s="29">
        <f>IF(OR(F392="",H392=""),"",IFERROR(H392*INDEX(Catalogue!$G$7:$G$19,MATCH(F392,Catalogue!$B$7:$B$19,0)),"#N/A"))</f>
        <v/>
      </c>
      <c r="J392" s="30">
        <f>IF(ISNUMBER(I392),I392-K392,"")</f>
        <v/>
      </c>
      <c r="K392" s="31">
        <f>IF(OR(F392="",H392=""),"",IFERROR(H392*INDEX(Catalogue!$F$7:$F$19,MATCH(F392,Catalogue!$B$7:$B$19,0)),"#N/A"))</f>
        <v/>
      </c>
      <c r="L392" s="31">
        <f>IF(ISNUMBER(J392),J392*IFERROR(INDEX(Paramètres!$C$7:$C$12,MATCH(INDEX(Effectif!$D$7:$D$21,MATCH(D392,Effectif!$C$7:$C$21,0)),Paramètres!$B$7:$B$12,0)),0),"")</f>
        <v/>
      </c>
      <c r="M392" s="1" t="n"/>
    </row>
    <row r="393">
      <c r="A393" s="1" t="n"/>
      <c r="B393" s="24" t="n">
        <v>387</v>
      </c>
      <c r="C393" s="25" t="n"/>
      <c r="D393" s="26" t="n"/>
      <c r="E393" s="26" t="n"/>
      <c r="F393" s="26" t="n"/>
      <c r="G393" s="27">
        <f>IF(F393="","",IFERROR(INDEX(Catalogue!$C$7:$C$19,MATCH(F393,Catalogue!$B$7:$B$19,0)),"#N/A"))</f>
        <v/>
      </c>
      <c r="H393" s="28" t="n"/>
      <c r="I393" s="29">
        <f>IF(OR(F393="",H393=""),"",IFERROR(H393*INDEX(Catalogue!$G$7:$G$19,MATCH(F393,Catalogue!$B$7:$B$19,0)),"#N/A"))</f>
        <v/>
      </c>
      <c r="J393" s="30">
        <f>IF(ISNUMBER(I393),I393-K393,"")</f>
        <v/>
      </c>
      <c r="K393" s="31">
        <f>IF(OR(F393="",H393=""),"",IFERROR(H393*INDEX(Catalogue!$F$7:$F$19,MATCH(F393,Catalogue!$B$7:$B$19,0)),"#N/A"))</f>
        <v/>
      </c>
      <c r="L393" s="31">
        <f>IF(ISNUMBER(J393),J393*IFERROR(INDEX(Paramètres!$C$7:$C$12,MATCH(INDEX(Effectif!$D$7:$D$21,MATCH(D393,Effectif!$C$7:$C$21,0)),Paramètres!$B$7:$B$12,0)),0),"")</f>
        <v/>
      </c>
      <c r="M393" s="1" t="n"/>
    </row>
    <row r="394">
      <c r="A394" s="1" t="n"/>
      <c r="B394" s="24" t="n">
        <v>388</v>
      </c>
      <c r="C394" s="25" t="n"/>
      <c r="D394" s="26" t="n"/>
      <c r="E394" s="26" t="n"/>
      <c r="F394" s="26" t="n"/>
      <c r="G394" s="27">
        <f>IF(F394="","",IFERROR(INDEX(Catalogue!$C$7:$C$19,MATCH(F394,Catalogue!$B$7:$B$19,0)),"#N/A"))</f>
        <v/>
      </c>
      <c r="H394" s="28" t="n"/>
      <c r="I394" s="29">
        <f>IF(OR(F394="",H394=""),"",IFERROR(H394*INDEX(Catalogue!$G$7:$G$19,MATCH(F394,Catalogue!$B$7:$B$19,0)),"#N/A"))</f>
        <v/>
      </c>
      <c r="J394" s="30">
        <f>IF(ISNUMBER(I394),I394-K394,"")</f>
        <v/>
      </c>
      <c r="K394" s="31">
        <f>IF(OR(F394="",H394=""),"",IFERROR(H394*INDEX(Catalogue!$F$7:$F$19,MATCH(F394,Catalogue!$B$7:$B$19,0)),"#N/A"))</f>
        <v/>
      </c>
      <c r="L394" s="31">
        <f>IF(ISNUMBER(J394),J394*IFERROR(INDEX(Paramètres!$C$7:$C$12,MATCH(INDEX(Effectif!$D$7:$D$21,MATCH(D394,Effectif!$C$7:$C$21,0)),Paramètres!$B$7:$B$12,0)),0),"")</f>
        <v/>
      </c>
      <c r="M394" s="1" t="n"/>
    </row>
    <row r="395">
      <c r="A395" s="1" t="n"/>
      <c r="B395" s="24" t="n">
        <v>389</v>
      </c>
      <c r="C395" s="25" t="n"/>
      <c r="D395" s="26" t="n"/>
      <c r="E395" s="26" t="n"/>
      <c r="F395" s="26" t="n"/>
      <c r="G395" s="27">
        <f>IF(F395="","",IFERROR(INDEX(Catalogue!$C$7:$C$19,MATCH(F395,Catalogue!$B$7:$B$19,0)),"#N/A"))</f>
        <v/>
      </c>
      <c r="H395" s="28" t="n"/>
      <c r="I395" s="29">
        <f>IF(OR(F395="",H395=""),"",IFERROR(H395*INDEX(Catalogue!$G$7:$G$19,MATCH(F395,Catalogue!$B$7:$B$19,0)),"#N/A"))</f>
        <v/>
      </c>
      <c r="J395" s="30">
        <f>IF(ISNUMBER(I395),I395-K395,"")</f>
        <v/>
      </c>
      <c r="K395" s="31">
        <f>IF(OR(F395="",H395=""),"",IFERROR(H395*INDEX(Catalogue!$F$7:$F$19,MATCH(F395,Catalogue!$B$7:$B$19,0)),"#N/A"))</f>
        <v/>
      </c>
      <c r="L395" s="31">
        <f>IF(ISNUMBER(J395),J395*IFERROR(INDEX(Paramètres!$C$7:$C$12,MATCH(INDEX(Effectif!$D$7:$D$21,MATCH(D395,Effectif!$C$7:$C$21,0)),Paramètres!$B$7:$B$12,0)),0),"")</f>
        <v/>
      </c>
      <c r="M395" s="1" t="n"/>
    </row>
    <row r="396">
      <c r="A396" s="1" t="n"/>
      <c r="B396" s="24" t="n">
        <v>390</v>
      </c>
      <c r="C396" s="25" t="n"/>
      <c r="D396" s="26" t="n"/>
      <c r="E396" s="26" t="n"/>
      <c r="F396" s="26" t="n"/>
      <c r="G396" s="27">
        <f>IF(F396="","",IFERROR(INDEX(Catalogue!$C$7:$C$19,MATCH(F396,Catalogue!$B$7:$B$19,0)),"#N/A"))</f>
        <v/>
      </c>
      <c r="H396" s="28" t="n"/>
      <c r="I396" s="29">
        <f>IF(OR(F396="",H396=""),"",IFERROR(H396*INDEX(Catalogue!$G$7:$G$19,MATCH(F396,Catalogue!$B$7:$B$19,0)),"#N/A"))</f>
        <v/>
      </c>
      <c r="J396" s="30">
        <f>IF(ISNUMBER(I396),I396-K396,"")</f>
        <v/>
      </c>
      <c r="K396" s="31">
        <f>IF(OR(F396="",H396=""),"",IFERROR(H396*INDEX(Catalogue!$F$7:$F$19,MATCH(F396,Catalogue!$B$7:$B$19,0)),"#N/A"))</f>
        <v/>
      </c>
      <c r="L396" s="31">
        <f>IF(ISNUMBER(J396),J396*IFERROR(INDEX(Paramètres!$C$7:$C$12,MATCH(INDEX(Effectif!$D$7:$D$21,MATCH(D396,Effectif!$C$7:$C$21,0)),Paramètres!$B$7:$B$12,0)),0),"")</f>
        <v/>
      </c>
      <c r="M396" s="1" t="n"/>
    </row>
    <row r="397">
      <c r="A397" s="1" t="n"/>
      <c r="B397" s="24" t="n">
        <v>391</v>
      </c>
      <c r="C397" s="25" t="n"/>
      <c r="D397" s="26" t="n"/>
      <c r="E397" s="26" t="n"/>
      <c r="F397" s="26" t="n"/>
      <c r="G397" s="27">
        <f>IF(F397="","",IFERROR(INDEX(Catalogue!$C$7:$C$19,MATCH(F397,Catalogue!$B$7:$B$19,0)),"#N/A"))</f>
        <v/>
      </c>
      <c r="H397" s="28" t="n"/>
      <c r="I397" s="29">
        <f>IF(OR(F397="",H397=""),"",IFERROR(H397*INDEX(Catalogue!$G$7:$G$19,MATCH(F397,Catalogue!$B$7:$B$19,0)),"#N/A"))</f>
        <v/>
      </c>
      <c r="J397" s="30">
        <f>IF(ISNUMBER(I397),I397-K397,"")</f>
        <v/>
      </c>
      <c r="K397" s="31">
        <f>IF(OR(F397="",H397=""),"",IFERROR(H397*INDEX(Catalogue!$F$7:$F$19,MATCH(F397,Catalogue!$B$7:$B$19,0)),"#N/A"))</f>
        <v/>
      </c>
      <c r="L397" s="31">
        <f>IF(ISNUMBER(J397),J397*IFERROR(INDEX(Paramètres!$C$7:$C$12,MATCH(INDEX(Effectif!$D$7:$D$21,MATCH(D397,Effectif!$C$7:$C$21,0)),Paramètres!$B$7:$B$12,0)),0),"")</f>
        <v/>
      </c>
      <c r="M397" s="1" t="n"/>
    </row>
    <row r="398">
      <c r="A398" s="1" t="n"/>
      <c r="B398" s="24" t="n">
        <v>392</v>
      </c>
      <c r="C398" s="25" t="n"/>
      <c r="D398" s="26" t="n"/>
      <c r="E398" s="26" t="n"/>
      <c r="F398" s="26" t="n"/>
      <c r="G398" s="27">
        <f>IF(F398="","",IFERROR(INDEX(Catalogue!$C$7:$C$19,MATCH(F398,Catalogue!$B$7:$B$19,0)),"#N/A"))</f>
        <v/>
      </c>
      <c r="H398" s="28" t="n"/>
      <c r="I398" s="29">
        <f>IF(OR(F398="",H398=""),"",IFERROR(H398*INDEX(Catalogue!$G$7:$G$19,MATCH(F398,Catalogue!$B$7:$B$19,0)),"#N/A"))</f>
        <v/>
      </c>
      <c r="J398" s="30">
        <f>IF(ISNUMBER(I398),I398-K398,"")</f>
        <v/>
      </c>
      <c r="K398" s="31">
        <f>IF(OR(F398="",H398=""),"",IFERROR(H398*INDEX(Catalogue!$F$7:$F$19,MATCH(F398,Catalogue!$B$7:$B$19,0)),"#N/A"))</f>
        <v/>
      </c>
      <c r="L398" s="31">
        <f>IF(ISNUMBER(J398),J398*IFERROR(INDEX(Paramètres!$C$7:$C$12,MATCH(INDEX(Effectif!$D$7:$D$21,MATCH(D398,Effectif!$C$7:$C$21,0)),Paramètres!$B$7:$B$12,0)),0),"")</f>
        <v/>
      </c>
      <c r="M398" s="1" t="n"/>
    </row>
    <row r="399">
      <c r="A399" s="1" t="n"/>
      <c r="B399" s="24" t="n">
        <v>393</v>
      </c>
      <c r="C399" s="25" t="n"/>
      <c r="D399" s="26" t="n"/>
      <c r="E399" s="26" t="n"/>
      <c r="F399" s="26" t="n"/>
      <c r="G399" s="27">
        <f>IF(F399="","",IFERROR(INDEX(Catalogue!$C$7:$C$19,MATCH(F399,Catalogue!$B$7:$B$19,0)),"#N/A"))</f>
        <v/>
      </c>
      <c r="H399" s="28" t="n"/>
      <c r="I399" s="29">
        <f>IF(OR(F399="",H399=""),"",IFERROR(H399*INDEX(Catalogue!$G$7:$G$19,MATCH(F399,Catalogue!$B$7:$B$19,0)),"#N/A"))</f>
        <v/>
      </c>
      <c r="J399" s="30">
        <f>IF(ISNUMBER(I399),I399-K399,"")</f>
        <v/>
      </c>
      <c r="K399" s="31">
        <f>IF(OR(F399="",H399=""),"",IFERROR(H399*INDEX(Catalogue!$F$7:$F$19,MATCH(F399,Catalogue!$B$7:$B$19,0)),"#N/A"))</f>
        <v/>
      </c>
      <c r="L399" s="31">
        <f>IF(ISNUMBER(J399),J399*IFERROR(INDEX(Paramètres!$C$7:$C$12,MATCH(INDEX(Effectif!$D$7:$D$21,MATCH(D399,Effectif!$C$7:$C$21,0)),Paramètres!$B$7:$B$12,0)),0),"")</f>
        <v/>
      </c>
      <c r="M399" s="1" t="n"/>
    </row>
    <row r="400">
      <c r="A400" s="1" t="n"/>
      <c r="B400" s="24" t="n">
        <v>394</v>
      </c>
      <c r="C400" s="25" t="n"/>
      <c r="D400" s="26" t="n"/>
      <c r="E400" s="26" t="n"/>
      <c r="F400" s="26" t="n"/>
      <c r="G400" s="27">
        <f>IF(F400="","",IFERROR(INDEX(Catalogue!$C$7:$C$19,MATCH(F400,Catalogue!$B$7:$B$19,0)),"#N/A"))</f>
        <v/>
      </c>
      <c r="H400" s="28" t="n"/>
      <c r="I400" s="29">
        <f>IF(OR(F400="",H400=""),"",IFERROR(H400*INDEX(Catalogue!$G$7:$G$19,MATCH(F400,Catalogue!$B$7:$B$19,0)),"#N/A"))</f>
        <v/>
      </c>
      <c r="J400" s="30">
        <f>IF(ISNUMBER(I400),I400-K400,"")</f>
        <v/>
      </c>
      <c r="K400" s="31">
        <f>IF(OR(F400="",H400=""),"",IFERROR(H400*INDEX(Catalogue!$F$7:$F$19,MATCH(F400,Catalogue!$B$7:$B$19,0)),"#N/A"))</f>
        <v/>
      </c>
      <c r="L400" s="31">
        <f>IF(ISNUMBER(J400),J400*IFERROR(INDEX(Paramètres!$C$7:$C$12,MATCH(INDEX(Effectif!$D$7:$D$21,MATCH(D400,Effectif!$C$7:$C$21,0)),Paramètres!$B$7:$B$12,0)),0),"")</f>
        <v/>
      </c>
      <c r="M400" s="1" t="n"/>
    </row>
    <row r="401">
      <c r="A401" s="1" t="n"/>
      <c r="B401" s="24" t="n">
        <v>395</v>
      </c>
      <c r="C401" s="25" t="n"/>
      <c r="D401" s="26" t="n"/>
      <c r="E401" s="26" t="n"/>
      <c r="F401" s="26" t="n"/>
      <c r="G401" s="27">
        <f>IF(F401="","",IFERROR(INDEX(Catalogue!$C$7:$C$19,MATCH(F401,Catalogue!$B$7:$B$19,0)),"#N/A"))</f>
        <v/>
      </c>
      <c r="H401" s="28" t="n"/>
      <c r="I401" s="29">
        <f>IF(OR(F401="",H401=""),"",IFERROR(H401*INDEX(Catalogue!$G$7:$G$19,MATCH(F401,Catalogue!$B$7:$B$19,0)),"#N/A"))</f>
        <v/>
      </c>
      <c r="J401" s="30">
        <f>IF(ISNUMBER(I401),I401-K401,"")</f>
        <v/>
      </c>
      <c r="K401" s="31">
        <f>IF(OR(F401="",H401=""),"",IFERROR(H401*INDEX(Catalogue!$F$7:$F$19,MATCH(F401,Catalogue!$B$7:$B$19,0)),"#N/A"))</f>
        <v/>
      </c>
      <c r="L401" s="31">
        <f>IF(ISNUMBER(J401),J401*IFERROR(INDEX(Paramètres!$C$7:$C$12,MATCH(INDEX(Effectif!$D$7:$D$21,MATCH(D401,Effectif!$C$7:$C$21,0)),Paramètres!$B$7:$B$12,0)),0),"")</f>
        <v/>
      </c>
      <c r="M401" s="1" t="n"/>
    </row>
    <row r="402">
      <c r="A402" s="1" t="n"/>
      <c r="B402" s="24" t="n">
        <v>396</v>
      </c>
      <c r="C402" s="25" t="n"/>
      <c r="D402" s="26" t="n"/>
      <c r="E402" s="26" t="n"/>
      <c r="F402" s="26" t="n"/>
      <c r="G402" s="27">
        <f>IF(F402="","",IFERROR(INDEX(Catalogue!$C$7:$C$19,MATCH(F402,Catalogue!$B$7:$B$19,0)),"#N/A"))</f>
        <v/>
      </c>
      <c r="H402" s="28" t="n"/>
      <c r="I402" s="29">
        <f>IF(OR(F402="",H402=""),"",IFERROR(H402*INDEX(Catalogue!$G$7:$G$19,MATCH(F402,Catalogue!$B$7:$B$19,0)),"#N/A"))</f>
        <v/>
      </c>
      <c r="J402" s="30">
        <f>IF(ISNUMBER(I402),I402-K402,"")</f>
        <v/>
      </c>
      <c r="K402" s="31">
        <f>IF(OR(F402="",H402=""),"",IFERROR(H402*INDEX(Catalogue!$F$7:$F$19,MATCH(F402,Catalogue!$B$7:$B$19,0)),"#N/A"))</f>
        <v/>
      </c>
      <c r="L402" s="31">
        <f>IF(ISNUMBER(J402),J402*IFERROR(INDEX(Paramètres!$C$7:$C$12,MATCH(INDEX(Effectif!$D$7:$D$21,MATCH(D402,Effectif!$C$7:$C$21,0)),Paramètres!$B$7:$B$12,0)),0),"")</f>
        <v/>
      </c>
      <c r="M402" s="1" t="n"/>
    </row>
    <row r="403">
      <c r="A403" s="1" t="n"/>
      <c r="B403" s="24" t="n">
        <v>397</v>
      </c>
      <c r="C403" s="25" t="n"/>
      <c r="D403" s="26" t="n"/>
      <c r="E403" s="26" t="n"/>
      <c r="F403" s="26" t="n"/>
      <c r="G403" s="27">
        <f>IF(F403="","",IFERROR(INDEX(Catalogue!$C$7:$C$19,MATCH(F403,Catalogue!$B$7:$B$19,0)),"#N/A"))</f>
        <v/>
      </c>
      <c r="H403" s="28" t="n"/>
      <c r="I403" s="29">
        <f>IF(OR(F403="",H403=""),"",IFERROR(H403*INDEX(Catalogue!$G$7:$G$19,MATCH(F403,Catalogue!$B$7:$B$19,0)),"#N/A"))</f>
        <v/>
      </c>
      <c r="J403" s="30">
        <f>IF(ISNUMBER(I403),I403-K403,"")</f>
        <v/>
      </c>
      <c r="K403" s="31">
        <f>IF(OR(F403="",H403=""),"",IFERROR(H403*INDEX(Catalogue!$F$7:$F$19,MATCH(F403,Catalogue!$B$7:$B$19,0)),"#N/A"))</f>
        <v/>
      </c>
      <c r="L403" s="31">
        <f>IF(ISNUMBER(J403),J403*IFERROR(INDEX(Paramètres!$C$7:$C$12,MATCH(INDEX(Effectif!$D$7:$D$21,MATCH(D403,Effectif!$C$7:$C$21,0)),Paramètres!$B$7:$B$12,0)),0),"")</f>
        <v/>
      </c>
      <c r="M403" s="1" t="n"/>
    </row>
    <row r="404">
      <c r="A404" s="1" t="n"/>
      <c r="B404" s="24" t="n">
        <v>398</v>
      </c>
      <c r="C404" s="25" t="n"/>
      <c r="D404" s="26" t="n"/>
      <c r="E404" s="26" t="n"/>
      <c r="F404" s="26" t="n"/>
      <c r="G404" s="27">
        <f>IF(F404="","",IFERROR(INDEX(Catalogue!$C$7:$C$19,MATCH(F404,Catalogue!$B$7:$B$19,0)),"#N/A"))</f>
        <v/>
      </c>
      <c r="H404" s="28" t="n"/>
      <c r="I404" s="29">
        <f>IF(OR(F404="",H404=""),"",IFERROR(H404*INDEX(Catalogue!$G$7:$G$19,MATCH(F404,Catalogue!$B$7:$B$19,0)),"#N/A"))</f>
        <v/>
      </c>
      <c r="J404" s="30">
        <f>IF(ISNUMBER(I404),I404-K404,"")</f>
        <v/>
      </c>
      <c r="K404" s="31">
        <f>IF(OR(F404="",H404=""),"",IFERROR(H404*INDEX(Catalogue!$F$7:$F$19,MATCH(F404,Catalogue!$B$7:$B$19,0)),"#N/A"))</f>
        <v/>
      </c>
      <c r="L404" s="31">
        <f>IF(ISNUMBER(J404),J404*IFERROR(INDEX(Paramètres!$C$7:$C$12,MATCH(INDEX(Effectif!$D$7:$D$21,MATCH(D404,Effectif!$C$7:$C$21,0)),Paramètres!$B$7:$B$12,0)),0),"")</f>
        <v/>
      </c>
      <c r="M404" s="1" t="n"/>
    </row>
    <row r="405">
      <c r="A405" s="1" t="n"/>
      <c r="B405" s="24" t="n">
        <v>399</v>
      </c>
      <c r="C405" s="25" t="n"/>
      <c r="D405" s="26" t="n"/>
      <c r="E405" s="26" t="n"/>
      <c r="F405" s="26" t="n"/>
      <c r="G405" s="27">
        <f>IF(F405="","",IFERROR(INDEX(Catalogue!$C$7:$C$19,MATCH(F405,Catalogue!$B$7:$B$19,0)),"#N/A"))</f>
        <v/>
      </c>
      <c r="H405" s="28" t="n"/>
      <c r="I405" s="29">
        <f>IF(OR(F405="",H405=""),"",IFERROR(H405*INDEX(Catalogue!$G$7:$G$19,MATCH(F405,Catalogue!$B$7:$B$19,0)),"#N/A"))</f>
        <v/>
      </c>
      <c r="J405" s="30">
        <f>IF(ISNUMBER(I405),I405-K405,"")</f>
        <v/>
      </c>
      <c r="K405" s="31">
        <f>IF(OR(F405="",H405=""),"",IFERROR(H405*INDEX(Catalogue!$F$7:$F$19,MATCH(F405,Catalogue!$B$7:$B$19,0)),"#N/A"))</f>
        <v/>
      </c>
      <c r="L405" s="31">
        <f>IF(ISNUMBER(J405),J405*IFERROR(INDEX(Paramètres!$C$7:$C$12,MATCH(INDEX(Effectif!$D$7:$D$21,MATCH(D405,Effectif!$C$7:$C$21,0)),Paramètres!$B$7:$B$12,0)),0),"")</f>
        <v/>
      </c>
      <c r="M405" s="1" t="n"/>
    </row>
    <row r="406">
      <c r="A406" s="1" t="n"/>
      <c r="B406" s="24" t="n">
        <v>400</v>
      </c>
      <c r="C406" s="25" t="n"/>
      <c r="D406" s="26" t="n"/>
      <c r="E406" s="26" t="n"/>
      <c r="F406" s="26" t="n"/>
      <c r="G406" s="27">
        <f>IF(F406="","",IFERROR(INDEX(Catalogue!$C$7:$C$19,MATCH(F406,Catalogue!$B$7:$B$19,0)),"#N/A"))</f>
        <v/>
      </c>
      <c r="H406" s="28" t="n"/>
      <c r="I406" s="29">
        <f>IF(OR(F406="",H406=""),"",IFERROR(H406*INDEX(Catalogue!$G$7:$G$19,MATCH(F406,Catalogue!$B$7:$B$19,0)),"#N/A"))</f>
        <v/>
      </c>
      <c r="J406" s="30">
        <f>IF(ISNUMBER(I406),I406-K406,"")</f>
        <v/>
      </c>
      <c r="K406" s="31">
        <f>IF(OR(F406="",H406=""),"",IFERROR(H406*INDEX(Catalogue!$F$7:$F$19,MATCH(F406,Catalogue!$B$7:$B$19,0)),"#N/A"))</f>
        <v/>
      </c>
      <c r="L406" s="31">
        <f>IF(ISNUMBER(J406),J406*IFERROR(INDEX(Paramètres!$C$7:$C$12,MATCH(INDEX(Effectif!$D$7:$D$21,MATCH(D406,Effectif!$C$7:$C$21,0)),Paramètres!$B$7:$B$12,0)),0),"")</f>
        <v/>
      </c>
      <c r="M406" s="1" t="n"/>
    </row>
    <row r="407">
      <c r="A407" s="1" t="n"/>
      <c r="B407" s="24" t="n">
        <v>401</v>
      </c>
      <c r="C407" s="25" t="n"/>
      <c r="D407" s="26" t="n"/>
      <c r="E407" s="26" t="n"/>
      <c r="F407" s="26" t="n"/>
      <c r="G407" s="27">
        <f>IF(F407="","",IFERROR(INDEX(Catalogue!$C$7:$C$19,MATCH(F407,Catalogue!$B$7:$B$19,0)),"#N/A"))</f>
        <v/>
      </c>
      <c r="H407" s="28" t="n"/>
      <c r="I407" s="29">
        <f>IF(OR(F407="",H407=""),"",IFERROR(H407*INDEX(Catalogue!$G$7:$G$19,MATCH(F407,Catalogue!$B$7:$B$19,0)),"#N/A"))</f>
        <v/>
      </c>
      <c r="J407" s="30">
        <f>IF(ISNUMBER(I407),I407-K407,"")</f>
        <v/>
      </c>
      <c r="K407" s="31">
        <f>IF(OR(F407="",H407=""),"",IFERROR(H407*INDEX(Catalogue!$F$7:$F$19,MATCH(F407,Catalogue!$B$7:$B$19,0)),"#N/A"))</f>
        <v/>
      </c>
      <c r="L407" s="31">
        <f>IF(ISNUMBER(J407),J407*IFERROR(INDEX(Paramètres!$C$7:$C$12,MATCH(INDEX(Effectif!$D$7:$D$21,MATCH(D407,Effectif!$C$7:$C$21,0)),Paramètres!$B$7:$B$12,0)),0),"")</f>
        <v/>
      </c>
      <c r="M407" s="1" t="n"/>
    </row>
    <row r="408">
      <c r="A408" s="1" t="n"/>
      <c r="B408" s="24" t="n">
        <v>402</v>
      </c>
      <c r="C408" s="25" t="n"/>
      <c r="D408" s="26" t="n"/>
      <c r="E408" s="26" t="n"/>
      <c r="F408" s="26" t="n"/>
      <c r="G408" s="27">
        <f>IF(F408="","",IFERROR(INDEX(Catalogue!$C$7:$C$19,MATCH(F408,Catalogue!$B$7:$B$19,0)),"#N/A"))</f>
        <v/>
      </c>
      <c r="H408" s="28" t="n"/>
      <c r="I408" s="29">
        <f>IF(OR(F408="",H408=""),"",IFERROR(H408*INDEX(Catalogue!$G$7:$G$19,MATCH(F408,Catalogue!$B$7:$B$19,0)),"#N/A"))</f>
        <v/>
      </c>
      <c r="J408" s="30">
        <f>IF(ISNUMBER(I408),I408-K408,"")</f>
        <v/>
      </c>
      <c r="K408" s="31">
        <f>IF(OR(F408="",H408=""),"",IFERROR(H408*INDEX(Catalogue!$F$7:$F$19,MATCH(F408,Catalogue!$B$7:$B$19,0)),"#N/A"))</f>
        <v/>
      </c>
      <c r="L408" s="31">
        <f>IF(ISNUMBER(J408),J408*IFERROR(INDEX(Paramètres!$C$7:$C$12,MATCH(INDEX(Effectif!$D$7:$D$21,MATCH(D408,Effectif!$C$7:$C$21,0)),Paramètres!$B$7:$B$12,0)),0),"")</f>
        <v/>
      </c>
      <c r="M408" s="1" t="n"/>
    </row>
    <row r="409">
      <c r="A409" s="1" t="n"/>
      <c r="B409" s="24" t="n">
        <v>403</v>
      </c>
      <c r="C409" s="25" t="n"/>
      <c r="D409" s="26" t="n"/>
      <c r="E409" s="26" t="n"/>
      <c r="F409" s="26" t="n"/>
      <c r="G409" s="27">
        <f>IF(F409="","",IFERROR(INDEX(Catalogue!$C$7:$C$19,MATCH(F409,Catalogue!$B$7:$B$19,0)),"#N/A"))</f>
        <v/>
      </c>
      <c r="H409" s="28" t="n"/>
      <c r="I409" s="29">
        <f>IF(OR(F409="",H409=""),"",IFERROR(H409*INDEX(Catalogue!$G$7:$G$19,MATCH(F409,Catalogue!$B$7:$B$19,0)),"#N/A"))</f>
        <v/>
      </c>
      <c r="J409" s="30">
        <f>IF(ISNUMBER(I409),I409-K409,"")</f>
        <v/>
      </c>
      <c r="K409" s="31">
        <f>IF(OR(F409="",H409=""),"",IFERROR(H409*INDEX(Catalogue!$F$7:$F$19,MATCH(F409,Catalogue!$B$7:$B$19,0)),"#N/A"))</f>
        <v/>
      </c>
      <c r="L409" s="31">
        <f>IF(ISNUMBER(J409),J409*IFERROR(INDEX(Paramètres!$C$7:$C$12,MATCH(INDEX(Effectif!$D$7:$D$21,MATCH(D409,Effectif!$C$7:$C$21,0)),Paramètres!$B$7:$B$12,0)),0),"")</f>
        <v/>
      </c>
      <c r="M409" s="1" t="n"/>
    </row>
    <row r="410">
      <c r="A410" s="1" t="n"/>
      <c r="B410" s="24" t="n">
        <v>404</v>
      </c>
      <c r="C410" s="25" t="n"/>
      <c r="D410" s="26" t="n"/>
      <c r="E410" s="26" t="n"/>
      <c r="F410" s="26" t="n"/>
      <c r="G410" s="27">
        <f>IF(F410="","",IFERROR(INDEX(Catalogue!$C$7:$C$19,MATCH(F410,Catalogue!$B$7:$B$19,0)),"#N/A"))</f>
        <v/>
      </c>
      <c r="H410" s="28" t="n"/>
      <c r="I410" s="29">
        <f>IF(OR(F410="",H410=""),"",IFERROR(H410*INDEX(Catalogue!$G$7:$G$19,MATCH(F410,Catalogue!$B$7:$B$19,0)),"#N/A"))</f>
        <v/>
      </c>
      <c r="J410" s="30">
        <f>IF(ISNUMBER(I410),I410-K410,"")</f>
        <v/>
      </c>
      <c r="K410" s="31">
        <f>IF(OR(F410="",H410=""),"",IFERROR(H410*INDEX(Catalogue!$F$7:$F$19,MATCH(F410,Catalogue!$B$7:$B$19,0)),"#N/A"))</f>
        <v/>
      </c>
      <c r="L410" s="31">
        <f>IF(ISNUMBER(J410),J410*IFERROR(INDEX(Paramètres!$C$7:$C$12,MATCH(INDEX(Effectif!$D$7:$D$21,MATCH(D410,Effectif!$C$7:$C$21,0)),Paramètres!$B$7:$B$12,0)),0),"")</f>
        <v/>
      </c>
      <c r="M410" s="1" t="n"/>
    </row>
    <row r="411">
      <c r="A411" s="1" t="n"/>
      <c r="B411" s="24" t="n">
        <v>405</v>
      </c>
      <c r="C411" s="25" t="n"/>
      <c r="D411" s="26" t="n"/>
      <c r="E411" s="26" t="n"/>
      <c r="F411" s="26" t="n"/>
      <c r="G411" s="27">
        <f>IF(F411="","",IFERROR(INDEX(Catalogue!$C$7:$C$19,MATCH(F411,Catalogue!$B$7:$B$19,0)),"#N/A"))</f>
        <v/>
      </c>
      <c r="H411" s="28" t="n"/>
      <c r="I411" s="29">
        <f>IF(OR(F411="",H411=""),"",IFERROR(H411*INDEX(Catalogue!$G$7:$G$19,MATCH(F411,Catalogue!$B$7:$B$19,0)),"#N/A"))</f>
        <v/>
      </c>
      <c r="J411" s="30">
        <f>IF(ISNUMBER(I411),I411-K411,"")</f>
        <v/>
      </c>
      <c r="K411" s="31">
        <f>IF(OR(F411="",H411=""),"",IFERROR(H411*INDEX(Catalogue!$F$7:$F$19,MATCH(F411,Catalogue!$B$7:$B$19,0)),"#N/A"))</f>
        <v/>
      </c>
      <c r="L411" s="31">
        <f>IF(ISNUMBER(J411),J411*IFERROR(INDEX(Paramètres!$C$7:$C$12,MATCH(INDEX(Effectif!$D$7:$D$21,MATCH(D411,Effectif!$C$7:$C$21,0)),Paramètres!$B$7:$B$12,0)),0),"")</f>
        <v/>
      </c>
      <c r="M411" s="1" t="n"/>
    </row>
    <row r="412">
      <c r="A412" s="1" t="n"/>
      <c r="B412" s="24" t="n">
        <v>406</v>
      </c>
      <c r="C412" s="25" t="n"/>
      <c r="D412" s="26" t="n"/>
      <c r="E412" s="26" t="n"/>
      <c r="F412" s="26" t="n"/>
      <c r="G412" s="27">
        <f>IF(F412="","",IFERROR(INDEX(Catalogue!$C$7:$C$19,MATCH(F412,Catalogue!$B$7:$B$19,0)),"#N/A"))</f>
        <v/>
      </c>
      <c r="H412" s="28" t="n"/>
      <c r="I412" s="29">
        <f>IF(OR(F412="",H412=""),"",IFERROR(H412*INDEX(Catalogue!$G$7:$G$19,MATCH(F412,Catalogue!$B$7:$B$19,0)),"#N/A"))</f>
        <v/>
      </c>
      <c r="J412" s="30">
        <f>IF(ISNUMBER(I412),I412-K412,"")</f>
        <v/>
      </c>
      <c r="K412" s="31">
        <f>IF(OR(F412="",H412=""),"",IFERROR(H412*INDEX(Catalogue!$F$7:$F$19,MATCH(F412,Catalogue!$B$7:$B$19,0)),"#N/A"))</f>
        <v/>
      </c>
      <c r="L412" s="31">
        <f>IF(ISNUMBER(J412),J412*IFERROR(INDEX(Paramètres!$C$7:$C$12,MATCH(INDEX(Effectif!$D$7:$D$21,MATCH(D412,Effectif!$C$7:$C$21,0)),Paramètres!$B$7:$B$12,0)),0),"")</f>
        <v/>
      </c>
      <c r="M412" s="1" t="n"/>
    </row>
    <row r="413">
      <c r="A413" s="1" t="n"/>
      <c r="B413" s="24" t="n">
        <v>407</v>
      </c>
      <c r="C413" s="25" t="n"/>
      <c r="D413" s="26" t="n"/>
      <c r="E413" s="26" t="n"/>
      <c r="F413" s="26" t="n"/>
      <c r="G413" s="27">
        <f>IF(F413="","",IFERROR(INDEX(Catalogue!$C$7:$C$19,MATCH(F413,Catalogue!$B$7:$B$19,0)),"#N/A"))</f>
        <v/>
      </c>
      <c r="H413" s="28" t="n"/>
      <c r="I413" s="29">
        <f>IF(OR(F413="",H413=""),"",IFERROR(H413*INDEX(Catalogue!$G$7:$G$19,MATCH(F413,Catalogue!$B$7:$B$19,0)),"#N/A"))</f>
        <v/>
      </c>
      <c r="J413" s="30">
        <f>IF(ISNUMBER(I413),I413-K413,"")</f>
        <v/>
      </c>
      <c r="K413" s="31">
        <f>IF(OR(F413="",H413=""),"",IFERROR(H413*INDEX(Catalogue!$F$7:$F$19,MATCH(F413,Catalogue!$B$7:$B$19,0)),"#N/A"))</f>
        <v/>
      </c>
      <c r="L413" s="31">
        <f>IF(ISNUMBER(J413),J413*IFERROR(INDEX(Paramètres!$C$7:$C$12,MATCH(INDEX(Effectif!$D$7:$D$21,MATCH(D413,Effectif!$C$7:$C$21,0)),Paramètres!$B$7:$B$12,0)),0),"")</f>
        <v/>
      </c>
      <c r="M413" s="1" t="n"/>
    </row>
    <row r="414">
      <c r="A414" s="1" t="n"/>
      <c r="B414" s="24" t="n">
        <v>408</v>
      </c>
      <c r="C414" s="25" t="n"/>
      <c r="D414" s="26" t="n"/>
      <c r="E414" s="26" t="n"/>
      <c r="F414" s="26" t="n"/>
      <c r="G414" s="27">
        <f>IF(F414="","",IFERROR(INDEX(Catalogue!$C$7:$C$19,MATCH(F414,Catalogue!$B$7:$B$19,0)),"#N/A"))</f>
        <v/>
      </c>
      <c r="H414" s="28" t="n"/>
      <c r="I414" s="29">
        <f>IF(OR(F414="",H414=""),"",IFERROR(H414*INDEX(Catalogue!$G$7:$G$19,MATCH(F414,Catalogue!$B$7:$B$19,0)),"#N/A"))</f>
        <v/>
      </c>
      <c r="J414" s="30">
        <f>IF(ISNUMBER(I414),I414-K414,"")</f>
        <v/>
      </c>
      <c r="K414" s="31">
        <f>IF(OR(F414="",H414=""),"",IFERROR(H414*INDEX(Catalogue!$F$7:$F$19,MATCH(F414,Catalogue!$B$7:$B$19,0)),"#N/A"))</f>
        <v/>
      </c>
      <c r="L414" s="31">
        <f>IF(ISNUMBER(J414),J414*IFERROR(INDEX(Paramètres!$C$7:$C$12,MATCH(INDEX(Effectif!$D$7:$D$21,MATCH(D414,Effectif!$C$7:$C$21,0)),Paramètres!$B$7:$B$12,0)),0),"")</f>
        <v/>
      </c>
      <c r="M414" s="1" t="n"/>
    </row>
    <row r="415">
      <c r="A415" s="1" t="n"/>
      <c r="B415" s="24" t="n">
        <v>409</v>
      </c>
      <c r="C415" s="25" t="n"/>
      <c r="D415" s="26" t="n"/>
      <c r="E415" s="26" t="n"/>
      <c r="F415" s="26" t="n"/>
      <c r="G415" s="27">
        <f>IF(F415="","",IFERROR(INDEX(Catalogue!$C$7:$C$19,MATCH(F415,Catalogue!$B$7:$B$19,0)),"#N/A"))</f>
        <v/>
      </c>
      <c r="H415" s="28" t="n"/>
      <c r="I415" s="29">
        <f>IF(OR(F415="",H415=""),"",IFERROR(H415*INDEX(Catalogue!$G$7:$G$19,MATCH(F415,Catalogue!$B$7:$B$19,0)),"#N/A"))</f>
        <v/>
      </c>
      <c r="J415" s="30">
        <f>IF(ISNUMBER(I415),I415-K415,"")</f>
        <v/>
      </c>
      <c r="K415" s="31">
        <f>IF(OR(F415="",H415=""),"",IFERROR(H415*INDEX(Catalogue!$F$7:$F$19,MATCH(F415,Catalogue!$B$7:$B$19,0)),"#N/A"))</f>
        <v/>
      </c>
      <c r="L415" s="31">
        <f>IF(ISNUMBER(J415),J415*IFERROR(INDEX(Paramètres!$C$7:$C$12,MATCH(INDEX(Effectif!$D$7:$D$21,MATCH(D415,Effectif!$C$7:$C$21,0)),Paramètres!$B$7:$B$12,0)),0),"")</f>
        <v/>
      </c>
      <c r="M415" s="1" t="n"/>
    </row>
    <row r="416">
      <c r="A416" s="1" t="n"/>
      <c r="B416" s="24" t="n">
        <v>410</v>
      </c>
      <c r="C416" s="25" t="n"/>
      <c r="D416" s="26" t="n"/>
      <c r="E416" s="26" t="n"/>
      <c r="F416" s="26" t="n"/>
      <c r="G416" s="27">
        <f>IF(F416="","",IFERROR(INDEX(Catalogue!$C$7:$C$19,MATCH(F416,Catalogue!$B$7:$B$19,0)),"#N/A"))</f>
        <v/>
      </c>
      <c r="H416" s="28" t="n"/>
      <c r="I416" s="29">
        <f>IF(OR(F416="",H416=""),"",IFERROR(H416*INDEX(Catalogue!$G$7:$G$19,MATCH(F416,Catalogue!$B$7:$B$19,0)),"#N/A"))</f>
        <v/>
      </c>
      <c r="J416" s="30">
        <f>IF(ISNUMBER(I416),I416-K416,"")</f>
        <v/>
      </c>
      <c r="K416" s="31">
        <f>IF(OR(F416="",H416=""),"",IFERROR(H416*INDEX(Catalogue!$F$7:$F$19,MATCH(F416,Catalogue!$B$7:$B$19,0)),"#N/A"))</f>
        <v/>
      </c>
      <c r="L416" s="31">
        <f>IF(ISNUMBER(J416),J416*IFERROR(INDEX(Paramètres!$C$7:$C$12,MATCH(INDEX(Effectif!$D$7:$D$21,MATCH(D416,Effectif!$C$7:$C$21,0)),Paramètres!$B$7:$B$12,0)),0),"")</f>
        <v/>
      </c>
      <c r="M416" s="1" t="n"/>
    </row>
    <row r="417">
      <c r="A417" s="1" t="n"/>
      <c r="B417" s="24" t="n">
        <v>411</v>
      </c>
      <c r="C417" s="25" t="n"/>
      <c r="D417" s="26" t="n"/>
      <c r="E417" s="26" t="n"/>
      <c r="F417" s="26" t="n"/>
      <c r="G417" s="27">
        <f>IF(F417="","",IFERROR(INDEX(Catalogue!$C$7:$C$19,MATCH(F417,Catalogue!$B$7:$B$19,0)),"#N/A"))</f>
        <v/>
      </c>
      <c r="H417" s="28" t="n"/>
      <c r="I417" s="29">
        <f>IF(OR(F417="",H417=""),"",IFERROR(H417*INDEX(Catalogue!$G$7:$G$19,MATCH(F417,Catalogue!$B$7:$B$19,0)),"#N/A"))</f>
        <v/>
      </c>
      <c r="J417" s="30">
        <f>IF(ISNUMBER(I417),I417-K417,"")</f>
        <v/>
      </c>
      <c r="K417" s="31">
        <f>IF(OR(F417="",H417=""),"",IFERROR(H417*INDEX(Catalogue!$F$7:$F$19,MATCH(F417,Catalogue!$B$7:$B$19,0)),"#N/A"))</f>
        <v/>
      </c>
      <c r="L417" s="31">
        <f>IF(ISNUMBER(J417),J417*IFERROR(INDEX(Paramètres!$C$7:$C$12,MATCH(INDEX(Effectif!$D$7:$D$21,MATCH(D417,Effectif!$C$7:$C$21,0)),Paramètres!$B$7:$B$12,0)),0),"")</f>
        <v/>
      </c>
      <c r="M417" s="1" t="n"/>
    </row>
    <row r="418">
      <c r="A418" s="1" t="n"/>
      <c r="B418" s="24" t="n">
        <v>412</v>
      </c>
      <c r="C418" s="25" t="n"/>
      <c r="D418" s="26" t="n"/>
      <c r="E418" s="26" t="n"/>
      <c r="F418" s="26" t="n"/>
      <c r="G418" s="27">
        <f>IF(F418="","",IFERROR(INDEX(Catalogue!$C$7:$C$19,MATCH(F418,Catalogue!$B$7:$B$19,0)),"#N/A"))</f>
        <v/>
      </c>
      <c r="H418" s="28" t="n"/>
      <c r="I418" s="29">
        <f>IF(OR(F418="",H418=""),"",IFERROR(H418*INDEX(Catalogue!$G$7:$G$19,MATCH(F418,Catalogue!$B$7:$B$19,0)),"#N/A"))</f>
        <v/>
      </c>
      <c r="J418" s="30">
        <f>IF(ISNUMBER(I418),I418-K418,"")</f>
        <v/>
      </c>
      <c r="K418" s="31">
        <f>IF(OR(F418="",H418=""),"",IFERROR(H418*INDEX(Catalogue!$F$7:$F$19,MATCH(F418,Catalogue!$B$7:$B$19,0)),"#N/A"))</f>
        <v/>
      </c>
      <c r="L418" s="31">
        <f>IF(ISNUMBER(J418),J418*IFERROR(INDEX(Paramètres!$C$7:$C$12,MATCH(INDEX(Effectif!$D$7:$D$21,MATCH(D418,Effectif!$C$7:$C$21,0)),Paramètres!$B$7:$B$12,0)),0),"")</f>
        <v/>
      </c>
      <c r="M418" s="1" t="n"/>
    </row>
    <row r="419">
      <c r="A419" s="1" t="n"/>
      <c r="B419" s="24" t="n">
        <v>413</v>
      </c>
      <c r="C419" s="25" t="n"/>
      <c r="D419" s="26" t="n"/>
      <c r="E419" s="26" t="n"/>
      <c r="F419" s="26" t="n"/>
      <c r="G419" s="27">
        <f>IF(F419="","",IFERROR(INDEX(Catalogue!$C$7:$C$19,MATCH(F419,Catalogue!$B$7:$B$19,0)),"#N/A"))</f>
        <v/>
      </c>
      <c r="H419" s="28" t="n"/>
      <c r="I419" s="29">
        <f>IF(OR(F419="",H419=""),"",IFERROR(H419*INDEX(Catalogue!$G$7:$G$19,MATCH(F419,Catalogue!$B$7:$B$19,0)),"#N/A"))</f>
        <v/>
      </c>
      <c r="J419" s="30">
        <f>IF(ISNUMBER(I419),I419-K419,"")</f>
        <v/>
      </c>
      <c r="K419" s="31">
        <f>IF(OR(F419="",H419=""),"",IFERROR(H419*INDEX(Catalogue!$F$7:$F$19,MATCH(F419,Catalogue!$B$7:$B$19,0)),"#N/A"))</f>
        <v/>
      </c>
      <c r="L419" s="31">
        <f>IF(ISNUMBER(J419),J419*IFERROR(INDEX(Paramètres!$C$7:$C$12,MATCH(INDEX(Effectif!$D$7:$D$21,MATCH(D419,Effectif!$C$7:$C$21,0)),Paramètres!$B$7:$B$12,0)),0),"")</f>
        <v/>
      </c>
      <c r="M419" s="1" t="n"/>
    </row>
    <row r="420">
      <c r="A420" s="1" t="n"/>
      <c r="B420" s="24" t="n">
        <v>414</v>
      </c>
      <c r="C420" s="25" t="n"/>
      <c r="D420" s="26" t="n"/>
      <c r="E420" s="26" t="n"/>
      <c r="F420" s="26" t="n"/>
      <c r="G420" s="27">
        <f>IF(F420="","",IFERROR(INDEX(Catalogue!$C$7:$C$19,MATCH(F420,Catalogue!$B$7:$B$19,0)),"#N/A"))</f>
        <v/>
      </c>
      <c r="H420" s="28" t="n"/>
      <c r="I420" s="29">
        <f>IF(OR(F420="",H420=""),"",IFERROR(H420*INDEX(Catalogue!$G$7:$G$19,MATCH(F420,Catalogue!$B$7:$B$19,0)),"#N/A"))</f>
        <v/>
      </c>
      <c r="J420" s="30">
        <f>IF(ISNUMBER(I420),I420-K420,"")</f>
        <v/>
      </c>
      <c r="K420" s="31">
        <f>IF(OR(F420="",H420=""),"",IFERROR(H420*INDEX(Catalogue!$F$7:$F$19,MATCH(F420,Catalogue!$B$7:$B$19,0)),"#N/A"))</f>
        <v/>
      </c>
      <c r="L420" s="31">
        <f>IF(ISNUMBER(J420),J420*IFERROR(INDEX(Paramètres!$C$7:$C$12,MATCH(INDEX(Effectif!$D$7:$D$21,MATCH(D420,Effectif!$C$7:$C$21,0)),Paramètres!$B$7:$B$12,0)),0),"")</f>
        <v/>
      </c>
      <c r="M420" s="1" t="n"/>
    </row>
    <row r="421">
      <c r="A421" s="1" t="n"/>
      <c r="B421" s="24" t="n">
        <v>415</v>
      </c>
      <c r="C421" s="25" t="n"/>
      <c r="D421" s="26" t="n"/>
      <c r="E421" s="26" t="n"/>
      <c r="F421" s="26" t="n"/>
      <c r="G421" s="27">
        <f>IF(F421="","",IFERROR(INDEX(Catalogue!$C$7:$C$19,MATCH(F421,Catalogue!$B$7:$B$19,0)),"#N/A"))</f>
        <v/>
      </c>
      <c r="H421" s="28" t="n"/>
      <c r="I421" s="29">
        <f>IF(OR(F421="",H421=""),"",IFERROR(H421*INDEX(Catalogue!$G$7:$G$19,MATCH(F421,Catalogue!$B$7:$B$19,0)),"#N/A"))</f>
        <v/>
      </c>
      <c r="J421" s="30">
        <f>IF(ISNUMBER(I421),I421-K421,"")</f>
        <v/>
      </c>
      <c r="K421" s="31">
        <f>IF(OR(F421="",H421=""),"",IFERROR(H421*INDEX(Catalogue!$F$7:$F$19,MATCH(F421,Catalogue!$B$7:$B$19,0)),"#N/A"))</f>
        <v/>
      </c>
      <c r="L421" s="31">
        <f>IF(ISNUMBER(J421),J421*IFERROR(INDEX(Paramètres!$C$7:$C$12,MATCH(INDEX(Effectif!$D$7:$D$21,MATCH(D421,Effectif!$C$7:$C$21,0)),Paramètres!$B$7:$B$12,0)),0),"")</f>
        <v/>
      </c>
      <c r="M421" s="1" t="n"/>
    </row>
    <row r="422">
      <c r="A422" s="1" t="n"/>
      <c r="B422" s="24" t="n">
        <v>416</v>
      </c>
      <c r="C422" s="25" t="n"/>
      <c r="D422" s="26" t="n"/>
      <c r="E422" s="26" t="n"/>
      <c r="F422" s="26" t="n"/>
      <c r="G422" s="27">
        <f>IF(F422="","",IFERROR(INDEX(Catalogue!$C$7:$C$19,MATCH(F422,Catalogue!$B$7:$B$19,0)),"#N/A"))</f>
        <v/>
      </c>
      <c r="H422" s="28" t="n"/>
      <c r="I422" s="29">
        <f>IF(OR(F422="",H422=""),"",IFERROR(H422*INDEX(Catalogue!$G$7:$G$19,MATCH(F422,Catalogue!$B$7:$B$19,0)),"#N/A"))</f>
        <v/>
      </c>
      <c r="J422" s="30">
        <f>IF(ISNUMBER(I422),I422-K422,"")</f>
        <v/>
      </c>
      <c r="K422" s="31">
        <f>IF(OR(F422="",H422=""),"",IFERROR(H422*INDEX(Catalogue!$F$7:$F$19,MATCH(F422,Catalogue!$B$7:$B$19,0)),"#N/A"))</f>
        <v/>
      </c>
      <c r="L422" s="31">
        <f>IF(ISNUMBER(J422),J422*IFERROR(INDEX(Paramètres!$C$7:$C$12,MATCH(INDEX(Effectif!$D$7:$D$21,MATCH(D422,Effectif!$C$7:$C$21,0)),Paramètres!$B$7:$B$12,0)),0),"")</f>
        <v/>
      </c>
      <c r="M422" s="1" t="n"/>
    </row>
    <row r="423">
      <c r="A423" s="1" t="n"/>
      <c r="B423" s="24" t="n">
        <v>417</v>
      </c>
      <c r="C423" s="25" t="n"/>
      <c r="D423" s="26" t="n"/>
      <c r="E423" s="26" t="n"/>
      <c r="F423" s="26" t="n"/>
      <c r="G423" s="27">
        <f>IF(F423="","",IFERROR(INDEX(Catalogue!$C$7:$C$19,MATCH(F423,Catalogue!$B$7:$B$19,0)),"#N/A"))</f>
        <v/>
      </c>
      <c r="H423" s="28" t="n"/>
      <c r="I423" s="29">
        <f>IF(OR(F423="",H423=""),"",IFERROR(H423*INDEX(Catalogue!$G$7:$G$19,MATCH(F423,Catalogue!$B$7:$B$19,0)),"#N/A"))</f>
        <v/>
      </c>
      <c r="J423" s="30">
        <f>IF(ISNUMBER(I423),I423-K423,"")</f>
        <v/>
      </c>
      <c r="K423" s="31">
        <f>IF(OR(F423="",H423=""),"",IFERROR(H423*INDEX(Catalogue!$F$7:$F$19,MATCH(F423,Catalogue!$B$7:$B$19,0)),"#N/A"))</f>
        <v/>
      </c>
      <c r="L423" s="31">
        <f>IF(ISNUMBER(J423),J423*IFERROR(INDEX(Paramètres!$C$7:$C$12,MATCH(INDEX(Effectif!$D$7:$D$21,MATCH(D423,Effectif!$C$7:$C$21,0)),Paramètres!$B$7:$B$12,0)),0),"")</f>
        <v/>
      </c>
      <c r="M423" s="1" t="n"/>
    </row>
    <row r="424">
      <c r="A424" s="1" t="n"/>
      <c r="B424" s="24" t="n">
        <v>418</v>
      </c>
      <c r="C424" s="25" t="n"/>
      <c r="D424" s="26" t="n"/>
      <c r="E424" s="26" t="n"/>
      <c r="F424" s="26" t="n"/>
      <c r="G424" s="27">
        <f>IF(F424="","",IFERROR(INDEX(Catalogue!$C$7:$C$19,MATCH(F424,Catalogue!$B$7:$B$19,0)),"#N/A"))</f>
        <v/>
      </c>
      <c r="H424" s="28" t="n"/>
      <c r="I424" s="29">
        <f>IF(OR(F424="",H424=""),"",IFERROR(H424*INDEX(Catalogue!$G$7:$G$19,MATCH(F424,Catalogue!$B$7:$B$19,0)),"#N/A"))</f>
        <v/>
      </c>
      <c r="J424" s="30">
        <f>IF(ISNUMBER(I424),I424-K424,"")</f>
        <v/>
      </c>
      <c r="K424" s="31">
        <f>IF(OR(F424="",H424=""),"",IFERROR(H424*INDEX(Catalogue!$F$7:$F$19,MATCH(F424,Catalogue!$B$7:$B$19,0)),"#N/A"))</f>
        <v/>
      </c>
      <c r="L424" s="31">
        <f>IF(ISNUMBER(J424),J424*IFERROR(INDEX(Paramètres!$C$7:$C$12,MATCH(INDEX(Effectif!$D$7:$D$21,MATCH(D424,Effectif!$C$7:$C$21,0)),Paramètres!$B$7:$B$12,0)),0),"")</f>
        <v/>
      </c>
      <c r="M424" s="1" t="n"/>
    </row>
    <row r="425">
      <c r="A425" s="1" t="n"/>
      <c r="B425" s="24" t="n">
        <v>419</v>
      </c>
      <c r="C425" s="25" t="n"/>
      <c r="D425" s="26" t="n"/>
      <c r="E425" s="26" t="n"/>
      <c r="F425" s="26" t="n"/>
      <c r="G425" s="27">
        <f>IF(F425="","",IFERROR(INDEX(Catalogue!$C$7:$C$19,MATCH(F425,Catalogue!$B$7:$B$19,0)),"#N/A"))</f>
        <v/>
      </c>
      <c r="H425" s="28" t="n"/>
      <c r="I425" s="29">
        <f>IF(OR(F425="",H425=""),"",IFERROR(H425*INDEX(Catalogue!$G$7:$G$19,MATCH(F425,Catalogue!$B$7:$B$19,0)),"#N/A"))</f>
        <v/>
      </c>
      <c r="J425" s="30">
        <f>IF(ISNUMBER(I425),I425-K425,"")</f>
        <v/>
      </c>
      <c r="K425" s="31">
        <f>IF(OR(F425="",H425=""),"",IFERROR(H425*INDEX(Catalogue!$F$7:$F$19,MATCH(F425,Catalogue!$B$7:$B$19,0)),"#N/A"))</f>
        <v/>
      </c>
      <c r="L425" s="31">
        <f>IF(ISNUMBER(J425),J425*IFERROR(INDEX(Paramètres!$C$7:$C$12,MATCH(INDEX(Effectif!$D$7:$D$21,MATCH(D425,Effectif!$C$7:$C$21,0)),Paramètres!$B$7:$B$12,0)),0),"")</f>
        <v/>
      </c>
      <c r="M425" s="1" t="n"/>
    </row>
    <row r="426">
      <c r="A426" s="1" t="n"/>
      <c r="B426" s="24" t="n">
        <v>420</v>
      </c>
      <c r="C426" s="25" t="n"/>
      <c r="D426" s="26" t="n"/>
      <c r="E426" s="26" t="n"/>
      <c r="F426" s="26" t="n"/>
      <c r="G426" s="27">
        <f>IF(F426="","",IFERROR(INDEX(Catalogue!$C$7:$C$19,MATCH(F426,Catalogue!$B$7:$B$19,0)),"#N/A"))</f>
        <v/>
      </c>
      <c r="H426" s="28" t="n"/>
      <c r="I426" s="29">
        <f>IF(OR(F426="",H426=""),"",IFERROR(H426*INDEX(Catalogue!$G$7:$G$19,MATCH(F426,Catalogue!$B$7:$B$19,0)),"#N/A"))</f>
        <v/>
      </c>
      <c r="J426" s="30">
        <f>IF(ISNUMBER(I426),I426-K426,"")</f>
        <v/>
      </c>
      <c r="K426" s="31">
        <f>IF(OR(F426="",H426=""),"",IFERROR(H426*INDEX(Catalogue!$F$7:$F$19,MATCH(F426,Catalogue!$B$7:$B$19,0)),"#N/A"))</f>
        <v/>
      </c>
      <c r="L426" s="31">
        <f>IF(ISNUMBER(J426),J426*IFERROR(INDEX(Paramètres!$C$7:$C$12,MATCH(INDEX(Effectif!$D$7:$D$21,MATCH(D426,Effectif!$C$7:$C$21,0)),Paramètres!$B$7:$B$12,0)),0),"")</f>
        <v/>
      </c>
      <c r="M426" s="1" t="n"/>
    </row>
    <row r="427">
      <c r="A427" s="1" t="n"/>
      <c r="B427" s="24" t="n">
        <v>421</v>
      </c>
      <c r="C427" s="25" t="n"/>
      <c r="D427" s="26" t="n"/>
      <c r="E427" s="26" t="n"/>
      <c r="F427" s="26" t="n"/>
      <c r="G427" s="27">
        <f>IF(F427="","",IFERROR(INDEX(Catalogue!$C$7:$C$19,MATCH(F427,Catalogue!$B$7:$B$19,0)),"#N/A"))</f>
        <v/>
      </c>
      <c r="H427" s="28" t="n"/>
      <c r="I427" s="29">
        <f>IF(OR(F427="",H427=""),"",IFERROR(H427*INDEX(Catalogue!$G$7:$G$19,MATCH(F427,Catalogue!$B$7:$B$19,0)),"#N/A"))</f>
        <v/>
      </c>
      <c r="J427" s="30">
        <f>IF(ISNUMBER(I427),I427-K427,"")</f>
        <v/>
      </c>
      <c r="K427" s="31">
        <f>IF(OR(F427="",H427=""),"",IFERROR(H427*INDEX(Catalogue!$F$7:$F$19,MATCH(F427,Catalogue!$B$7:$B$19,0)),"#N/A"))</f>
        <v/>
      </c>
      <c r="L427" s="31">
        <f>IF(ISNUMBER(J427),J427*IFERROR(INDEX(Paramètres!$C$7:$C$12,MATCH(INDEX(Effectif!$D$7:$D$21,MATCH(D427,Effectif!$C$7:$C$21,0)),Paramètres!$B$7:$B$12,0)),0),"")</f>
        <v/>
      </c>
      <c r="M427" s="1" t="n"/>
    </row>
    <row r="428">
      <c r="A428" s="1" t="n"/>
      <c r="B428" s="24" t="n">
        <v>422</v>
      </c>
      <c r="C428" s="25" t="n"/>
      <c r="D428" s="26" t="n"/>
      <c r="E428" s="26" t="n"/>
      <c r="F428" s="26" t="n"/>
      <c r="G428" s="27">
        <f>IF(F428="","",IFERROR(INDEX(Catalogue!$C$7:$C$19,MATCH(F428,Catalogue!$B$7:$B$19,0)),"#N/A"))</f>
        <v/>
      </c>
      <c r="H428" s="28" t="n"/>
      <c r="I428" s="29">
        <f>IF(OR(F428="",H428=""),"",IFERROR(H428*INDEX(Catalogue!$G$7:$G$19,MATCH(F428,Catalogue!$B$7:$B$19,0)),"#N/A"))</f>
        <v/>
      </c>
      <c r="J428" s="30">
        <f>IF(ISNUMBER(I428),I428-K428,"")</f>
        <v/>
      </c>
      <c r="K428" s="31">
        <f>IF(OR(F428="",H428=""),"",IFERROR(H428*INDEX(Catalogue!$F$7:$F$19,MATCH(F428,Catalogue!$B$7:$B$19,0)),"#N/A"))</f>
        <v/>
      </c>
      <c r="L428" s="31">
        <f>IF(ISNUMBER(J428),J428*IFERROR(INDEX(Paramètres!$C$7:$C$12,MATCH(INDEX(Effectif!$D$7:$D$21,MATCH(D428,Effectif!$C$7:$C$21,0)),Paramètres!$B$7:$B$12,0)),0),"")</f>
        <v/>
      </c>
      <c r="M428" s="1" t="n"/>
    </row>
    <row r="429">
      <c r="A429" s="1" t="n"/>
      <c r="B429" s="24" t="n">
        <v>423</v>
      </c>
      <c r="C429" s="25" t="n"/>
      <c r="D429" s="26" t="n"/>
      <c r="E429" s="26" t="n"/>
      <c r="F429" s="26" t="n"/>
      <c r="G429" s="27">
        <f>IF(F429="","",IFERROR(INDEX(Catalogue!$C$7:$C$19,MATCH(F429,Catalogue!$B$7:$B$19,0)),"#N/A"))</f>
        <v/>
      </c>
      <c r="H429" s="28" t="n"/>
      <c r="I429" s="29">
        <f>IF(OR(F429="",H429=""),"",IFERROR(H429*INDEX(Catalogue!$G$7:$G$19,MATCH(F429,Catalogue!$B$7:$B$19,0)),"#N/A"))</f>
        <v/>
      </c>
      <c r="J429" s="30">
        <f>IF(ISNUMBER(I429),I429-K429,"")</f>
        <v/>
      </c>
      <c r="K429" s="31">
        <f>IF(OR(F429="",H429=""),"",IFERROR(H429*INDEX(Catalogue!$F$7:$F$19,MATCH(F429,Catalogue!$B$7:$B$19,0)),"#N/A"))</f>
        <v/>
      </c>
      <c r="L429" s="31">
        <f>IF(ISNUMBER(J429),J429*IFERROR(INDEX(Paramètres!$C$7:$C$12,MATCH(INDEX(Effectif!$D$7:$D$21,MATCH(D429,Effectif!$C$7:$C$21,0)),Paramètres!$B$7:$B$12,0)),0),"")</f>
        <v/>
      </c>
      <c r="M429" s="1" t="n"/>
    </row>
    <row r="430">
      <c r="A430" s="1" t="n"/>
      <c r="B430" s="24" t="n">
        <v>424</v>
      </c>
      <c r="C430" s="25" t="n"/>
      <c r="D430" s="26" t="n"/>
      <c r="E430" s="26" t="n"/>
      <c r="F430" s="26" t="n"/>
      <c r="G430" s="27">
        <f>IF(F430="","",IFERROR(INDEX(Catalogue!$C$7:$C$19,MATCH(F430,Catalogue!$B$7:$B$19,0)),"#N/A"))</f>
        <v/>
      </c>
      <c r="H430" s="28" t="n"/>
      <c r="I430" s="29">
        <f>IF(OR(F430="",H430=""),"",IFERROR(H430*INDEX(Catalogue!$G$7:$G$19,MATCH(F430,Catalogue!$B$7:$B$19,0)),"#N/A"))</f>
        <v/>
      </c>
      <c r="J430" s="30">
        <f>IF(ISNUMBER(I430),I430-K430,"")</f>
        <v/>
      </c>
      <c r="K430" s="31">
        <f>IF(OR(F430="",H430=""),"",IFERROR(H430*INDEX(Catalogue!$F$7:$F$19,MATCH(F430,Catalogue!$B$7:$B$19,0)),"#N/A"))</f>
        <v/>
      </c>
      <c r="L430" s="31">
        <f>IF(ISNUMBER(J430),J430*IFERROR(INDEX(Paramètres!$C$7:$C$12,MATCH(INDEX(Effectif!$D$7:$D$21,MATCH(D430,Effectif!$C$7:$C$21,0)),Paramètres!$B$7:$B$12,0)),0),"")</f>
        <v/>
      </c>
      <c r="M430" s="1" t="n"/>
    </row>
    <row r="431">
      <c r="A431" s="1" t="n"/>
      <c r="B431" s="24" t="n">
        <v>425</v>
      </c>
      <c r="C431" s="25" t="n"/>
      <c r="D431" s="26" t="n"/>
      <c r="E431" s="26" t="n"/>
      <c r="F431" s="26" t="n"/>
      <c r="G431" s="27">
        <f>IF(F431="","",IFERROR(INDEX(Catalogue!$C$7:$C$19,MATCH(F431,Catalogue!$B$7:$B$19,0)),"#N/A"))</f>
        <v/>
      </c>
      <c r="H431" s="28" t="n"/>
      <c r="I431" s="29">
        <f>IF(OR(F431="",H431=""),"",IFERROR(H431*INDEX(Catalogue!$G$7:$G$19,MATCH(F431,Catalogue!$B$7:$B$19,0)),"#N/A"))</f>
        <v/>
      </c>
      <c r="J431" s="30">
        <f>IF(ISNUMBER(I431),I431-K431,"")</f>
        <v/>
      </c>
      <c r="K431" s="31">
        <f>IF(OR(F431="",H431=""),"",IFERROR(H431*INDEX(Catalogue!$F$7:$F$19,MATCH(F431,Catalogue!$B$7:$B$19,0)),"#N/A"))</f>
        <v/>
      </c>
      <c r="L431" s="31">
        <f>IF(ISNUMBER(J431),J431*IFERROR(INDEX(Paramètres!$C$7:$C$12,MATCH(INDEX(Effectif!$D$7:$D$21,MATCH(D431,Effectif!$C$7:$C$21,0)),Paramètres!$B$7:$B$12,0)),0),"")</f>
        <v/>
      </c>
      <c r="M431" s="1" t="n"/>
    </row>
    <row r="432">
      <c r="A432" s="1" t="n"/>
      <c r="B432" s="24" t="n">
        <v>426</v>
      </c>
      <c r="C432" s="25" t="n"/>
      <c r="D432" s="26" t="n"/>
      <c r="E432" s="26" t="n"/>
      <c r="F432" s="26" t="n"/>
      <c r="G432" s="27">
        <f>IF(F432="","",IFERROR(INDEX(Catalogue!$C$7:$C$19,MATCH(F432,Catalogue!$B$7:$B$19,0)),"#N/A"))</f>
        <v/>
      </c>
      <c r="H432" s="28" t="n"/>
      <c r="I432" s="29">
        <f>IF(OR(F432="",H432=""),"",IFERROR(H432*INDEX(Catalogue!$G$7:$G$19,MATCH(F432,Catalogue!$B$7:$B$19,0)),"#N/A"))</f>
        <v/>
      </c>
      <c r="J432" s="30">
        <f>IF(ISNUMBER(I432),I432-K432,"")</f>
        <v/>
      </c>
      <c r="K432" s="31">
        <f>IF(OR(F432="",H432=""),"",IFERROR(H432*INDEX(Catalogue!$F$7:$F$19,MATCH(F432,Catalogue!$B$7:$B$19,0)),"#N/A"))</f>
        <v/>
      </c>
      <c r="L432" s="31">
        <f>IF(ISNUMBER(J432),J432*IFERROR(INDEX(Paramètres!$C$7:$C$12,MATCH(INDEX(Effectif!$D$7:$D$21,MATCH(D432,Effectif!$C$7:$C$21,0)),Paramètres!$B$7:$B$12,0)),0),"")</f>
        <v/>
      </c>
      <c r="M432" s="1" t="n"/>
    </row>
    <row r="433">
      <c r="A433" s="1" t="n"/>
      <c r="B433" s="24" t="n">
        <v>427</v>
      </c>
      <c r="C433" s="25" t="n"/>
      <c r="D433" s="26" t="n"/>
      <c r="E433" s="26" t="n"/>
      <c r="F433" s="26" t="n"/>
      <c r="G433" s="27">
        <f>IF(F433="","",IFERROR(INDEX(Catalogue!$C$7:$C$19,MATCH(F433,Catalogue!$B$7:$B$19,0)),"#N/A"))</f>
        <v/>
      </c>
      <c r="H433" s="28" t="n"/>
      <c r="I433" s="29">
        <f>IF(OR(F433="",H433=""),"",IFERROR(H433*INDEX(Catalogue!$G$7:$G$19,MATCH(F433,Catalogue!$B$7:$B$19,0)),"#N/A"))</f>
        <v/>
      </c>
      <c r="J433" s="30">
        <f>IF(ISNUMBER(I433),I433-K433,"")</f>
        <v/>
      </c>
      <c r="K433" s="31">
        <f>IF(OR(F433="",H433=""),"",IFERROR(H433*INDEX(Catalogue!$F$7:$F$19,MATCH(F433,Catalogue!$B$7:$B$19,0)),"#N/A"))</f>
        <v/>
      </c>
      <c r="L433" s="31">
        <f>IF(ISNUMBER(J433),J433*IFERROR(INDEX(Paramètres!$C$7:$C$12,MATCH(INDEX(Effectif!$D$7:$D$21,MATCH(D433,Effectif!$C$7:$C$21,0)),Paramètres!$B$7:$B$12,0)),0),"")</f>
        <v/>
      </c>
      <c r="M433" s="1" t="n"/>
    </row>
    <row r="434">
      <c r="A434" s="1" t="n"/>
      <c r="B434" s="24" t="n">
        <v>428</v>
      </c>
      <c r="C434" s="25" t="n"/>
      <c r="D434" s="26" t="n"/>
      <c r="E434" s="26" t="n"/>
      <c r="F434" s="26" t="n"/>
      <c r="G434" s="27">
        <f>IF(F434="","",IFERROR(INDEX(Catalogue!$C$7:$C$19,MATCH(F434,Catalogue!$B$7:$B$19,0)),"#N/A"))</f>
        <v/>
      </c>
      <c r="H434" s="28" t="n"/>
      <c r="I434" s="29">
        <f>IF(OR(F434="",H434=""),"",IFERROR(H434*INDEX(Catalogue!$G$7:$G$19,MATCH(F434,Catalogue!$B$7:$B$19,0)),"#N/A"))</f>
        <v/>
      </c>
      <c r="J434" s="30">
        <f>IF(ISNUMBER(I434),I434-K434,"")</f>
        <v/>
      </c>
      <c r="K434" s="31">
        <f>IF(OR(F434="",H434=""),"",IFERROR(H434*INDEX(Catalogue!$F$7:$F$19,MATCH(F434,Catalogue!$B$7:$B$19,0)),"#N/A"))</f>
        <v/>
      </c>
      <c r="L434" s="31">
        <f>IF(ISNUMBER(J434),J434*IFERROR(INDEX(Paramètres!$C$7:$C$12,MATCH(INDEX(Effectif!$D$7:$D$21,MATCH(D434,Effectif!$C$7:$C$21,0)),Paramètres!$B$7:$B$12,0)),0),"")</f>
        <v/>
      </c>
      <c r="M434" s="1" t="n"/>
    </row>
    <row r="435">
      <c r="A435" s="1" t="n"/>
      <c r="B435" s="24" t="n">
        <v>429</v>
      </c>
      <c r="C435" s="25" t="n"/>
      <c r="D435" s="26" t="n"/>
      <c r="E435" s="26" t="n"/>
      <c r="F435" s="26" t="n"/>
      <c r="G435" s="27">
        <f>IF(F435="","",IFERROR(INDEX(Catalogue!$C$7:$C$19,MATCH(F435,Catalogue!$B$7:$B$19,0)),"#N/A"))</f>
        <v/>
      </c>
      <c r="H435" s="28" t="n"/>
      <c r="I435" s="29">
        <f>IF(OR(F435="",H435=""),"",IFERROR(H435*INDEX(Catalogue!$G$7:$G$19,MATCH(F435,Catalogue!$B$7:$B$19,0)),"#N/A"))</f>
        <v/>
      </c>
      <c r="J435" s="30">
        <f>IF(ISNUMBER(I435),I435-K435,"")</f>
        <v/>
      </c>
      <c r="K435" s="31">
        <f>IF(OR(F435="",H435=""),"",IFERROR(H435*INDEX(Catalogue!$F$7:$F$19,MATCH(F435,Catalogue!$B$7:$B$19,0)),"#N/A"))</f>
        <v/>
      </c>
      <c r="L435" s="31">
        <f>IF(ISNUMBER(J435),J435*IFERROR(INDEX(Paramètres!$C$7:$C$12,MATCH(INDEX(Effectif!$D$7:$D$21,MATCH(D435,Effectif!$C$7:$C$21,0)),Paramètres!$B$7:$B$12,0)),0),"")</f>
        <v/>
      </c>
      <c r="M435" s="1" t="n"/>
    </row>
    <row r="436">
      <c r="A436" s="1" t="n"/>
      <c r="B436" s="24" t="n">
        <v>430</v>
      </c>
      <c r="C436" s="25" t="n"/>
      <c r="D436" s="26" t="n"/>
      <c r="E436" s="26" t="n"/>
      <c r="F436" s="26" t="n"/>
      <c r="G436" s="27">
        <f>IF(F436="","",IFERROR(INDEX(Catalogue!$C$7:$C$19,MATCH(F436,Catalogue!$B$7:$B$19,0)),"#N/A"))</f>
        <v/>
      </c>
      <c r="H436" s="28" t="n"/>
      <c r="I436" s="29">
        <f>IF(OR(F436="",H436=""),"",IFERROR(H436*INDEX(Catalogue!$G$7:$G$19,MATCH(F436,Catalogue!$B$7:$B$19,0)),"#N/A"))</f>
        <v/>
      </c>
      <c r="J436" s="30">
        <f>IF(ISNUMBER(I436),I436-K436,"")</f>
        <v/>
      </c>
      <c r="K436" s="31">
        <f>IF(OR(F436="",H436=""),"",IFERROR(H436*INDEX(Catalogue!$F$7:$F$19,MATCH(F436,Catalogue!$B$7:$B$19,0)),"#N/A"))</f>
        <v/>
      </c>
      <c r="L436" s="31">
        <f>IF(ISNUMBER(J436),J436*IFERROR(INDEX(Paramètres!$C$7:$C$12,MATCH(INDEX(Effectif!$D$7:$D$21,MATCH(D436,Effectif!$C$7:$C$21,0)),Paramètres!$B$7:$B$12,0)),0),"")</f>
        <v/>
      </c>
      <c r="M436" s="1" t="n"/>
    </row>
    <row r="437">
      <c r="A437" s="1" t="n"/>
      <c r="B437" s="24" t="n">
        <v>431</v>
      </c>
      <c r="C437" s="25" t="n"/>
      <c r="D437" s="26" t="n"/>
      <c r="E437" s="26" t="n"/>
      <c r="F437" s="26" t="n"/>
      <c r="G437" s="27">
        <f>IF(F437="","",IFERROR(INDEX(Catalogue!$C$7:$C$19,MATCH(F437,Catalogue!$B$7:$B$19,0)),"#N/A"))</f>
        <v/>
      </c>
      <c r="H437" s="28" t="n"/>
      <c r="I437" s="29">
        <f>IF(OR(F437="",H437=""),"",IFERROR(H437*INDEX(Catalogue!$G$7:$G$19,MATCH(F437,Catalogue!$B$7:$B$19,0)),"#N/A"))</f>
        <v/>
      </c>
      <c r="J437" s="30">
        <f>IF(ISNUMBER(I437),I437-K437,"")</f>
        <v/>
      </c>
      <c r="K437" s="31">
        <f>IF(OR(F437="",H437=""),"",IFERROR(H437*INDEX(Catalogue!$F$7:$F$19,MATCH(F437,Catalogue!$B$7:$B$19,0)),"#N/A"))</f>
        <v/>
      </c>
      <c r="L437" s="31">
        <f>IF(ISNUMBER(J437),J437*IFERROR(INDEX(Paramètres!$C$7:$C$12,MATCH(INDEX(Effectif!$D$7:$D$21,MATCH(D437,Effectif!$C$7:$C$21,0)),Paramètres!$B$7:$B$12,0)),0),"")</f>
        <v/>
      </c>
      <c r="M437" s="1" t="n"/>
    </row>
    <row r="438">
      <c r="A438" s="1" t="n"/>
      <c r="B438" s="24" t="n">
        <v>432</v>
      </c>
      <c r="C438" s="25" t="n"/>
      <c r="D438" s="26" t="n"/>
      <c r="E438" s="26" t="n"/>
      <c r="F438" s="26" t="n"/>
      <c r="G438" s="27">
        <f>IF(F438="","",IFERROR(INDEX(Catalogue!$C$7:$C$19,MATCH(F438,Catalogue!$B$7:$B$19,0)),"#N/A"))</f>
        <v/>
      </c>
      <c r="H438" s="28" t="n"/>
      <c r="I438" s="29">
        <f>IF(OR(F438="",H438=""),"",IFERROR(H438*INDEX(Catalogue!$G$7:$G$19,MATCH(F438,Catalogue!$B$7:$B$19,0)),"#N/A"))</f>
        <v/>
      </c>
      <c r="J438" s="30">
        <f>IF(ISNUMBER(I438),I438-K438,"")</f>
        <v/>
      </c>
      <c r="K438" s="31">
        <f>IF(OR(F438="",H438=""),"",IFERROR(H438*INDEX(Catalogue!$F$7:$F$19,MATCH(F438,Catalogue!$B$7:$B$19,0)),"#N/A"))</f>
        <v/>
      </c>
      <c r="L438" s="31">
        <f>IF(ISNUMBER(J438),J438*IFERROR(INDEX(Paramètres!$C$7:$C$12,MATCH(INDEX(Effectif!$D$7:$D$21,MATCH(D438,Effectif!$C$7:$C$21,0)),Paramètres!$B$7:$B$12,0)),0),"")</f>
        <v/>
      </c>
      <c r="M438" s="1" t="n"/>
    </row>
    <row r="439">
      <c r="A439" s="1" t="n"/>
      <c r="B439" s="24" t="n">
        <v>433</v>
      </c>
      <c r="C439" s="25" t="n"/>
      <c r="D439" s="26" t="n"/>
      <c r="E439" s="26" t="n"/>
      <c r="F439" s="26" t="n"/>
      <c r="G439" s="27">
        <f>IF(F439="","",IFERROR(INDEX(Catalogue!$C$7:$C$19,MATCH(F439,Catalogue!$B$7:$B$19,0)),"#N/A"))</f>
        <v/>
      </c>
      <c r="H439" s="28" t="n"/>
      <c r="I439" s="29">
        <f>IF(OR(F439="",H439=""),"",IFERROR(H439*INDEX(Catalogue!$G$7:$G$19,MATCH(F439,Catalogue!$B$7:$B$19,0)),"#N/A"))</f>
        <v/>
      </c>
      <c r="J439" s="30">
        <f>IF(ISNUMBER(I439),I439-K439,"")</f>
        <v/>
      </c>
      <c r="K439" s="31">
        <f>IF(OR(F439="",H439=""),"",IFERROR(H439*INDEX(Catalogue!$F$7:$F$19,MATCH(F439,Catalogue!$B$7:$B$19,0)),"#N/A"))</f>
        <v/>
      </c>
      <c r="L439" s="31">
        <f>IF(ISNUMBER(J439),J439*IFERROR(INDEX(Paramètres!$C$7:$C$12,MATCH(INDEX(Effectif!$D$7:$D$21,MATCH(D439,Effectif!$C$7:$C$21,0)),Paramètres!$B$7:$B$12,0)),0),"")</f>
        <v/>
      </c>
      <c r="M439" s="1" t="n"/>
    </row>
    <row r="440">
      <c r="A440" s="1" t="n"/>
      <c r="B440" s="24" t="n">
        <v>434</v>
      </c>
      <c r="C440" s="25" t="n"/>
      <c r="D440" s="26" t="n"/>
      <c r="E440" s="26" t="n"/>
      <c r="F440" s="26" t="n"/>
      <c r="G440" s="27">
        <f>IF(F440="","",IFERROR(INDEX(Catalogue!$C$7:$C$19,MATCH(F440,Catalogue!$B$7:$B$19,0)),"#N/A"))</f>
        <v/>
      </c>
      <c r="H440" s="28" t="n"/>
      <c r="I440" s="29">
        <f>IF(OR(F440="",H440=""),"",IFERROR(H440*INDEX(Catalogue!$G$7:$G$19,MATCH(F440,Catalogue!$B$7:$B$19,0)),"#N/A"))</f>
        <v/>
      </c>
      <c r="J440" s="30">
        <f>IF(ISNUMBER(I440),I440-K440,"")</f>
        <v/>
      </c>
      <c r="K440" s="31">
        <f>IF(OR(F440="",H440=""),"",IFERROR(H440*INDEX(Catalogue!$F$7:$F$19,MATCH(F440,Catalogue!$B$7:$B$19,0)),"#N/A"))</f>
        <v/>
      </c>
      <c r="L440" s="31">
        <f>IF(ISNUMBER(J440),J440*IFERROR(INDEX(Paramètres!$C$7:$C$12,MATCH(INDEX(Effectif!$D$7:$D$21,MATCH(D440,Effectif!$C$7:$C$21,0)),Paramètres!$B$7:$B$12,0)),0),"")</f>
        <v/>
      </c>
      <c r="M440" s="1" t="n"/>
    </row>
    <row r="441">
      <c r="A441" s="1" t="n"/>
      <c r="B441" s="24" t="n">
        <v>435</v>
      </c>
      <c r="C441" s="25" t="n"/>
      <c r="D441" s="26" t="n"/>
      <c r="E441" s="26" t="n"/>
      <c r="F441" s="26" t="n"/>
      <c r="G441" s="27">
        <f>IF(F441="","",IFERROR(INDEX(Catalogue!$C$7:$C$19,MATCH(F441,Catalogue!$B$7:$B$19,0)),"#N/A"))</f>
        <v/>
      </c>
      <c r="H441" s="28" t="n"/>
      <c r="I441" s="29">
        <f>IF(OR(F441="",H441=""),"",IFERROR(H441*INDEX(Catalogue!$G$7:$G$19,MATCH(F441,Catalogue!$B$7:$B$19,0)),"#N/A"))</f>
        <v/>
      </c>
      <c r="J441" s="30">
        <f>IF(ISNUMBER(I441),I441-K441,"")</f>
        <v/>
      </c>
      <c r="K441" s="31">
        <f>IF(OR(F441="",H441=""),"",IFERROR(H441*INDEX(Catalogue!$F$7:$F$19,MATCH(F441,Catalogue!$B$7:$B$19,0)),"#N/A"))</f>
        <v/>
      </c>
      <c r="L441" s="31">
        <f>IF(ISNUMBER(J441),J441*IFERROR(INDEX(Paramètres!$C$7:$C$12,MATCH(INDEX(Effectif!$D$7:$D$21,MATCH(D441,Effectif!$C$7:$C$21,0)),Paramètres!$B$7:$B$12,0)),0),"")</f>
        <v/>
      </c>
      <c r="M441" s="1" t="n"/>
    </row>
    <row r="442">
      <c r="A442" s="1" t="n"/>
      <c r="B442" s="24" t="n">
        <v>436</v>
      </c>
      <c r="C442" s="25" t="n"/>
      <c r="D442" s="26" t="n"/>
      <c r="E442" s="26" t="n"/>
      <c r="F442" s="26" t="n"/>
      <c r="G442" s="27">
        <f>IF(F442="","",IFERROR(INDEX(Catalogue!$C$7:$C$19,MATCH(F442,Catalogue!$B$7:$B$19,0)),"#N/A"))</f>
        <v/>
      </c>
      <c r="H442" s="28" t="n"/>
      <c r="I442" s="29">
        <f>IF(OR(F442="",H442=""),"",IFERROR(H442*INDEX(Catalogue!$G$7:$G$19,MATCH(F442,Catalogue!$B$7:$B$19,0)),"#N/A"))</f>
        <v/>
      </c>
      <c r="J442" s="30">
        <f>IF(ISNUMBER(I442),I442-K442,"")</f>
        <v/>
      </c>
      <c r="K442" s="31">
        <f>IF(OR(F442="",H442=""),"",IFERROR(H442*INDEX(Catalogue!$F$7:$F$19,MATCH(F442,Catalogue!$B$7:$B$19,0)),"#N/A"))</f>
        <v/>
      </c>
      <c r="L442" s="31">
        <f>IF(ISNUMBER(J442),J442*IFERROR(INDEX(Paramètres!$C$7:$C$12,MATCH(INDEX(Effectif!$D$7:$D$21,MATCH(D442,Effectif!$C$7:$C$21,0)),Paramètres!$B$7:$B$12,0)),0),"")</f>
        <v/>
      </c>
      <c r="M442" s="1" t="n"/>
    </row>
    <row r="443">
      <c r="A443" s="1" t="n"/>
      <c r="B443" s="24" t="n">
        <v>437</v>
      </c>
      <c r="C443" s="25" t="n"/>
      <c r="D443" s="26" t="n"/>
      <c r="E443" s="26" t="n"/>
      <c r="F443" s="26" t="n"/>
      <c r="G443" s="27">
        <f>IF(F443="","",IFERROR(INDEX(Catalogue!$C$7:$C$19,MATCH(F443,Catalogue!$B$7:$B$19,0)),"#N/A"))</f>
        <v/>
      </c>
      <c r="H443" s="28" t="n"/>
      <c r="I443" s="29">
        <f>IF(OR(F443="",H443=""),"",IFERROR(H443*INDEX(Catalogue!$G$7:$G$19,MATCH(F443,Catalogue!$B$7:$B$19,0)),"#N/A"))</f>
        <v/>
      </c>
      <c r="J443" s="30">
        <f>IF(ISNUMBER(I443),I443-K443,"")</f>
        <v/>
      </c>
      <c r="K443" s="31">
        <f>IF(OR(F443="",H443=""),"",IFERROR(H443*INDEX(Catalogue!$F$7:$F$19,MATCH(F443,Catalogue!$B$7:$B$19,0)),"#N/A"))</f>
        <v/>
      </c>
      <c r="L443" s="31">
        <f>IF(ISNUMBER(J443),J443*IFERROR(INDEX(Paramètres!$C$7:$C$12,MATCH(INDEX(Effectif!$D$7:$D$21,MATCH(D443,Effectif!$C$7:$C$21,0)),Paramètres!$B$7:$B$12,0)),0),"")</f>
        <v/>
      </c>
      <c r="M443" s="1" t="n"/>
    </row>
    <row r="444">
      <c r="A444" s="1" t="n"/>
      <c r="B444" s="24" t="n">
        <v>438</v>
      </c>
      <c r="C444" s="25" t="n"/>
      <c r="D444" s="26" t="n"/>
      <c r="E444" s="26" t="n"/>
      <c r="F444" s="26" t="n"/>
      <c r="G444" s="27">
        <f>IF(F444="","",IFERROR(INDEX(Catalogue!$C$7:$C$19,MATCH(F444,Catalogue!$B$7:$B$19,0)),"#N/A"))</f>
        <v/>
      </c>
      <c r="H444" s="28" t="n"/>
      <c r="I444" s="29">
        <f>IF(OR(F444="",H444=""),"",IFERROR(H444*INDEX(Catalogue!$G$7:$G$19,MATCH(F444,Catalogue!$B$7:$B$19,0)),"#N/A"))</f>
        <v/>
      </c>
      <c r="J444" s="30">
        <f>IF(ISNUMBER(I444),I444-K444,"")</f>
        <v/>
      </c>
      <c r="K444" s="31">
        <f>IF(OR(F444="",H444=""),"",IFERROR(H444*INDEX(Catalogue!$F$7:$F$19,MATCH(F444,Catalogue!$B$7:$B$19,0)),"#N/A"))</f>
        <v/>
      </c>
      <c r="L444" s="31">
        <f>IF(ISNUMBER(J444),J444*IFERROR(INDEX(Paramètres!$C$7:$C$12,MATCH(INDEX(Effectif!$D$7:$D$21,MATCH(D444,Effectif!$C$7:$C$21,0)),Paramètres!$B$7:$B$12,0)),0),"")</f>
        <v/>
      </c>
      <c r="M444" s="1" t="n"/>
    </row>
    <row r="445">
      <c r="A445" s="1" t="n"/>
      <c r="B445" s="24" t="n">
        <v>439</v>
      </c>
      <c r="C445" s="25" t="n"/>
      <c r="D445" s="26" t="n"/>
      <c r="E445" s="26" t="n"/>
      <c r="F445" s="26" t="n"/>
      <c r="G445" s="27">
        <f>IF(F445="","",IFERROR(INDEX(Catalogue!$C$7:$C$19,MATCH(F445,Catalogue!$B$7:$B$19,0)),"#N/A"))</f>
        <v/>
      </c>
      <c r="H445" s="28" t="n"/>
      <c r="I445" s="29">
        <f>IF(OR(F445="",H445=""),"",IFERROR(H445*INDEX(Catalogue!$G$7:$G$19,MATCH(F445,Catalogue!$B$7:$B$19,0)),"#N/A"))</f>
        <v/>
      </c>
      <c r="J445" s="30">
        <f>IF(ISNUMBER(I445),I445-K445,"")</f>
        <v/>
      </c>
      <c r="K445" s="31">
        <f>IF(OR(F445="",H445=""),"",IFERROR(H445*INDEX(Catalogue!$F$7:$F$19,MATCH(F445,Catalogue!$B$7:$B$19,0)),"#N/A"))</f>
        <v/>
      </c>
      <c r="L445" s="31">
        <f>IF(ISNUMBER(J445),J445*IFERROR(INDEX(Paramètres!$C$7:$C$12,MATCH(INDEX(Effectif!$D$7:$D$21,MATCH(D445,Effectif!$C$7:$C$21,0)),Paramètres!$B$7:$B$12,0)),0),"")</f>
        <v/>
      </c>
      <c r="M445" s="1" t="n"/>
    </row>
    <row r="446">
      <c r="A446" s="1" t="n"/>
      <c r="B446" s="24" t="n">
        <v>440</v>
      </c>
      <c r="C446" s="25" t="n"/>
      <c r="D446" s="26" t="n"/>
      <c r="E446" s="26" t="n"/>
      <c r="F446" s="26" t="n"/>
      <c r="G446" s="27">
        <f>IF(F446="","",IFERROR(INDEX(Catalogue!$C$7:$C$19,MATCH(F446,Catalogue!$B$7:$B$19,0)),"#N/A"))</f>
        <v/>
      </c>
      <c r="H446" s="28" t="n"/>
      <c r="I446" s="29">
        <f>IF(OR(F446="",H446=""),"",IFERROR(H446*INDEX(Catalogue!$G$7:$G$19,MATCH(F446,Catalogue!$B$7:$B$19,0)),"#N/A"))</f>
        <v/>
      </c>
      <c r="J446" s="30">
        <f>IF(ISNUMBER(I446),I446-K446,"")</f>
        <v/>
      </c>
      <c r="K446" s="31">
        <f>IF(OR(F446="",H446=""),"",IFERROR(H446*INDEX(Catalogue!$F$7:$F$19,MATCH(F446,Catalogue!$B$7:$B$19,0)),"#N/A"))</f>
        <v/>
      </c>
      <c r="L446" s="31">
        <f>IF(ISNUMBER(J446),J446*IFERROR(INDEX(Paramètres!$C$7:$C$12,MATCH(INDEX(Effectif!$D$7:$D$21,MATCH(D446,Effectif!$C$7:$C$21,0)),Paramètres!$B$7:$B$12,0)),0),"")</f>
        <v/>
      </c>
      <c r="M446" s="1" t="n"/>
    </row>
    <row r="447">
      <c r="A447" s="1" t="n"/>
      <c r="B447" s="24" t="n">
        <v>441</v>
      </c>
      <c r="C447" s="25" t="n"/>
      <c r="D447" s="26" t="n"/>
      <c r="E447" s="26" t="n"/>
      <c r="F447" s="26" t="n"/>
      <c r="G447" s="27">
        <f>IF(F447="","",IFERROR(INDEX(Catalogue!$C$7:$C$19,MATCH(F447,Catalogue!$B$7:$B$19,0)),"#N/A"))</f>
        <v/>
      </c>
      <c r="H447" s="28" t="n"/>
      <c r="I447" s="29">
        <f>IF(OR(F447="",H447=""),"",IFERROR(H447*INDEX(Catalogue!$G$7:$G$19,MATCH(F447,Catalogue!$B$7:$B$19,0)),"#N/A"))</f>
        <v/>
      </c>
      <c r="J447" s="30">
        <f>IF(ISNUMBER(I447),I447-K447,"")</f>
        <v/>
      </c>
      <c r="K447" s="31">
        <f>IF(OR(F447="",H447=""),"",IFERROR(H447*INDEX(Catalogue!$F$7:$F$19,MATCH(F447,Catalogue!$B$7:$B$19,0)),"#N/A"))</f>
        <v/>
      </c>
      <c r="L447" s="31">
        <f>IF(ISNUMBER(J447),J447*IFERROR(INDEX(Paramètres!$C$7:$C$12,MATCH(INDEX(Effectif!$D$7:$D$21,MATCH(D447,Effectif!$C$7:$C$21,0)),Paramètres!$B$7:$B$12,0)),0),"")</f>
        <v/>
      </c>
      <c r="M447" s="1" t="n"/>
    </row>
    <row r="448">
      <c r="A448" s="1" t="n"/>
      <c r="B448" s="24" t="n">
        <v>442</v>
      </c>
      <c r="C448" s="25" t="n"/>
      <c r="D448" s="26" t="n"/>
      <c r="E448" s="26" t="n"/>
      <c r="F448" s="26" t="n"/>
      <c r="G448" s="27">
        <f>IF(F448="","",IFERROR(INDEX(Catalogue!$C$7:$C$19,MATCH(F448,Catalogue!$B$7:$B$19,0)),"#N/A"))</f>
        <v/>
      </c>
      <c r="H448" s="28" t="n"/>
      <c r="I448" s="29">
        <f>IF(OR(F448="",H448=""),"",IFERROR(H448*INDEX(Catalogue!$G$7:$G$19,MATCH(F448,Catalogue!$B$7:$B$19,0)),"#N/A"))</f>
        <v/>
      </c>
      <c r="J448" s="30">
        <f>IF(ISNUMBER(I448),I448-K448,"")</f>
        <v/>
      </c>
      <c r="K448" s="31">
        <f>IF(OR(F448="",H448=""),"",IFERROR(H448*INDEX(Catalogue!$F$7:$F$19,MATCH(F448,Catalogue!$B$7:$B$19,0)),"#N/A"))</f>
        <v/>
      </c>
      <c r="L448" s="31">
        <f>IF(ISNUMBER(J448),J448*IFERROR(INDEX(Paramètres!$C$7:$C$12,MATCH(INDEX(Effectif!$D$7:$D$21,MATCH(D448,Effectif!$C$7:$C$21,0)),Paramètres!$B$7:$B$12,0)),0),"")</f>
        <v/>
      </c>
      <c r="M448" s="1" t="n"/>
    </row>
    <row r="449">
      <c r="A449" s="1" t="n"/>
      <c r="B449" s="24" t="n">
        <v>443</v>
      </c>
      <c r="C449" s="25" t="n"/>
      <c r="D449" s="26" t="n"/>
      <c r="E449" s="26" t="n"/>
      <c r="F449" s="26" t="n"/>
      <c r="G449" s="27">
        <f>IF(F449="","",IFERROR(INDEX(Catalogue!$C$7:$C$19,MATCH(F449,Catalogue!$B$7:$B$19,0)),"#N/A"))</f>
        <v/>
      </c>
      <c r="H449" s="28" t="n"/>
      <c r="I449" s="29">
        <f>IF(OR(F449="",H449=""),"",IFERROR(H449*INDEX(Catalogue!$G$7:$G$19,MATCH(F449,Catalogue!$B$7:$B$19,0)),"#N/A"))</f>
        <v/>
      </c>
      <c r="J449" s="30">
        <f>IF(ISNUMBER(I449),I449-K449,"")</f>
        <v/>
      </c>
      <c r="K449" s="31">
        <f>IF(OR(F449="",H449=""),"",IFERROR(H449*INDEX(Catalogue!$F$7:$F$19,MATCH(F449,Catalogue!$B$7:$B$19,0)),"#N/A"))</f>
        <v/>
      </c>
      <c r="L449" s="31">
        <f>IF(ISNUMBER(J449),J449*IFERROR(INDEX(Paramètres!$C$7:$C$12,MATCH(INDEX(Effectif!$D$7:$D$21,MATCH(D449,Effectif!$C$7:$C$21,0)),Paramètres!$B$7:$B$12,0)),0),"")</f>
        <v/>
      </c>
      <c r="M449" s="1" t="n"/>
    </row>
    <row r="450">
      <c r="A450" s="1" t="n"/>
      <c r="B450" s="24" t="n">
        <v>444</v>
      </c>
      <c r="C450" s="25" t="n"/>
      <c r="D450" s="26" t="n"/>
      <c r="E450" s="26" t="n"/>
      <c r="F450" s="26" t="n"/>
      <c r="G450" s="27">
        <f>IF(F450="","",IFERROR(INDEX(Catalogue!$C$7:$C$19,MATCH(F450,Catalogue!$B$7:$B$19,0)),"#N/A"))</f>
        <v/>
      </c>
      <c r="H450" s="28" t="n"/>
      <c r="I450" s="29">
        <f>IF(OR(F450="",H450=""),"",IFERROR(H450*INDEX(Catalogue!$G$7:$G$19,MATCH(F450,Catalogue!$B$7:$B$19,0)),"#N/A"))</f>
        <v/>
      </c>
      <c r="J450" s="30">
        <f>IF(ISNUMBER(I450),I450-K450,"")</f>
        <v/>
      </c>
      <c r="K450" s="31">
        <f>IF(OR(F450="",H450=""),"",IFERROR(H450*INDEX(Catalogue!$F$7:$F$19,MATCH(F450,Catalogue!$B$7:$B$19,0)),"#N/A"))</f>
        <v/>
      </c>
      <c r="L450" s="31">
        <f>IF(ISNUMBER(J450),J450*IFERROR(INDEX(Paramètres!$C$7:$C$12,MATCH(INDEX(Effectif!$D$7:$D$21,MATCH(D450,Effectif!$C$7:$C$21,0)),Paramètres!$B$7:$B$12,0)),0),"")</f>
        <v/>
      </c>
      <c r="M450" s="1" t="n"/>
    </row>
    <row r="451">
      <c r="A451" s="1" t="n"/>
      <c r="B451" s="24" t="n">
        <v>445</v>
      </c>
      <c r="C451" s="25" t="n"/>
      <c r="D451" s="26" t="n"/>
      <c r="E451" s="26" t="n"/>
      <c r="F451" s="26" t="n"/>
      <c r="G451" s="27">
        <f>IF(F451="","",IFERROR(INDEX(Catalogue!$C$7:$C$19,MATCH(F451,Catalogue!$B$7:$B$19,0)),"#N/A"))</f>
        <v/>
      </c>
      <c r="H451" s="28" t="n"/>
      <c r="I451" s="29">
        <f>IF(OR(F451="",H451=""),"",IFERROR(H451*INDEX(Catalogue!$G$7:$G$19,MATCH(F451,Catalogue!$B$7:$B$19,0)),"#N/A"))</f>
        <v/>
      </c>
      <c r="J451" s="30">
        <f>IF(ISNUMBER(I451),I451-K451,"")</f>
        <v/>
      </c>
      <c r="K451" s="31">
        <f>IF(OR(F451="",H451=""),"",IFERROR(H451*INDEX(Catalogue!$F$7:$F$19,MATCH(F451,Catalogue!$B$7:$B$19,0)),"#N/A"))</f>
        <v/>
      </c>
      <c r="L451" s="31">
        <f>IF(ISNUMBER(J451),J451*IFERROR(INDEX(Paramètres!$C$7:$C$12,MATCH(INDEX(Effectif!$D$7:$D$21,MATCH(D451,Effectif!$C$7:$C$21,0)),Paramètres!$B$7:$B$12,0)),0),"")</f>
        <v/>
      </c>
      <c r="M451" s="1" t="n"/>
    </row>
    <row r="452">
      <c r="A452" s="1" t="n"/>
      <c r="B452" s="24" t="n">
        <v>446</v>
      </c>
      <c r="C452" s="25" t="n"/>
      <c r="D452" s="26" t="n"/>
      <c r="E452" s="26" t="n"/>
      <c r="F452" s="26" t="n"/>
      <c r="G452" s="27">
        <f>IF(F452="","",IFERROR(INDEX(Catalogue!$C$7:$C$19,MATCH(F452,Catalogue!$B$7:$B$19,0)),"#N/A"))</f>
        <v/>
      </c>
      <c r="H452" s="28" t="n"/>
      <c r="I452" s="29">
        <f>IF(OR(F452="",H452=""),"",IFERROR(H452*INDEX(Catalogue!$G$7:$G$19,MATCH(F452,Catalogue!$B$7:$B$19,0)),"#N/A"))</f>
        <v/>
      </c>
      <c r="J452" s="30">
        <f>IF(ISNUMBER(I452),I452-K452,"")</f>
        <v/>
      </c>
      <c r="K452" s="31">
        <f>IF(OR(F452="",H452=""),"",IFERROR(H452*INDEX(Catalogue!$F$7:$F$19,MATCH(F452,Catalogue!$B$7:$B$19,0)),"#N/A"))</f>
        <v/>
      </c>
      <c r="L452" s="31">
        <f>IF(ISNUMBER(J452),J452*IFERROR(INDEX(Paramètres!$C$7:$C$12,MATCH(INDEX(Effectif!$D$7:$D$21,MATCH(D452,Effectif!$C$7:$C$21,0)),Paramètres!$B$7:$B$12,0)),0),"")</f>
        <v/>
      </c>
      <c r="M452" s="1" t="n"/>
    </row>
    <row r="453">
      <c r="A453" s="1" t="n"/>
      <c r="B453" s="24" t="n">
        <v>447</v>
      </c>
      <c r="C453" s="25" t="n"/>
      <c r="D453" s="26" t="n"/>
      <c r="E453" s="26" t="n"/>
      <c r="F453" s="26" t="n"/>
      <c r="G453" s="27">
        <f>IF(F453="","",IFERROR(INDEX(Catalogue!$C$7:$C$19,MATCH(F453,Catalogue!$B$7:$B$19,0)),"#N/A"))</f>
        <v/>
      </c>
      <c r="H453" s="28" t="n"/>
      <c r="I453" s="29">
        <f>IF(OR(F453="",H453=""),"",IFERROR(H453*INDEX(Catalogue!$G$7:$G$19,MATCH(F453,Catalogue!$B$7:$B$19,0)),"#N/A"))</f>
        <v/>
      </c>
      <c r="J453" s="30">
        <f>IF(ISNUMBER(I453),I453-K453,"")</f>
        <v/>
      </c>
      <c r="K453" s="31">
        <f>IF(OR(F453="",H453=""),"",IFERROR(H453*INDEX(Catalogue!$F$7:$F$19,MATCH(F453,Catalogue!$B$7:$B$19,0)),"#N/A"))</f>
        <v/>
      </c>
      <c r="L453" s="31">
        <f>IF(ISNUMBER(J453),J453*IFERROR(INDEX(Paramètres!$C$7:$C$12,MATCH(INDEX(Effectif!$D$7:$D$21,MATCH(D453,Effectif!$C$7:$C$21,0)),Paramètres!$B$7:$B$12,0)),0),"")</f>
        <v/>
      </c>
      <c r="M453" s="1" t="n"/>
    </row>
    <row r="454">
      <c r="A454" s="1" t="n"/>
      <c r="B454" s="24" t="n">
        <v>448</v>
      </c>
      <c r="C454" s="25" t="n"/>
      <c r="D454" s="26" t="n"/>
      <c r="E454" s="26" t="n"/>
      <c r="F454" s="26" t="n"/>
      <c r="G454" s="27">
        <f>IF(F454="","",IFERROR(INDEX(Catalogue!$C$7:$C$19,MATCH(F454,Catalogue!$B$7:$B$19,0)),"#N/A"))</f>
        <v/>
      </c>
      <c r="H454" s="28" t="n"/>
      <c r="I454" s="29">
        <f>IF(OR(F454="",H454=""),"",IFERROR(H454*INDEX(Catalogue!$G$7:$G$19,MATCH(F454,Catalogue!$B$7:$B$19,0)),"#N/A"))</f>
        <v/>
      </c>
      <c r="J454" s="30">
        <f>IF(ISNUMBER(I454),I454-K454,"")</f>
        <v/>
      </c>
      <c r="K454" s="31">
        <f>IF(OR(F454="",H454=""),"",IFERROR(H454*INDEX(Catalogue!$F$7:$F$19,MATCH(F454,Catalogue!$B$7:$B$19,0)),"#N/A"))</f>
        <v/>
      </c>
      <c r="L454" s="31">
        <f>IF(ISNUMBER(J454),J454*IFERROR(INDEX(Paramètres!$C$7:$C$12,MATCH(INDEX(Effectif!$D$7:$D$21,MATCH(D454,Effectif!$C$7:$C$21,0)),Paramètres!$B$7:$B$12,0)),0),"")</f>
        <v/>
      </c>
      <c r="M454" s="1" t="n"/>
    </row>
    <row r="455">
      <c r="A455" s="1" t="n"/>
      <c r="B455" s="24" t="n">
        <v>449</v>
      </c>
      <c r="C455" s="25" t="n"/>
      <c r="D455" s="26" t="n"/>
      <c r="E455" s="26" t="n"/>
      <c r="F455" s="26" t="n"/>
      <c r="G455" s="27">
        <f>IF(F455="","",IFERROR(INDEX(Catalogue!$C$7:$C$19,MATCH(F455,Catalogue!$B$7:$B$19,0)),"#N/A"))</f>
        <v/>
      </c>
      <c r="H455" s="28" t="n"/>
      <c r="I455" s="29">
        <f>IF(OR(F455="",H455=""),"",IFERROR(H455*INDEX(Catalogue!$G$7:$G$19,MATCH(F455,Catalogue!$B$7:$B$19,0)),"#N/A"))</f>
        <v/>
      </c>
      <c r="J455" s="30">
        <f>IF(ISNUMBER(I455),I455-K455,"")</f>
        <v/>
      </c>
      <c r="K455" s="31">
        <f>IF(OR(F455="",H455=""),"",IFERROR(H455*INDEX(Catalogue!$F$7:$F$19,MATCH(F455,Catalogue!$B$7:$B$19,0)),"#N/A"))</f>
        <v/>
      </c>
      <c r="L455" s="31">
        <f>IF(ISNUMBER(J455),J455*IFERROR(INDEX(Paramètres!$C$7:$C$12,MATCH(INDEX(Effectif!$D$7:$D$21,MATCH(D455,Effectif!$C$7:$C$21,0)),Paramètres!$B$7:$B$12,0)),0),"")</f>
        <v/>
      </c>
      <c r="M455" s="1" t="n"/>
    </row>
    <row r="456">
      <c r="A456" s="1" t="n"/>
      <c r="B456" s="24" t="n">
        <v>450</v>
      </c>
      <c r="C456" s="25" t="n"/>
      <c r="D456" s="26" t="n"/>
      <c r="E456" s="26" t="n"/>
      <c r="F456" s="26" t="n"/>
      <c r="G456" s="27">
        <f>IF(F456="","",IFERROR(INDEX(Catalogue!$C$7:$C$19,MATCH(F456,Catalogue!$B$7:$B$19,0)),"#N/A"))</f>
        <v/>
      </c>
      <c r="H456" s="28" t="n"/>
      <c r="I456" s="29">
        <f>IF(OR(F456="",H456=""),"",IFERROR(H456*INDEX(Catalogue!$G$7:$G$19,MATCH(F456,Catalogue!$B$7:$B$19,0)),"#N/A"))</f>
        <v/>
      </c>
      <c r="J456" s="30">
        <f>IF(ISNUMBER(I456),I456-K456,"")</f>
        <v/>
      </c>
      <c r="K456" s="31">
        <f>IF(OR(F456="",H456=""),"",IFERROR(H456*INDEX(Catalogue!$F$7:$F$19,MATCH(F456,Catalogue!$B$7:$B$19,0)),"#N/A"))</f>
        <v/>
      </c>
      <c r="L456" s="31">
        <f>IF(ISNUMBER(J456),J456*IFERROR(INDEX(Paramètres!$C$7:$C$12,MATCH(INDEX(Effectif!$D$7:$D$21,MATCH(D456,Effectif!$C$7:$C$21,0)),Paramètres!$B$7:$B$12,0)),0),"")</f>
        <v/>
      </c>
      <c r="M456" s="1" t="n"/>
    </row>
    <row r="457">
      <c r="A457" s="1" t="n"/>
      <c r="B457" s="24" t="n">
        <v>451</v>
      </c>
      <c r="C457" s="25" t="n"/>
      <c r="D457" s="26" t="n"/>
      <c r="E457" s="26" t="n"/>
      <c r="F457" s="26" t="n"/>
      <c r="G457" s="27">
        <f>IF(F457="","",IFERROR(INDEX(Catalogue!$C$7:$C$19,MATCH(F457,Catalogue!$B$7:$B$19,0)),"#N/A"))</f>
        <v/>
      </c>
      <c r="H457" s="28" t="n"/>
      <c r="I457" s="29">
        <f>IF(OR(F457="",H457=""),"",IFERROR(H457*INDEX(Catalogue!$G$7:$G$19,MATCH(F457,Catalogue!$B$7:$B$19,0)),"#N/A"))</f>
        <v/>
      </c>
      <c r="J457" s="30">
        <f>IF(ISNUMBER(I457),I457-K457,"")</f>
        <v/>
      </c>
      <c r="K457" s="31">
        <f>IF(OR(F457="",H457=""),"",IFERROR(H457*INDEX(Catalogue!$F$7:$F$19,MATCH(F457,Catalogue!$B$7:$B$19,0)),"#N/A"))</f>
        <v/>
      </c>
      <c r="L457" s="31">
        <f>IF(ISNUMBER(J457),J457*IFERROR(INDEX(Paramètres!$C$7:$C$12,MATCH(INDEX(Effectif!$D$7:$D$21,MATCH(D457,Effectif!$C$7:$C$21,0)),Paramètres!$B$7:$B$12,0)),0),"")</f>
        <v/>
      </c>
      <c r="M457" s="1" t="n"/>
    </row>
    <row r="458">
      <c r="A458" s="1" t="n"/>
      <c r="B458" s="24" t="n">
        <v>452</v>
      </c>
      <c r="C458" s="25" t="n"/>
      <c r="D458" s="26" t="n"/>
      <c r="E458" s="26" t="n"/>
      <c r="F458" s="26" t="n"/>
      <c r="G458" s="27">
        <f>IF(F458="","",IFERROR(INDEX(Catalogue!$C$7:$C$19,MATCH(F458,Catalogue!$B$7:$B$19,0)),"#N/A"))</f>
        <v/>
      </c>
      <c r="H458" s="28" t="n"/>
      <c r="I458" s="29">
        <f>IF(OR(F458="",H458=""),"",IFERROR(H458*INDEX(Catalogue!$G$7:$G$19,MATCH(F458,Catalogue!$B$7:$B$19,0)),"#N/A"))</f>
        <v/>
      </c>
      <c r="J458" s="30">
        <f>IF(ISNUMBER(I458),I458-K458,"")</f>
        <v/>
      </c>
      <c r="K458" s="31">
        <f>IF(OR(F458="",H458=""),"",IFERROR(H458*INDEX(Catalogue!$F$7:$F$19,MATCH(F458,Catalogue!$B$7:$B$19,0)),"#N/A"))</f>
        <v/>
      </c>
      <c r="L458" s="31">
        <f>IF(ISNUMBER(J458),J458*IFERROR(INDEX(Paramètres!$C$7:$C$12,MATCH(INDEX(Effectif!$D$7:$D$21,MATCH(D458,Effectif!$C$7:$C$21,0)),Paramètres!$B$7:$B$12,0)),0),"")</f>
        <v/>
      </c>
      <c r="M458" s="1" t="n"/>
    </row>
    <row r="459">
      <c r="A459" s="1" t="n"/>
      <c r="B459" s="24" t="n">
        <v>453</v>
      </c>
      <c r="C459" s="25" t="n"/>
      <c r="D459" s="26" t="n"/>
      <c r="E459" s="26" t="n"/>
      <c r="F459" s="26" t="n"/>
      <c r="G459" s="27">
        <f>IF(F459="","",IFERROR(INDEX(Catalogue!$C$7:$C$19,MATCH(F459,Catalogue!$B$7:$B$19,0)),"#N/A"))</f>
        <v/>
      </c>
      <c r="H459" s="28" t="n"/>
      <c r="I459" s="29">
        <f>IF(OR(F459="",H459=""),"",IFERROR(H459*INDEX(Catalogue!$G$7:$G$19,MATCH(F459,Catalogue!$B$7:$B$19,0)),"#N/A"))</f>
        <v/>
      </c>
      <c r="J459" s="30">
        <f>IF(ISNUMBER(I459),I459-K459,"")</f>
        <v/>
      </c>
      <c r="K459" s="31">
        <f>IF(OR(F459="",H459=""),"",IFERROR(H459*INDEX(Catalogue!$F$7:$F$19,MATCH(F459,Catalogue!$B$7:$B$19,0)),"#N/A"))</f>
        <v/>
      </c>
      <c r="L459" s="31">
        <f>IF(ISNUMBER(J459),J459*IFERROR(INDEX(Paramètres!$C$7:$C$12,MATCH(INDEX(Effectif!$D$7:$D$21,MATCH(D459,Effectif!$C$7:$C$21,0)),Paramètres!$B$7:$B$12,0)),0),"")</f>
        <v/>
      </c>
      <c r="M459" s="1" t="n"/>
    </row>
    <row r="460">
      <c r="A460" s="1" t="n"/>
      <c r="B460" s="24" t="n">
        <v>454</v>
      </c>
      <c r="C460" s="25" t="n"/>
      <c r="D460" s="26" t="n"/>
      <c r="E460" s="26" t="n"/>
      <c r="F460" s="26" t="n"/>
      <c r="G460" s="27">
        <f>IF(F460="","",IFERROR(INDEX(Catalogue!$C$7:$C$19,MATCH(F460,Catalogue!$B$7:$B$19,0)),"#N/A"))</f>
        <v/>
      </c>
      <c r="H460" s="28" t="n"/>
      <c r="I460" s="29">
        <f>IF(OR(F460="",H460=""),"",IFERROR(H460*INDEX(Catalogue!$G$7:$G$19,MATCH(F460,Catalogue!$B$7:$B$19,0)),"#N/A"))</f>
        <v/>
      </c>
      <c r="J460" s="30">
        <f>IF(ISNUMBER(I460),I460-K460,"")</f>
        <v/>
      </c>
      <c r="K460" s="31">
        <f>IF(OR(F460="",H460=""),"",IFERROR(H460*INDEX(Catalogue!$F$7:$F$19,MATCH(F460,Catalogue!$B$7:$B$19,0)),"#N/A"))</f>
        <v/>
      </c>
      <c r="L460" s="31">
        <f>IF(ISNUMBER(J460),J460*IFERROR(INDEX(Paramètres!$C$7:$C$12,MATCH(INDEX(Effectif!$D$7:$D$21,MATCH(D460,Effectif!$C$7:$C$21,0)),Paramètres!$B$7:$B$12,0)),0),"")</f>
        <v/>
      </c>
      <c r="M460" s="1" t="n"/>
    </row>
    <row r="461">
      <c r="A461" s="1" t="n"/>
      <c r="B461" s="24" t="n">
        <v>455</v>
      </c>
      <c r="C461" s="25" t="n"/>
      <c r="D461" s="26" t="n"/>
      <c r="E461" s="26" t="n"/>
      <c r="F461" s="26" t="n"/>
      <c r="G461" s="27">
        <f>IF(F461="","",IFERROR(INDEX(Catalogue!$C$7:$C$19,MATCH(F461,Catalogue!$B$7:$B$19,0)),"#N/A"))</f>
        <v/>
      </c>
      <c r="H461" s="28" t="n"/>
      <c r="I461" s="29">
        <f>IF(OR(F461="",H461=""),"",IFERROR(H461*INDEX(Catalogue!$G$7:$G$19,MATCH(F461,Catalogue!$B$7:$B$19,0)),"#N/A"))</f>
        <v/>
      </c>
      <c r="J461" s="30">
        <f>IF(ISNUMBER(I461),I461-K461,"")</f>
        <v/>
      </c>
      <c r="K461" s="31">
        <f>IF(OR(F461="",H461=""),"",IFERROR(H461*INDEX(Catalogue!$F$7:$F$19,MATCH(F461,Catalogue!$B$7:$B$19,0)),"#N/A"))</f>
        <v/>
      </c>
      <c r="L461" s="31">
        <f>IF(ISNUMBER(J461),J461*IFERROR(INDEX(Paramètres!$C$7:$C$12,MATCH(INDEX(Effectif!$D$7:$D$21,MATCH(D461,Effectif!$C$7:$C$21,0)),Paramètres!$B$7:$B$12,0)),0),"")</f>
        <v/>
      </c>
      <c r="M461" s="1" t="n"/>
    </row>
    <row r="462">
      <c r="A462" s="1" t="n"/>
      <c r="B462" s="24" t="n">
        <v>456</v>
      </c>
      <c r="C462" s="25" t="n"/>
      <c r="D462" s="26" t="n"/>
      <c r="E462" s="26" t="n"/>
      <c r="F462" s="26" t="n"/>
      <c r="G462" s="27">
        <f>IF(F462="","",IFERROR(INDEX(Catalogue!$C$7:$C$19,MATCH(F462,Catalogue!$B$7:$B$19,0)),"#N/A"))</f>
        <v/>
      </c>
      <c r="H462" s="28" t="n"/>
      <c r="I462" s="29">
        <f>IF(OR(F462="",H462=""),"",IFERROR(H462*INDEX(Catalogue!$G$7:$G$19,MATCH(F462,Catalogue!$B$7:$B$19,0)),"#N/A"))</f>
        <v/>
      </c>
      <c r="J462" s="30">
        <f>IF(ISNUMBER(I462),I462-K462,"")</f>
        <v/>
      </c>
      <c r="K462" s="31">
        <f>IF(OR(F462="",H462=""),"",IFERROR(H462*INDEX(Catalogue!$F$7:$F$19,MATCH(F462,Catalogue!$B$7:$B$19,0)),"#N/A"))</f>
        <v/>
      </c>
      <c r="L462" s="31">
        <f>IF(ISNUMBER(J462),J462*IFERROR(INDEX(Paramètres!$C$7:$C$12,MATCH(INDEX(Effectif!$D$7:$D$21,MATCH(D462,Effectif!$C$7:$C$21,0)),Paramètres!$B$7:$B$12,0)),0),"")</f>
        <v/>
      </c>
      <c r="M462" s="1" t="n"/>
    </row>
    <row r="463">
      <c r="A463" s="1" t="n"/>
      <c r="B463" s="24" t="n">
        <v>457</v>
      </c>
      <c r="C463" s="25" t="n"/>
      <c r="D463" s="26" t="n"/>
      <c r="E463" s="26" t="n"/>
      <c r="F463" s="26" t="n"/>
      <c r="G463" s="27">
        <f>IF(F463="","",IFERROR(INDEX(Catalogue!$C$7:$C$19,MATCH(F463,Catalogue!$B$7:$B$19,0)),"#N/A"))</f>
        <v/>
      </c>
      <c r="H463" s="28" t="n"/>
      <c r="I463" s="29">
        <f>IF(OR(F463="",H463=""),"",IFERROR(H463*INDEX(Catalogue!$G$7:$G$19,MATCH(F463,Catalogue!$B$7:$B$19,0)),"#N/A"))</f>
        <v/>
      </c>
      <c r="J463" s="30">
        <f>IF(ISNUMBER(I463),I463-K463,"")</f>
        <v/>
      </c>
      <c r="K463" s="31">
        <f>IF(OR(F463="",H463=""),"",IFERROR(H463*INDEX(Catalogue!$F$7:$F$19,MATCH(F463,Catalogue!$B$7:$B$19,0)),"#N/A"))</f>
        <v/>
      </c>
      <c r="L463" s="31">
        <f>IF(ISNUMBER(J463),J463*IFERROR(INDEX(Paramètres!$C$7:$C$12,MATCH(INDEX(Effectif!$D$7:$D$21,MATCH(D463,Effectif!$C$7:$C$21,0)),Paramètres!$B$7:$B$12,0)),0),"")</f>
        <v/>
      </c>
      <c r="M463" s="1" t="n"/>
    </row>
    <row r="464">
      <c r="A464" s="1" t="n"/>
      <c r="B464" s="24" t="n">
        <v>458</v>
      </c>
      <c r="C464" s="25" t="n"/>
      <c r="D464" s="26" t="n"/>
      <c r="E464" s="26" t="n"/>
      <c r="F464" s="26" t="n"/>
      <c r="G464" s="27">
        <f>IF(F464="","",IFERROR(INDEX(Catalogue!$C$7:$C$19,MATCH(F464,Catalogue!$B$7:$B$19,0)),"#N/A"))</f>
        <v/>
      </c>
      <c r="H464" s="28" t="n"/>
      <c r="I464" s="29">
        <f>IF(OR(F464="",H464=""),"",IFERROR(H464*INDEX(Catalogue!$G$7:$G$19,MATCH(F464,Catalogue!$B$7:$B$19,0)),"#N/A"))</f>
        <v/>
      </c>
      <c r="J464" s="30">
        <f>IF(ISNUMBER(I464),I464-K464,"")</f>
        <v/>
      </c>
      <c r="K464" s="31">
        <f>IF(OR(F464="",H464=""),"",IFERROR(H464*INDEX(Catalogue!$F$7:$F$19,MATCH(F464,Catalogue!$B$7:$B$19,0)),"#N/A"))</f>
        <v/>
      </c>
      <c r="L464" s="31">
        <f>IF(ISNUMBER(J464),J464*IFERROR(INDEX(Paramètres!$C$7:$C$12,MATCH(INDEX(Effectif!$D$7:$D$21,MATCH(D464,Effectif!$C$7:$C$21,0)),Paramètres!$B$7:$B$12,0)),0),"")</f>
        <v/>
      </c>
      <c r="M464" s="1" t="n"/>
    </row>
    <row r="465">
      <c r="A465" s="1" t="n"/>
      <c r="B465" s="24" t="n">
        <v>459</v>
      </c>
      <c r="C465" s="25" t="n"/>
      <c r="D465" s="26" t="n"/>
      <c r="E465" s="26" t="n"/>
      <c r="F465" s="26" t="n"/>
      <c r="G465" s="27">
        <f>IF(F465="","",IFERROR(INDEX(Catalogue!$C$7:$C$19,MATCH(F465,Catalogue!$B$7:$B$19,0)),"#N/A"))</f>
        <v/>
      </c>
      <c r="H465" s="28" t="n"/>
      <c r="I465" s="29">
        <f>IF(OR(F465="",H465=""),"",IFERROR(H465*INDEX(Catalogue!$G$7:$G$19,MATCH(F465,Catalogue!$B$7:$B$19,0)),"#N/A"))</f>
        <v/>
      </c>
      <c r="J465" s="30">
        <f>IF(ISNUMBER(I465),I465-K465,"")</f>
        <v/>
      </c>
      <c r="K465" s="31">
        <f>IF(OR(F465="",H465=""),"",IFERROR(H465*INDEX(Catalogue!$F$7:$F$19,MATCH(F465,Catalogue!$B$7:$B$19,0)),"#N/A"))</f>
        <v/>
      </c>
      <c r="L465" s="31">
        <f>IF(ISNUMBER(J465),J465*IFERROR(INDEX(Paramètres!$C$7:$C$12,MATCH(INDEX(Effectif!$D$7:$D$21,MATCH(D465,Effectif!$C$7:$C$21,0)),Paramètres!$B$7:$B$12,0)),0),"")</f>
        <v/>
      </c>
      <c r="M465" s="1" t="n"/>
    </row>
    <row r="466">
      <c r="A466" s="1" t="n"/>
      <c r="B466" s="24" t="n">
        <v>460</v>
      </c>
      <c r="C466" s="25" t="n"/>
      <c r="D466" s="26" t="n"/>
      <c r="E466" s="26" t="n"/>
      <c r="F466" s="26" t="n"/>
      <c r="G466" s="27">
        <f>IF(F466="","",IFERROR(INDEX(Catalogue!$C$7:$C$19,MATCH(F466,Catalogue!$B$7:$B$19,0)),"#N/A"))</f>
        <v/>
      </c>
      <c r="H466" s="28" t="n"/>
      <c r="I466" s="29">
        <f>IF(OR(F466="",H466=""),"",IFERROR(H466*INDEX(Catalogue!$G$7:$G$19,MATCH(F466,Catalogue!$B$7:$B$19,0)),"#N/A"))</f>
        <v/>
      </c>
      <c r="J466" s="30">
        <f>IF(ISNUMBER(I466),I466-K466,"")</f>
        <v/>
      </c>
      <c r="K466" s="31">
        <f>IF(OR(F466="",H466=""),"",IFERROR(H466*INDEX(Catalogue!$F$7:$F$19,MATCH(F466,Catalogue!$B$7:$B$19,0)),"#N/A"))</f>
        <v/>
      </c>
      <c r="L466" s="31">
        <f>IF(ISNUMBER(J466),J466*IFERROR(INDEX(Paramètres!$C$7:$C$12,MATCH(INDEX(Effectif!$D$7:$D$21,MATCH(D466,Effectif!$C$7:$C$21,0)),Paramètres!$B$7:$B$12,0)),0),"")</f>
        <v/>
      </c>
      <c r="M466" s="1" t="n"/>
    </row>
    <row r="467">
      <c r="A467" s="1" t="n"/>
      <c r="B467" s="24" t="n">
        <v>461</v>
      </c>
      <c r="C467" s="25" t="n"/>
      <c r="D467" s="26" t="n"/>
      <c r="E467" s="26" t="n"/>
      <c r="F467" s="26" t="n"/>
      <c r="G467" s="27">
        <f>IF(F467="","",IFERROR(INDEX(Catalogue!$C$7:$C$19,MATCH(F467,Catalogue!$B$7:$B$19,0)),"#N/A"))</f>
        <v/>
      </c>
      <c r="H467" s="28" t="n"/>
      <c r="I467" s="29">
        <f>IF(OR(F467="",H467=""),"",IFERROR(H467*INDEX(Catalogue!$G$7:$G$19,MATCH(F467,Catalogue!$B$7:$B$19,0)),"#N/A"))</f>
        <v/>
      </c>
      <c r="J467" s="30">
        <f>IF(ISNUMBER(I467),I467-K467,"")</f>
        <v/>
      </c>
      <c r="K467" s="31">
        <f>IF(OR(F467="",H467=""),"",IFERROR(H467*INDEX(Catalogue!$F$7:$F$19,MATCH(F467,Catalogue!$B$7:$B$19,0)),"#N/A"))</f>
        <v/>
      </c>
      <c r="L467" s="31">
        <f>IF(ISNUMBER(J467),J467*IFERROR(INDEX(Paramètres!$C$7:$C$12,MATCH(INDEX(Effectif!$D$7:$D$21,MATCH(D467,Effectif!$C$7:$C$21,0)),Paramètres!$B$7:$B$12,0)),0),"")</f>
        <v/>
      </c>
      <c r="M467" s="1" t="n"/>
    </row>
    <row r="468">
      <c r="A468" s="1" t="n"/>
      <c r="B468" s="24" t="n">
        <v>462</v>
      </c>
      <c r="C468" s="25" t="n"/>
      <c r="D468" s="26" t="n"/>
      <c r="E468" s="26" t="n"/>
      <c r="F468" s="26" t="n"/>
      <c r="G468" s="27">
        <f>IF(F468="","",IFERROR(INDEX(Catalogue!$C$7:$C$19,MATCH(F468,Catalogue!$B$7:$B$19,0)),"#N/A"))</f>
        <v/>
      </c>
      <c r="H468" s="28" t="n"/>
      <c r="I468" s="29">
        <f>IF(OR(F468="",H468=""),"",IFERROR(H468*INDEX(Catalogue!$G$7:$G$19,MATCH(F468,Catalogue!$B$7:$B$19,0)),"#N/A"))</f>
        <v/>
      </c>
      <c r="J468" s="30">
        <f>IF(ISNUMBER(I468),I468-K468,"")</f>
        <v/>
      </c>
      <c r="K468" s="31">
        <f>IF(OR(F468="",H468=""),"",IFERROR(H468*INDEX(Catalogue!$F$7:$F$19,MATCH(F468,Catalogue!$B$7:$B$19,0)),"#N/A"))</f>
        <v/>
      </c>
      <c r="L468" s="31">
        <f>IF(ISNUMBER(J468),J468*IFERROR(INDEX(Paramètres!$C$7:$C$12,MATCH(INDEX(Effectif!$D$7:$D$21,MATCH(D468,Effectif!$C$7:$C$21,0)),Paramètres!$B$7:$B$12,0)),0),"")</f>
        <v/>
      </c>
      <c r="M468" s="1" t="n"/>
    </row>
    <row r="469">
      <c r="A469" s="1" t="n"/>
      <c r="B469" s="24" t="n">
        <v>463</v>
      </c>
      <c r="C469" s="25" t="n"/>
      <c r="D469" s="26" t="n"/>
      <c r="E469" s="26" t="n"/>
      <c r="F469" s="26" t="n"/>
      <c r="G469" s="27">
        <f>IF(F469="","",IFERROR(INDEX(Catalogue!$C$7:$C$19,MATCH(F469,Catalogue!$B$7:$B$19,0)),"#N/A"))</f>
        <v/>
      </c>
      <c r="H469" s="28" t="n"/>
      <c r="I469" s="29">
        <f>IF(OR(F469="",H469=""),"",IFERROR(H469*INDEX(Catalogue!$G$7:$G$19,MATCH(F469,Catalogue!$B$7:$B$19,0)),"#N/A"))</f>
        <v/>
      </c>
      <c r="J469" s="30">
        <f>IF(ISNUMBER(I469),I469-K469,"")</f>
        <v/>
      </c>
      <c r="K469" s="31">
        <f>IF(OR(F469="",H469=""),"",IFERROR(H469*INDEX(Catalogue!$F$7:$F$19,MATCH(F469,Catalogue!$B$7:$B$19,0)),"#N/A"))</f>
        <v/>
      </c>
      <c r="L469" s="31">
        <f>IF(ISNUMBER(J469),J469*IFERROR(INDEX(Paramètres!$C$7:$C$12,MATCH(INDEX(Effectif!$D$7:$D$21,MATCH(D469,Effectif!$C$7:$C$21,0)),Paramètres!$B$7:$B$12,0)),0),"")</f>
        <v/>
      </c>
      <c r="M469" s="1" t="n"/>
    </row>
    <row r="470">
      <c r="A470" s="1" t="n"/>
      <c r="B470" s="24" t="n">
        <v>464</v>
      </c>
      <c r="C470" s="25" t="n"/>
      <c r="D470" s="26" t="n"/>
      <c r="E470" s="26" t="n"/>
      <c r="F470" s="26" t="n"/>
      <c r="G470" s="27">
        <f>IF(F470="","",IFERROR(INDEX(Catalogue!$C$7:$C$19,MATCH(F470,Catalogue!$B$7:$B$19,0)),"#N/A"))</f>
        <v/>
      </c>
      <c r="H470" s="28" t="n"/>
      <c r="I470" s="29">
        <f>IF(OR(F470="",H470=""),"",IFERROR(H470*INDEX(Catalogue!$G$7:$G$19,MATCH(F470,Catalogue!$B$7:$B$19,0)),"#N/A"))</f>
        <v/>
      </c>
      <c r="J470" s="30">
        <f>IF(ISNUMBER(I470),I470-K470,"")</f>
        <v/>
      </c>
      <c r="K470" s="31">
        <f>IF(OR(F470="",H470=""),"",IFERROR(H470*INDEX(Catalogue!$F$7:$F$19,MATCH(F470,Catalogue!$B$7:$B$19,0)),"#N/A"))</f>
        <v/>
      </c>
      <c r="L470" s="31">
        <f>IF(ISNUMBER(J470),J470*IFERROR(INDEX(Paramètres!$C$7:$C$12,MATCH(INDEX(Effectif!$D$7:$D$21,MATCH(D470,Effectif!$C$7:$C$21,0)),Paramètres!$B$7:$B$12,0)),0),"")</f>
        <v/>
      </c>
      <c r="M470" s="1" t="n"/>
    </row>
    <row r="471">
      <c r="A471" s="1" t="n"/>
      <c r="B471" s="24" t="n">
        <v>465</v>
      </c>
      <c r="C471" s="25" t="n"/>
      <c r="D471" s="26" t="n"/>
      <c r="E471" s="26" t="n"/>
      <c r="F471" s="26" t="n"/>
      <c r="G471" s="27">
        <f>IF(F471="","",IFERROR(INDEX(Catalogue!$C$7:$C$19,MATCH(F471,Catalogue!$B$7:$B$19,0)),"#N/A"))</f>
        <v/>
      </c>
      <c r="H471" s="28" t="n"/>
      <c r="I471" s="29">
        <f>IF(OR(F471="",H471=""),"",IFERROR(H471*INDEX(Catalogue!$G$7:$G$19,MATCH(F471,Catalogue!$B$7:$B$19,0)),"#N/A"))</f>
        <v/>
      </c>
      <c r="J471" s="30">
        <f>IF(ISNUMBER(I471),I471-K471,"")</f>
        <v/>
      </c>
      <c r="K471" s="31">
        <f>IF(OR(F471="",H471=""),"",IFERROR(H471*INDEX(Catalogue!$F$7:$F$19,MATCH(F471,Catalogue!$B$7:$B$19,0)),"#N/A"))</f>
        <v/>
      </c>
      <c r="L471" s="31">
        <f>IF(ISNUMBER(J471),J471*IFERROR(INDEX(Paramètres!$C$7:$C$12,MATCH(INDEX(Effectif!$D$7:$D$21,MATCH(D471,Effectif!$C$7:$C$21,0)),Paramètres!$B$7:$B$12,0)),0),"")</f>
        <v/>
      </c>
      <c r="M471" s="1" t="n"/>
    </row>
    <row r="472">
      <c r="A472" s="1" t="n"/>
      <c r="B472" s="24" t="n">
        <v>466</v>
      </c>
      <c r="C472" s="25" t="n"/>
      <c r="D472" s="26" t="n"/>
      <c r="E472" s="26" t="n"/>
      <c r="F472" s="26" t="n"/>
      <c r="G472" s="27">
        <f>IF(F472="","",IFERROR(INDEX(Catalogue!$C$7:$C$19,MATCH(F472,Catalogue!$B$7:$B$19,0)),"#N/A"))</f>
        <v/>
      </c>
      <c r="H472" s="28" t="n"/>
      <c r="I472" s="29">
        <f>IF(OR(F472="",H472=""),"",IFERROR(H472*INDEX(Catalogue!$G$7:$G$19,MATCH(F472,Catalogue!$B$7:$B$19,0)),"#N/A"))</f>
        <v/>
      </c>
      <c r="J472" s="30">
        <f>IF(ISNUMBER(I472),I472-K472,"")</f>
        <v/>
      </c>
      <c r="K472" s="31">
        <f>IF(OR(F472="",H472=""),"",IFERROR(H472*INDEX(Catalogue!$F$7:$F$19,MATCH(F472,Catalogue!$B$7:$B$19,0)),"#N/A"))</f>
        <v/>
      </c>
      <c r="L472" s="31">
        <f>IF(ISNUMBER(J472),J472*IFERROR(INDEX(Paramètres!$C$7:$C$12,MATCH(INDEX(Effectif!$D$7:$D$21,MATCH(D472,Effectif!$C$7:$C$21,0)),Paramètres!$B$7:$B$12,0)),0),"")</f>
        <v/>
      </c>
      <c r="M472" s="1" t="n"/>
    </row>
    <row r="473">
      <c r="A473" s="1" t="n"/>
      <c r="B473" s="24" t="n">
        <v>467</v>
      </c>
      <c r="C473" s="25" t="n"/>
      <c r="D473" s="26" t="n"/>
      <c r="E473" s="26" t="n"/>
      <c r="F473" s="26" t="n"/>
      <c r="G473" s="27">
        <f>IF(F473="","",IFERROR(INDEX(Catalogue!$C$7:$C$19,MATCH(F473,Catalogue!$B$7:$B$19,0)),"#N/A"))</f>
        <v/>
      </c>
      <c r="H473" s="28" t="n"/>
      <c r="I473" s="29">
        <f>IF(OR(F473="",H473=""),"",IFERROR(H473*INDEX(Catalogue!$G$7:$G$19,MATCH(F473,Catalogue!$B$7:$B$19,0)),"#N/A"))</f>
        <v/>
      </c>
      <c r="J473" s="30">
        <f>IF(ISNUMBER(I473),I473-K473,"")</f>
        <v/>
      </c>
      <c r="K473" s="31">
        <f>IF(OR(F473="",H473=""),"",IFERROR(H473*INDEX(Catalogue!$F$7:$F$19,MATCH(F473,Catalogue!$B$7:$B$19,0)),"#N/A"))</f>
        <v/>
      </c>
      <c r="L473" s="31">
        <f>IF(ISNUMBER(J473),J473*IFERROR(INDEX(Paramètres!$C$7:$C$12,MATCH(INDEX(Effectif!$D$7:$D$21,MATCH(D473,Effectif!$C$7:$C$21,0)),Paramètres!$B$7:$B$12,0)),0),"")</f>
        <v/>
      </c>
      <c r="M473" s="1" t="n"/>
    </row>
    <row r="474">
      <c r="A474" s="1" t="n"/>
      <c r="B474" s="24" t="n">
        <v>468</v>
      </c>
      <c r="C474" s="25" t="n"/>
      <c r="D474" s="26" t="n"/>
      <c r="E474" s="26" t="n"/>
      <c r="F474" s="26" t="n"/>
      <c r="G474" s="27">
        <f>IF(F474="","",IFERROR(INDEX(Catalogue!$C$7:$C$19,MATCH(F474,Catalogue!$B$7:$B$19,0)),"#N/A"))</f>
        <v/>
      </c>
      <c r="H474" s="28" t="n"/>
      <c r="I474" s="29">
        <f>IF(OR(F474="",H474=""),"",IFERROR(H474*INDEX(Catalogue!$G$7:$G$19,MATCH(F474,Catalogue!$B$7:$B$19,0)),"#N/A"))</f>
        <v/>
      </c>
      <c r="J474" s="30">
        <f>IF(ISNUMBER(I474),I474-K474,"")</f>
        <v/>
      </c>
      <c r="K474" s="31">
        <f>IF(OR(F474="",H474=""),"",IFERROR(H474*INDEX(Catalogue!$F$7:$F$19,MATCH(F474,Catalogue!$B$7:$B$19,0)),"#N/A"))</f>
        <v/>
      </c>
      <c r="L474" s="31">
        <f>IF(ISNUMBER(J474),J474*IFERROR(INDEX(Paramètres!$C$7:$C$12,MATCH(INDEX(Effectif!$D$7:$D$21,MATCH(D474,Effectif!$C$7:$C$21,0)),Paramètres!$B$7:$B$12,0)),0),"")</f>
        <v/>
      </c>
      <c r="M474" s="1" t="n"/>
    </row>
    <row r="475">
      <c r="A475" s="1" t="n"/>
      <c r="B475" s="24" t="n">
        <v>469</v>
      </c>
      <c r="C475" s="25" t="n"/>
      <c r="D475" s="26" t="n"/>
      <c r="E475" s="26" t="n"/>
      <c r="F475" s="26" t="n"/>
      <c r="G475" s="27">
        <f>IF(F475="","",IFERROR(INDEX(Catalogue!$C$7:$C$19,MATCH(F475,Catalogue!$B$7:$B$19,0)),"#N/A"))</f>
        <v/>
      </c>
      <c r="H475" s="28" t="n"/>
      <c r="I475" s="29">
        <f>IF(OR(F475="",H475=""),"",IFERROR(H475*INDEX(Catalogue!$G$7:$G$19,MATCH(F475,Catalogue!$B$7:$B$19,0)),"#N/A"))</f>
        <v/>
      </c>
      <c r="J475" s="30">
        <f>IF(ISNUMBER(I475),I475-K475,"")</f>
        <v/>
      </c>
      <c r="K475" s="31">
        <f>IF(OR(F475="",H475=""),"",IFERROR(H475*INDEX(Catalogue!$F$7:$F$19,MATCH(F475,Catalogue!$B$7:$B$19,0)),"#N/A"))</f>
        <v/>
      </c>
      <c r="L475" s="31">
        <f>IF(ISNUMBER(J475),J475*IFERROR(INDEX(Paramètres!$C$7:$C$12,MATCH(INDEX(Effectif!$D$7:$D$21,MATCH(D475,Effectif!$C$7:$C$21,0)),Paramètres!$B$7:$B$12,0)),0),"")</f>
        <v/>
      </c>
      <c r="M475" s="1" t="n"/>
    </row>
    <row r="476">
      <c r="A476" s="1" t="n"/>
      <c r="B476" s="24" t="n">
        <v>470</v>
      </c>
      <c r="C476" s="25" t="n"/>
      <c r="D476" s="26" t="n"/>
      <c r="E476" s="26" t="n"/>
      <c r="F476" s="26" t="n"/>
      <c r="G476" s="27">
        <f>IF(F476="","",IFERROR(INDEX(Catalogue!$C$7:$C$19,MATCH(F476,Catalogue!$B$7:$B$19,0)),"#N/A"))</f>
        <v/>
      </c>
      <c r="H476" s="28" t="n"/>
      <c r="I476" s="29">
        <f>IF(OR(F476="",H476=""),"",IFERROR(H476*INDEX(Catalogue!$G$7:$G$19,MATCH(F476,Catalogue!$B$7:$B$19,0)),"#N/A"))</f>
        <v/>
      </c>
      <c r="J476" s="30">
        <f>IF(ISNUMBER(I476),I476-K476,"")</f>
        <v/>
      </c>
      <c r="K476" s="31">
        <f>IF(OR(F476="",H476=""),"",IFERROR(H476*INDEX(Catalogue!$F$7:$F$19,MATCH(F476,Catalogue!$B$7:$B$19,0)),"#N/A"))</f>
        <v/>
      </c>
      <c r="L476" s="31">
        <f>IF(ISNUMBER(J476),J476*IFERROR(INDEX(Paramètres!$C$7:$C$12,MATCH(INDEX(Effectif!$D$7:$D$21,MATCH(D476,Effectif!$C$7:$C$21,0)),Paramètres!$B$7:$B$12,0)),0),"")</f>
        <v/>
      </c>
      <c r="M476" s="1" t="n"/>
    </row>
    <row r="477">
      <c r="A477" s="1" t="n"/>
      <c r="B477" s="24" t="n">
        <v>471</v>
      </c>
      <c r="C477" s="25" t="n"/>
      <c r="D477" s="26" t="n"/>
      <c r="E477" s="26" t="n"/>
      <c r="F477" s="26" t="n"/>
      <c r="G477" s="27">
        <f>IF(F477="","",IFERROR(INDEX(Catalogue!$C$7:$C$19,MATCH(F477,Catalogue!$B$7:$B$19,0)),"#N/A"))</f>
        <v/>
      </c>
      <c r="H477" s="28" t="n"/>
      <c r="I477" s="29">
        <f>IF(OR(F477="",H477=""),"",IFERROR(H477*INDEX(Catalogue!$G$7:$G$19,MATCH(F477,Catalogue!$B$7:$B$19,0)),"#N/A"))</f>
        <v/>
      </c>
      <c r="J477" s="30">
        <f>IF(ISNUMBER(I477),I477-K477,"")</f>
        <v/>
      </c>
      <c r="K477" s="31">
        <f>IF(OR(F477="",H477=""),"",IFERROR(H477*INDEX(Catalogue!$F$7:$F$19,MATCH(F477,Catalogue!$B$7:$B$19,0)),"#N/A"))</f>
        <v/>
      </c>
      <c r="L477" s="31">
        <f>IF(ISNUMBER(J477),J477*IFERROR(INDEX(Paramètres!$C$7:$C$12,MATCH(INDEX(Effectif!$D$7:$D$21,MATCH(D477,Effectif!$C$7:$C$21,0)),Paramètres!$B$7:$B$12,0)),0),"")</f>
        <v/>
      </c>
      <c r="M477" s="1" t="n"/>
    </row>
    <row r="478">
      <c r="A478" s="1" t="n"/>
      <c r="B478" s="24" t="n">
        <v>472</v>
      </c>
      <c r="C478" s="25" t="n"/>
      <c r="D478" s="26" t="n"/>
      <c r="E478" s="26" t="n"/>
      <c r="F478" s="26" t="n"/>
      <c r="G478" s="27">
        <f>IF(F478="","",IFERROR(INDEX(Catalogue!$C$7:$C$19,MATCH(F478,Catalogue!$B$7:$B$19,0)),"#N/A"))</f>
        <v/>
      </c>
      <c r="H478" s="28" t="n"/>
      <c r="I478" s="29">
        <f>IF(OR(F478="",H478=""),"",IFERROR(H478*INDEX(Catalogue!$G$7:$G$19,MATCH(F478,Catalogue!$B$7:$B$19,0)),"#N/A"))</f>
        <v/>
      </c>
      <c r="J478" s="30">
        <f>IF(ISNUMBER(I478),I478-K478,"")</f>
        <v/>
      </c>
      <c r="K478" s="31">
        <f>IF(OR(F478="",H478=""),"",IFERROR(H478*INDEX(Catalogue!$F$7:$F$19,MATCH(F478,Catalogue!$B$7:$B$19,0)),"#N/A"))</f>
        <v/>
      </c>
      <c r="L478" s="31">
        <f>IF(ISNUMBER(J478),J478*IFERROR(INDEX(Paramètres!$C$7:$C$12,MATCH(INDEX(Effectif!$D$7:$D$21,MATCH(D478,Effectif!$C$7:$C$21,0)),Paramètres!$B$7:$B$12,0)),0),"")</f>
        <v/>
      </c>
      <c r="M478" s="1" t="n"/>
    </row>
    <row r="479">
      <c r="A479" s="1" t="n"/>
      <c r="B479" s="24" t="n">
        <v>473</v>
      </c>
      <c r="C479" s="25" t="n"/>
      <c r="D479" s="26" t="n"/>
      <c r="E479" s="26" t="n"/>
      <c r="F479" s="26" t="n"/>
      <c r="G479" s="27">
        <f>IF(F479="","",IFERROR(INDEX(Catalogue!$C$7:$C$19,MATCH(F479,Catalogue!$B$7:$B$19,0)),"#N/A"))</f>
        <v/>
      </c>
      <c r="H479" s="28" t="n"/>
      <c r="I479" s="29">
        <f>IF(OR(F479="",H479=""),"",IFERROR(H479*INDEX(Catalogue!$G$7:$G$19,MATCH(F479,Catalogue!$B$7:$B$19,0)),"#N/A"))</f>
        <v/>
      </c>
      <c r="J479" s="30">
        <f>IF(ISNUMBER(I479),I479-K479,"")</f>
        <v/>
      </c>
      <c r="K479" s="31">
        <f>IF(OR(F479="",H479=""),"",IFERROR(H479*INDEX(Catalogue!$F$7:$F$19,MATCH(F479,Catalogue!$B$7:$B$19,0)),"#N/A"))</f>
        <v/>
      </c>
      <c r="L479" s="31">
        <f>IF(ISNUMBER(J479),J479*IFERROR(INDEX(Paramètres!$C$7:$C$12,MATCH(INDEX(Effectif!$D$7:$D$21,MATCH(D479,Effectif!$C$7:$C$21,0)),Paramètres!$B$7:$B$12,0)),0),"")</f>
        <v/>
      </c>
      <c r="M479" s="1" t="n"/>
    </row>
    <row r="480">
      <c r="A480" s="1" t="n"/>
      <c r="B480" s="24" t="n">
        <v>474</v>
      </c>
      <c r="C480" s="25" t="n"/>
      <c r="D480" s="26" t="n"/>
      <c r="E480" s="26" t="n"/>
      <c r="F480" s="26" t="n"/>
      <c r="G480" s="27">
        <f>IF(F480="","",IFERROR(INDEX(Catalogue!$C$7:$C$19,MATCH(F480,Catalogue!$B$7:$B$19,0)),"#N/A"))</f>
        <v/>
      </c>
      <c r="H480" s="28" t="n"/>
      <c r="I480" s="29">
        <f>IF(OR(F480="",H480=""),"",IFERROR(H480*INDEX(Catalogue!$G$7:$G$19,MATCH(F480,Catalogue!$B$7:$B$19,0)),"#N/A"))</f>
        <v/>
      </c>
      <c r="J480" s="30">
        <f>IF(ISNUMBER(I480),I480-K480,"")</f>
        <v/>
      </c>
      <c r="K480" s="31">
        <f>IF(OR(F480="",H480=""),"",IFERROR(H480*INDEX(Catalogue!$F$7:$F$19,MATCH(F480,Catalogue!$B$7:$B$19,0)),"#N/A"))</f>
        <v/>
      </c>
      <c r="L480" s="31">
        <f>IF(ISNUMBER(J480),J480*IFERROR(INDEX(Paramètres!$C$7:$C$12,MATCH(INDEX(Effectif!$D$7:$D$21,MATCH(D480,Effectif!$C$7:$C$21,0)),Paramètres!$B$7:$B$12,0)),0),"")</f>
        <v/>
      </c>
      <c r="M480" s="1" t="n"/>
    </row>
    <row r="481">
      <c r="A481" s="1" t="n"/>
      <c r="B481" s="24" t="n">
        <v>475</v>
      </c>
      <c r="C481" s="25" t="n"/>
      <c r="D481" s="26" t="n"/>
      <c r="E481" s="26" t="n"/>
      <c r="F481" s="26" t="n"/>
      <c r="G481" s="27">
        <f>IF(F481="","",IFERROR(INDEX(Catalogue!$C$7:$C$19,MATCH(F481,Catalogue!$B$7:$B$19,0)),"#N/A"))</f>
        <v/>
      </c>
      <c r="H481" s="28" t="n"/>
      <c r="I481" s="29">
        <f>IF(OR(F481="",H481=""),"",IFERROR(H481*INDEX(Catalogue!$G$7:$G$19,MATCH(F481,Catalogue!$B$7:$B$19,0)),"#N/A"))</f>
        <v/>
      </c>
      <c r="J481" s="30">
        <f>IF(ISNUMBER(I481),I481-K481,"")</f>
        <v/>
      </c>
      <c r="K481" s="31">
        <f>IF(OR(F481="",H481=""),"",IFERROR(H481*INDEX(Catalogue!$F$7:$F$19,MATCH(F481,Catalogue!$B$7:$B$19,0)),"#N/A"))</f>
        <v/>
      </c>
      <c r="L481" s="31">
        <f>IF(ISNUMBER(J481),J481*IFERROR(INDEX(Paramètres!$C$7:$C$12,MATCH(INDEX(Effectif!$D$7:$D$21,MATCH(D481,Effectif!$C$7:$C$21,0)),Paramètres!$B$7:$B$12,0)),0),"")</f>
        <v/>
      </c>
      <c r="M481" s="1" t="n"/>
    </row>
    <row r="482">
      <c r="A482" s="1" t="n"/>
      <c r="B482" s="24" t="n">
        <v>476</v>
      </c>
      <c r="C482" s="25" t="n"/>
      <c r="D482" s="26" t="n"/>
      <c r="E482" s="26" t="n"/>
      <c r="F482" s="26" t="n"/>
      <c r="G482" s="27">
        <f>IF(F482="","",IFERROR(INDEX(Catalogue!$C$7:$C$19,MATCH(F482,Catalogue!$B$7:$B$19,0)),"#N/A"))</f>
        <v/>
      </c>
      <c r="H482" s="28" t="n"/>
      <c r="I482" s="29">
        <f>IF(OR(F482="",H482=""),"",IFERROR(H482*INDEX(Catalogue!$G$7:$G$19,MATCH(F482,Catalogue!$B$7:$B$19,0)),"#N/A"))</f>
        <v/>
      </c>
      <c r="J482" s="30">
        <f>IF(ISNUMBER(I482),I482-K482,"")</f>
        <v/>
      </c>
      <c r="K482" s="31">
        <f>IF(OR(F482="",H482=""),"",IFERROR(H482*INDEX(Catalogue!$F$7:$F$19,MATCH(F482,Catalogue!$B$7:$B$19,0)),"#N/A"))</f>
        <v/>
      </c>
      <c r="L482" s="31">
        <f>IF(ISNUMBER(J482),J482*IFERROR(INDEX(Paramètres!$C$7:$C$12,MATCH(INDEX(Effectif!$D$7:$D$21,MATCH(D482,Effectif!$C$7:$C$21,0)),Paramètres!$B$7:$B$12,0)),0),"")</f>
        <v/>
      </c>
      <c r="M482" s="1" t="n"/>
    </row>
    <row r="483">
      <c r="A483" s="1" t="n"/>
      <c r="B483" s="24" t="n">
        <v>477</v>
      </c>
      <c r="C483" s="25" t="n"/>
      <c r="D483" s="26" t="n"/>
      <c r="E483" s="26" t="n"/>
      <c r="F483" s="26" t="n"/>
      <c r="G483" s="27">
        <f>IF(F483="","",IFERROR(INDEX(Catalogue!$C$7:$C$19,MATCH(F483,Catalogue!$B$7:$B$19,0)),"#N/A"))</f>
        <v/>
      </c>
      <c r="H483" s="28" t="n"/>
      <c r="I483" s="29">
        <f>IF(OR(F483="",H483=""),"",IFERROR(H483*INDEX(Catalogue!$G$7:$G$19,MATCH(F483,Catalogue!$B$7:$B$19,0)),"#N/A"))</f>
        <v/>
      </c>
      <c r="J483" s="30">
        <f>IF(ISNUMBER(I483),I483-K483,"")</f>
        <v/>
      </c>
      <c r="K483" s="31">
        <f>IF(OR(F483="",H483=""),"",IFERROR(H483*INDEX(Catalogue!$F$7:$F$19,MATCH(F483,Catalogue!$B$7:$B$19,0)),"#N/A"))</f>
        <v/>
      </c>
      <c r="L483" s="31">
        <f>IF(ISNUMBER(J483),J483*IFERROR(INDEX(Paramètres!$C$7:$C$12,MATCH(INDEX(Effectif!$D$7:$D$21,MATCH(D483,Effectif!$C$7:$C$21,0)),Paramètres!$B$7:$B$12,0)),0),"")</f>
        <v/>
      </c>
      <c r="M483" s="1" t="n"/>
    </row>
    <row r="484">
      <c r="A484" s="1" t="n"/>
      <c r="B484" s="24" t="n">
        <v>478</v>
      </c>
      <c r="C484" s="25" t="n"/>
      <c r="D484" s="26" t="n"/>
      <c r="E484" s="26" t="n"/>
      <c r="F484" s="26" t="n"/>
      <c r="G484" s="27">
        <f>IF(F484="","",IFERROR(INDEX(Catalogue!$C$7:$C$19,MATCH(F484,Catalogue!$B$7:$B$19,0)),"#N/A"))</f>
        <v/>
      </c>
      <c r="H484" s="28" t="n"/>
      <c r="I484" s="29">
        <f>IF(OR(F484="",H484=""),"",IFERROR(H484*INDEX(Catalogue!$G$7:$G$19,MATCH(F484,Catalogue!$B$7:$B$19,0)),"#N/A"))</f>
        <v/>
      </c>
      <c r="J484" s="30">
        <f>IF(ISNUMBER(I484),I484-K484,"")</f>
        <v/>
      </c>
      <c r="K484" s="31">
        <f>IF(OR(F484="",H484=""),"",IFERROR(H484*INDEX(Catalogue!$F$7:$F$19,MATCH(F484,Catalogue!$B$7:$B$19,0)),"#N/A"))</f>
        <v/>
      </c>
      <c r="L484" s="31">
        <f>IF(ISNUMBER(J484),J484*IFERROR(INDEX(Paramètres!$C$7:$C$12,MATCH(INDEX(Effectif!$D$7:$D$21,MATCH(D484,Effectif!$C$7:$C$21,0)),Paramètres!$B$7:$B$12,0)),0),"")</f>
        <v/>
      </c>
      <c r="M484" s="1" t="n"/>
    </row>
    <row r="485">
      <c r="A485" s="1" t="n"/>
      <c r="B485" s="24" t="n">
        <v>479</v>
      </c>
      <c r="C485" s="25" t="n"/>
      <c r="D485" s="26" t="n"/>
      <c r="E485" s="26" t="n"/>
      <c r="F485" s="26" t="n"/>
      <c r="G485" s="27">
        <f>IF(F485="","",IFERROR(INDEX(Catalogue!$C$7:$C$19,MATCH(F485,Catalogue!$B$7:$B$19,0)),"#N/A"))</f>
        <v/>
      </c>
      <c r="H485" s="28" t="n"/>
      <c r="I485" s="29">
        <f>IF(OR(F485="",H485=""),"",IFERROR(H485*INDEX(Catalogue!$G$7:$G$19,MATCH(F485,Catalogue!$B$7:$B$19,0)),"#N/A"))</f>
        <v/>
      </c>
      <c r="J485" s="30">
        <f>IF(ISNUMBER(I485),I485-K485,"")</f>
        <v/>
      </c>
      <c r="K485" s="31">
        <f>IF(OR(F485="",H485=""),"",IFERROR(H485*INDEX(Catalogue!$F$7:$F$19,MATCH(F485,Catalogue!$B$7:$B$19,0)),"#N/A"))</f>
        <v/>
      </c>
      <c r="L485" s="31">
        <f>IF(ISNUMBER(J485),J485*IFERROR(INDEX(Paramètres!$C$7:$C$12,MATCH(INDEX(Effectif!$D$7:$D$21,MATCH(D485,Effectif!$C$7:$C$21,0)),Paramètres!$B$7:$B$12,0)),0),"")</f>
        <v/>
      </c>
      <c r="M485" s="1" t="n"/>
    </row>
    <row r="486">
      <c r="A486" s="1" t="n"/>
      <c r="B486" s="24" t="n">
        <v>480</v>
      </c>
      <c r="C486" s="25" t="n"/>
      <c r="D486" s="26" t="n"/>
      <c r="E486" s="26" t="n"/>
      <c r="F486" s="26" t="n"/>
      <c r="G486" s="27">
        <f>IF(F486="","",IFERROR(INDEX(Catalogue!$C$7:$C$19,MATCH(F486,Catalogue!$B$7:$B$19,0)),"#N/A"))</f>
        <v/>
      </c>
      <c r="H486" s="28" t="n"/>
      <c r="I486" s="29">
        <f>IF(OR(F486="",H486=""),"",IFERROR(H486*INDEX(Catalogue!$G$7:$G$19,MATCH(F486,Catalogue!$B$7:$B$19,0)),"#N/A"))</f>
        <v/>
      </c>
      <c r="J486" s="30">
        <f>IF(ISNUMBER(I486),I486-K486,"")</f>
        <v/>
      </c>
      <c r="K486" s="31">
        <f>IF(OR(F486="",H486=""),"",IFERROR(H486*INDEX(Catalogue!$F$7:$F$19,MATCH(F486,Catalogue!$B$7:$B$19,0)),"#N/A"))</f>
        <v/>
      </c>
      <c r="L486" s="31">
        <f>IF(ISNUMBER(J486),J486*IFERROR(INDEX(Paramètres!$C$7:$C$12,MATCH(INDEX(Effectif!$D$7:$D$21,MATCH(D486,Effectif!$C$7:$C$21,0)),Paramètres!$B$7:$B$12,0)),0),"")</f>
        <v/>
      </c>
      <c r="M486" s="1" t="n"/>
    </row>
    <row r="487">
      <c r="A487" s="1" t="n"/>
      <c r="B487" s="24" t="n">
        <v>481</v>
      </c>
      <c r="C487" s="25" t="n"/>
      <c r="D487" s="26" t="n"/>
      <c r="E487" s="26" t="n"/>
      <c r="F487" s="26" t="n"/>
      <c r="G487" s="27">
        <f>IF(F487="","",IFERROR(INDEX(Catalogue!$C$7:$C$19,MATCH(F487,Catalogue!$B$7:$B$19,0)),"#N/A"))</f>
        <v/>
      </c>
      <c r="H487" s="28" t="n"/>
      <c r="I487" s="29">
        <f>IF(OR(F487="",H487=""),"",IFERROR(H487*INDEX(Catalogue!$G$7:$G$19,MATCH(F487,Catalogue!$B$7:$B$19,0)),"#N/A"))</f>
        <v/>
      </c>
      <c r="J487" s="30">
        <f>IF(ISNUMBER(I487),I487-K487,"")</f>
        <v/>
      </c>
      <c r="K487" s="31">
        <f>IF(OR(F487="",H487=""),"",IFERROR(H487*INDEX(Catalogue!$F$7:$F$19,MATCH(F487,Catalogue!$B$7:$B$19,0)),"#N/A"))</f>
        <v/>
      </c>
      <c r="L487" s="31">
        <f>IF(ISNUMBER(J487),J487*IFERROR(INDEX(Paramètres!$C$7:$C$12,MATCH(INDEX(Effectif!$D$7:$D$21,MATCH(D487,Effectif!$C$7:$C$21,0)),Paramètres!$B$7:$B$12,0)),0),"")</f>
        <v/>
      </c>
      <c r="M487" s="1" t="n"/>
    </row>
    <row r="488">
      <c r="A488" s="1" t="n"/>
      <c r="B488" s="24" t="n">
        <v>482</v>
      </c>
      <c r="C488" s="25" t="n"/>
      <c r="D488" s="26" t="n"/>
      <c r="E488" s="26" t="n"/>
      <c r="F488" s="26" t="n"/>
      <c r="G488" s="27">
        <f>IF(F488="","",IFERROR(INDEX(Catalogue!$C$7:$C$19,MATCH(F488,Catalogue!$B$7:$B$19,0)),"#N/A"))</f>
        <v/>
      </c>
      <c r="H488" s="28" t="n"/>
      <c r="I488" s="29">
        <f>IF(OR(F488="",H488=""),"",IFERROR(H488*INDEX(Catalogue!$G$7:$G$19,MATCH(F488,Catalogue!$B$7:$B$19,0)),"#N/A"))</f>
        <v/>
      </c>
      <c r="J488" s="30">
        <f>IF(ISNUMBER(I488),I488-K488,"")</f>
        <v/>
      </c>
      <c r="K488" s="31">
        <f>IF(OR(F488="",H488=""),"",IFERROR(H488*INDEX(Catalogue!$F$7:$F$19,MATCH(F488,Catalogue!$B$7:$B$19,0)),"#N/A"))</f>
        <v/>
      </c>
      <c r="L488" s="31">
        <f>IF(ISNUMBER(J488),J488*IFERROR(INDEX(Paramètres!$C$7:$C$12,MATCH(INDEX(Effectif!$D$7:$D$21,MATCH(D488,Effectif!$C$7:$C$21,0)),Paramètres!$B$7:$B$12,0)),0),"")</f>
        <v/>
      </c>
      <c r="M488" s="1" t="n"/>
    </row>
    <row r="489">
      <c r="A489" s="1" t="n"/>
      <c r="B489" s="24" t="n">
        <v>483</v>
      </c>
      <c r="C489" s="25" t="n"/>
      <c r="D489" s="26" t="n"/>
      <c r="E489" s="26" t="n"/>
      <c r="F489" s="26" t="n"/>
      <c r="G489" s="27">
        <f>IF(F489="","",IFERROR(INDEX(Catalogue!$C$7:$C$19,MATCH(F489,Catalogue!$B$7:$B$19,0)),"#N/A"))</f>
        <v/>
      </c>
      <c r="H489" s="28" t="n"/>
      <c r="I489" s="29">
        <f>IF(OR(F489="",H489=""),"",IFERROR(H489*INDEX(Catalogue!$G$7:$G$19,MATCH(F489,Catalogue!$B$7:$B$19,0)),"#N/A"))</f>
        <v/>
      </c>
      <c r="J489" s="30">
        <f>IF(ISNUMBER(I489),I489-K489,"")</f>
        <v/>
      </c>
      <c r="K489" s="31">
        <f>IF(OR(F489="",H489=""),"",IFERROR(H489*INDEX(Catalogue!$F$7:$F$19,MATCH(F489,Catalogue!$B$7:$B$19,0)),"#N/A"))</f>
        <v/>
      </c>
      <c r="L489" s="31">
        <f>IF(ISNUMBER(J489),J489*IFERROR(INDEX(Paramètres!$C$7:$C$12,MATCH(INDEX(Effectif!$D$7:$D$21,MATCH(D489,Effectif!$C$7:$C$21,0)),Paramètres!$B$7:$B$12,0)),0),"")</f>
        <v/>
      </c>
      <c r="M489" s="1" t="n"/>
    </row>
    <row r="490">
      <c r="A490" s="1" t="n"/>
      <c r="B490" s="24" t="n">
        <v>484</v>
      </c>
      <c r="C490" s="25" t="n"/>
      <c r="D490" s="26" t="n"/>
      <c r="E490" s="26" t="n"/>
      <c r="F490" s="26" t="n"/>
      <c r="G490" s="27">
        <f>IF(F490="","",IFERROR(INDEX(Catalogue!$C$7:$C$19,MATCH(F490,Catalogue!$B$7:$B$19,0)),"#N/A"))</f>
        <v/>
      </c>
      <c r="H490" s="28" t="n"/>
      <c r="I490" s="29">
        <f>IF(OR(F490="",H490=""),"",IFERROR(H490*INDEX(Catalogue!$G$7:$G$19,MATCH(F490,Catalogue!$B$7:$B$19,0)),"#N/A"))</f>
        <v/>
      </c>
      <c r="J490" s="30">
        <f>IF(ISNUMBER(I490),I490-K490,"")</f>
        <v/>
      </c>
      <c r="K490" s="31">
        <f>IF(OR(F490="",H490=""),"",IFERROR(H490*INDEX(Catalogue!$F$7:$F$19,MATCH(F490,Catalogue!$B$7:$B$19,0)),"#N/A"))</f>
        <v/>
      </c>
      <c r="L490" s="31">
        <f>IF(ISNUMBER(J490),J490*IFERROR(INDEX(Paramètres!$C$7:$C$12,MATCH(INDEX(Effectif!$D$7:$D$21,MATCH(D490,Effectif!$C$7:$C$21,0)),Paramètres!$B$7:$B$12,0)),0),"")</f>
        <v/>
      </c>
      <c r="M490" s="1" t="n"/>
    </row>
    <row r="491">
      <c r="A491" s="1" t="n"/>
      <c r="B491" s="24" t="n">
        <v>485</v>
      </c>
      <c r="C491" s="25" t="n"/>
      <c r="D491" s="26" t="n"/>
      <c r="E491" s="26" t="n"/>
      <c r="F491" s="26" t="n"/>
      <c r="G491" s="27">
        <f>IF(F491="","",IFERROR(INDEX(Catalogue!$C$7:$C$19,MATCH(F491,Catalogue!$B$7:$B$19,0)),"#N/A"))</f>
        <v/>
      </c>
      <c r="H491" s="28" t="n"/>
      <c r="I491" s="29">
        <f>IF(OR(F491="",H491=""),"",IFERROR(H491*INDEX(Catalogue!$G$7:$G$19,MATCH(F491,Catalogue!$B$7:$B$19,0)),"#N/A"))</f>
        <v/>
      </c>
      <c r="J491" s="30">
        <f>IF(ISNUMBER(I491),I491-K491,"")</f>
        <v/>
      </c>
      <c r="K491" s="31">
        <f>IF(OR(F491="",H491=""),"",IFERROR(H491*INDEX(Catalogue!$F$7:$F$19,MATCH(F491,Catalogue!$B$7:$B$19,0)),"#N/A"))</f>
        <v/>
      </c>
      <c r="L491" s="31">
        <f>IF(ISNUMBER(J491),J491*IFERROR(INDEX(Paramètres!$C$7:$C$12,MATCH(INDEX(Effectif!$D$7:$D$21,MATCH(D491,Effectif!$C$7:$C$21,0)),Paramètres!$B$7:$B$12,0)),0),"")</f>
        <v/>
      </c>
      <c r="M491" s="1" t="n"/>
    </row>
    <row r="492">
      <c r="A492" s="1" t="n"/>
      <c r="B492" s="24" t="n">
        <v>486</v>
      </c>
      <c r="C492" s="25" t="n"/>
      <c r="D492" s="26" t="n"/>
      <c r="E492" s="26" t="n"/>
      <c r="F492" s="26" t="n"/>
      <c r="G492" s="27">
        <f>IF(F492="","",IFERROR(INDEX(Catalogue!$C$7:$C$19,MATCH(F492,Catalogue!$B$7:$B$19,0)),"#N/A"))</f>
        <v/>
      </c>
      <c r="H492" s="28" t="n"/>
      <c r="I492" s="29">
        <f>IF(OR(F492="",H492=""),"",IFERROR(H492*INDEX(Catalogue!$G$7:$G$19,MATCH(F492,Catalogue!$B$7:$B$19,0)),"#N/A"))</f>
        <v/>
      </c>
      <c r="J492" s="30">
        <f>IF(ISNUMBER(I492),I492-K492,"")</f>
        <v/>
      </c>
      <c r="K492" s="31">
        <f>IF(OR(F492="",H492=""),"",IFERROR(H492*INDEX(Catalogue!$F$7:$F$19,MATCH(F492,Catalogue!$B$7:$B$19,0)),"#N/A"))</f>
        <v/>
      </c>
      <c r="L492" s="31">
        <f>IF(ISNUMBER(J492),J492*IFERROR(INDEX(Paramètres!$C$7:$C$12,MATCH(INDEX(Effectif!$D$7:$D$21,MATCH(D492,Effectif!$C$7:$C$21,0)),Paramètres!$B$7:$B$12,0)),0),"")</f>
        <v/>
      </c>
      <c r="M492" s="1" t="n"/>
    </row>
    <row r="493">
      <c r="A493" s="1" t="n"/>
      <c r="B493" s="24" t="n">
        <v>487</v>
      </c>
      <c r="C493" s="25" t="n"/>
      <c r="D493" s="26" t="n"/>
      <c r="E493" s="26" t="n"/>
      <c r="F493" s="26" t="n"/>
      <c r="G493" s="27">
        <f>IF(F493="","",IFERROR(INDEX(Catalogue!$C$7:$C$19,MATCH(F493,Catalogue!$B$7:$B$19,0)),"#N/A"))</f>
        <v/>
      </c>
      <c r="H493" s="28" t="n"/>
      <c r="I493" s="29">
        <f>IF(OR(F493="",H493=""),"",IFERROR(H493*INDEX(Catalogue!$G$7:$G$19,MATCH(F493,Catalogue!$B$7:$B$19,0)),"#N/A"))</f>
        <v/>
      </c>
      <c r="J493" s="30">
        <f>IF(ISNUMBER(I493),I493-K493,"")</f>
        <v/>
      </c>
      <c r="K493" s="31">
        <f>IF(OR(F493="",H493=""),"",IFERROR(H493*INDEX(Catalogue!$F$7:$F$19,MATCH(F493,Catalogue!$B$7:$B$19,0)),"#N/A"))</f>
        <v/>
      </c>
      <c r="L493" s="31">
        <f>IF(ISNUMBER(J493),J493*IFERROR(INDEX(Paramètres!$C$7:$C$12,MATCH(INDEX(Effectif!$D$7:$D$21,MATCH(D493,Effectif!$C$7:$C$21,0)),Paramètres!$B$7:$B$12,0)),0),"")</f>
        <v/>
      </c>
      <c r="M493" s="1" t="n"/>
    </row>
    <row r="494">
      <c r="A494" s="1" t="n"/>
      <c r="B494" s="24" t="n">
        <v>488</v>
      </c>
      <c r="C494" s="25" t="n"/>
      <c r="D494" s="26" t="n"/>
      <c r="E494" s="26" t="n"/>
      <c r="F494" s="26" t="n"/>
      <c r="G494" s="27">
        <f>IF(F494="","",IFERROR(INDEX(Catalogue!$C$7:$C$19,MATCH(F494,Catalogue!$B$7:$B$19,0)),"#N/A"))</f>
        <v/>
      </c>
      <c r="H494" s="28" t="n"/>
      <c r="I494" s="29">
        <f>IF(OR(F494="",H494=""),"",IFERROR(H494*INDEX(Catalogue!$G$7:$G$19,MATCH(F494,Catalogue!$B$7:$B$19,0)),"#N/A"))</f>
        <v/>
      </c>
      <c r="J494" s="30">
        <f>IF(ISNUMBER(I494),I494-K494,"")</f>
        <v/>
      </c>
      <c r="K494" s="31">
        <f>IF(OR(F494="",H494=""),"",IFERROR(H494*INDEX(Catalogue!$F$7:$F$19,MATCH(F494,Catalogue!$B$7:$B$19,0)),"#N/A"))</f>
        <v/>
      </c>
      <c r="L494" s="31">
        <f>IF(ISNUMBER(J494),J494*IFERROR(INDEX(Paramètres!$C$7:$C$12,MATCH(INDEX(Effectif!$D$7:$D$21,MATCH(D494,Effectif!$C$7:$C$21,0)),Paramètres!$B$7:$B$12,0)),0),"")</f>
        <v/>
      </c>
      <c r="M494" s="1" t="n"/>
    </row>
    <row r="495">
      <c r="A495" s="1" t="n"/>
      <c r="B495" s="24" t="n">
        <v>489</v>
      </c>
      <c r="C495" s="25" t="n"/>
      <c r="D495" s="26" t="n"/>
      <c r="E495" s="26" t="n"/>
      <c r="F495" s="26" t="n"/>
      <c r="G495" s="27">
        <f>IF(F495="","",IFERROR(INDEX(Catalogue!$C$7:$C$19,MATCH(F495,Catalogue!$B$7:$B$19,0)),"#N/A"))</f>
        <v/>
      </c>
      <c r="H495" s="28" t="n"/>
      <c r="I495" s="29">
        <f>IF(OR(F495="",H495=""),"",IFERROR(H495*INDEX(Catalogue!$G$7:$G$19,MATCH(F495,Catalogue!$B$7:$B$19,0)),"#N/A"))</f>
        <v/>
      </c>
      <c r="J495" s="30">
        <f>IF(ISNUMBER(I495),I495-K495,"")</f>
        <v/>
      </c>
      <c r="K495" s="31">
        <f>IF(OR(F495="",H495=""),"",IFERROR(H495*INDEX(Catalogue!$F$7:$F$19,MATCH(F495,Catalogue!$B$7:$B$19,0)),"#N/A"))</f>
        <v/>
      </c>
      <c r="L495" s="31">
        <f>IF(ISNUMBER(J495),J495*IFERROR(INDEX(Paramètres!$C$7:$C$12,MATCH(INDEX(Effectif!$D$7:$D$21,MATCH(D495,Effectif!$C$7:$C$21,0)),Paramètres!$B$7:$B$12,0)),0),"")</f>
        <v/>
      </c>
      <c r="M495" s="1" t="n"/>
    </row>
    <row r="496">
      <c r="A496" s="1" t="n"/>
      <c r="B496" s="24" t="n">
        <v>490</v>
      </c>
      <c r="C496" s="25" t="n"/>
      <c r="D496" s="26" t="n"/>
      <c r="E496" s="26" t="n"/>
      <c r="F496" s="26" t="n"/>
      <c r="G496" s="27">
        <f>IF(F496="","",IFERROR(INDEX(Catalogue!$C$7:$C$19,MATCH(F496,Catalogue!$B$7:$B$19,0)),"#N/A"))</f>
        <v/>
      </c>
      <c r="H496" s="28" t="n"/>
      <c r="I496" s="29">
        <f>IF(OR(F496="",H496=""),"",IFERROR(H496*INDEX(Catalogue!$G$7:$G$19,MATCH(F496,Catalogue!$B$7:$B$19,0)),"#N/A"))</f>
        <v/>
      </c>
      <c r="J496" s="30">
        <f>IF(ISNUMBER(I496),I496-K496,"")</f>
        <v/>
      </c>
      <c r="K496" s="31">
        <f>IF(OR(F496="",H496=""),"",IFERROR(H496*INDEX(Catalogue!$F$7:$F$19,MATCH(F496,Catalogue!$B$7:$B$19,0)),"#N/A"))</f>
        <v/>
      </c>
      <c r="L496" s="31">
        <f>IF(ISNUMBER(J496),J496*IFERROR(INDEX(Paramètres!$C$7:$C$12,MATCH(INDEX(Effectif!$D$7:$D$21,MATCH(D496,Effectif!$C$7:$C$21,0)),Paramètres!$B$7:$B$12,0)),0),"")</f>
        <v/>
      </c>
      <c r="M496" s="1" t="n"/>
    </row>
    <row r="497">
      <c r="A497" s="1" t="n"/>
      <c r="B497" s="24" t="n">
        <v>491</v>
      </c>
      <c r="C497" s="25" t="n"/>
      <c r="D497" s="26" t="n"/>
      <c r="E497" s="26" t="n"/>
      <c r="F497" s="26" t="n"/>
      <c r="G497" s="27">
        <f>IF(F497="","",IFERROR(INDEX(Catalogue!$C$7:$C$19,MATCH(F497,Catalogue!$B$7:$B$19,0)),"#N/A"))</f>
        <v/>
      </c>
      <c r="H497" s="28" t="n"/>
      <c r="I497" s="29">
        <f>IF(OR(F497="",H497=""),"",IFERROR(H497*INDEX(Catalogue!$G$7:$G$19,MATCH(F497,Catalogue!$B$7:$B$19,0)),"#N/A"))</f>
        <v/>
      </c>
      <c r="J497" s="30">
        <f>IF(ISNUMBER(I497),I497-K497,"")</f>
        <v/>
      </c>
      <c r="K497" s="31">
        <f>IF(OR(F497="",H497=""),"",IFERROR(H497*INDEX(Catalogue!$F$7:$F$19,MATCH(F497,Catalogue!$B$7:$B$19,0)),"#N/A"))</f>
        <v/>
      </c>
      <c r="L497" s="31">
        <f>IF(ISNUMBER(J497),J497*IFERROR(INDEX(Paramètres!$C$7:$C$12,MATCH(INDEX(Effectif!$D$7:$D$21,MATCH(D497,Effectif!$C$7:$C$21,0)),Paramètres!$B$7:$B$12,0)),0),"")</f>
        <v/>
      </c>
      <c r="M497" s="1" t="n"/>
    </row>
    <row r="498">
      <c r="A498" s="1" t="n"/>
      <c r="B498" s="24" t="n">
        <v>492</v>
      </c>
      <c r="C498" s="25" t="n"/>
      <c r="D498" s="26" t="n"/>
      <c r="E498" s="26" t="n"/>
      <c r="F498" s="26" t="n"/>
      <c r="G498" s="27">
        <f>IF(F498="","",IFERROR(INDEX(Catalogue!$C$7:$C$19,MATCH(F498,Catalogue!$B$7:$B$19,0)),"#N/A"))</f>
        <v/>
      </c>
      <c r="H498" s="28" t="n"/>
      <c r="I498" s="29">
        <f>IF(OR(F498="",H498=""),"",IFERROR(H498*INDEX(Catalogue!$G$7:$G$19,MATCH(F498,Catalogue!$B$7:$B$19,0)),"#N/A"))</f>
        <v/>
      </c>
      <c r="J498" s="30">
        <f>IF(ISNUMBER(I498),I498-K498,"")</f>
        <v/>
      </c>
      <c r="K498" s="31">
        <f>IF(OR(F498="",H498=""),"",IFERROR(H498*INDEX(Catalogue!$F$7:$F$19,MATCH(F498,Catalogue!$B$7:$B$19,0)),"#N/A"))</f>
        <v/>
      </c>
      <c r="L498" s="31">
        <f>IF(ISNUMBER(J498),J498*IFERROR(INDEX(Paramètres!$C$7:$C$12,MATCH(INDEX(Effectif!$D$7:$D$21,MATCH(D498,Effectif!$C$7:$C$21,0)),Paramètres!$B$7:$B$12,0)),0),"")</f>
        <v/>
      </c>
      <c r="M498" s="1" t="n"/>
    </row>
    <row r="499">
      <c r="A499" s="1" t="n"/>
      <c r="B499" s="24" t="n">
        <v>493</v>
      </c>
      <c r="C499" s="25" t="n"/>
      <c r="D499" s="26" t="n"/>
      <c r="E499" s="26" t="n"/>
      <c r="F499" s="26" t="n"/>
      <c r="G499" s="27">
        <f>IF(F499="","",IFERROR(INDEX(Catalogue!$C$7:$C$19,MATCH(F499,Catalogue!$B$7:$B$19,0)),"#N/A"))</f>
        <v/>
      </c>
      <c r="H499" s="28" t="n"/>
      <c r="I499" s="29">
        <f>IF(OR(F499="",H499=""),"",IFERROR(H499*INDEX(Catalogue!$G$7:$G$19,MATCH(F499,Catalogue!$B$7:$B$19,0)),"#N/A"))</f>
        <v/>
      </c>
      <c r="J499" s="30">
        <f>IF(ISNUMBER(I499),I499-K499,"")</f>
        <v/>
      </c>
      <c r="K499" s="31">
        <f>IF(OR(F499="",H499=""),"",IFERROR(H499*INDEX(Catalogue!$F$7:$F$19,MATCH(F499,Catalogue!$B$7:$B$19,0)),"#N/A"))</f>
        <v/>
      </c>
      <c r="L499" s="31">
        <f>IF(ISNUMBER(J499),J499*IFERROR(INDEX(Paramètres!$C$7:$C$12,MATCH(INDEX(Effectif!$D$7:$D$21,MATCH(D499,Effectif!$C$7:$C$21,0)),Paramètres!$B$7:$B$12,0)),0),"")</f>
        <v/>
      </c>
      <c r="M499" s="1" t="n"/>
    </row>
    <row r="500">
      <c r="A500" s="1" t="n"/>
      <c r="B500" s="24" t="n">
        <v>494</v>
      </c>
      <c r="C500" s="25" t="n"/>
      <c r="D500" s="26" t="n"/>
      <c r="E500" s="26" t="n"/>
      <c r="F500" s="26" t="n"/>
      <c r="G500" s="27">
        <f>IF(F500="","",IFERROR(INDEX(Catalogue!$C$7:$C$19,MATCH(F500,Catalogue!$B$7:$B$19,0)),"#N/A"))</f>
        <v/>
      </c>
      <c r="H500" s="28" t="n"/>
      <c r="I500" s="29">
        <f>IF(OR(F500="",H500=""),"",IFERROR(H500*INDEX(Catalogue!$G$7:$G$19,MATCH(F500,Catalogue!$B$7:$B$19,0)),"#N/A"))</f>
        <v/>
      </c>
      <c r="J500" s="30">
        <f>IF(ISNUMBER(I500),I500-K500,"")</f>
        <v/>
      </c>
      <c r="K500" s="31">
        <f>IF(OR(F500="",H500=""),"",IFERROR(H500*INDEX(Catalogue!$F$7:$F$19,MATCH(F500,Catalogue!$B$7:$B$19,0)),"#N/A"))</f>
        <v/>
      </c>
      <c r="L500" s="31">
        <f>IF(ISNUMBER(J500),J500*IFERROR(INDEX(Paramètres!$C$7:$C$12,MATCH(INDEX(Effectif!$D$7:$D$21,MATCH(D500,Effectif!$C$7:$C$21,0)),Paramètres!$B$7:$B$12,0)),0),"")</f>
        <v/>
      </c>
      <c r="M500" s="1" t="n"/>
    </row>
    <row r="501">
      <c r="A501" s="1" t="n"/>
      <c r="B501" s="24" t="n">
        <v>495</v>
      </c>
      <c r="C501" s="25" t="n"/>
      <c r="D501" s="26" t="n"/>
      <c r="E501" s="26" t="n"/>
      <c r="F501" s="26" t="n"/>
      <c r="G501" s="27">
        <f>IF(F501="","",IFERROR(INDEX(Catalogue!$C$7:$C$19,MATCH(F501,Catalogue!$B$7:$B$19,0)),"#N/A"))</f>
        <v/>
      </c>
      <c r="H501" s="28" t="n"/>
      <c r="I501" s="29">
        <f>IF(OR(F501="",H501=""),"",IFERROR(H501*INDEX(Catalogue!$G$7:$G$19,MATCH(F501,Catalogue!$B$7:$B$19,0)),"#N/A"))</f>
        <v/>
      </c>
      <c r="J501" s="30">
        <f>IF(ISNUMBER(I501),I501-K501,"")</f>
        <v/>
      </c>
      <c r="K501" s="31">
        <f>IF(OR(F501="",H501=""),"",IFERROR(H501*INDEX(Catalogue!$F$7:$F$19,MATCH(F501,Catalogue!$B$7:$B$19,0)),"#N/A"))</f>
        <v/>
      </c>
      <c r="L501" s="31">
        <f>IF(ISNUMBER(J501),J501*IFERROR(INDEX(Paramètres!$C$7:$C$12,MATCH(INDEX(Effectif!$D$7:$D$21,MATCH(D501,Effectif!$C$7:$C$21,0)),Paramètres!$B$7:$B$12,0)),0),"")</f>
        <v/>
      </c>
      <c r="M501" s="1" t="n"/>
    </row>
    <row r="502">
      <c r="A502" s="1" t="n"/>
      <c r="B502" s="24" t="n">
        <v>496</v>
      </c>
      <c r="C502" s="25" t="n"/>
      <c r="D502" s="26" t="n"/>
      <c r="E502" s="26" t="n"/>
      <c r="F502" s="26" t="n"/>
      <c r="G502" s="27">
        <f>IF(F502="","",IFERROR(INDEX(Catalogue!$C$7:$C$19,MATCH(F502,Catalogue!$B$7:$B$19,0)),"#N/A"))</f>
        <v/>
      </c>
      <c r="H502" s="28" t="n"/>
      <c r="I502" s="29">
        <f>IF(OR(F502="",H502=""),"",IFERROR(H502*INDEX(Catalogue!$G$7:$G$19,MATCH(F502,Catalogue!$B$7:$B$19,0)),"#N/A"))</f>
        <v/>
      </c>
      <c r="J502" s="30">
        <f>IF(ISNUMBER(I502),I502-K502,"")</f>
        <v/>
      </c>
      <c r="K502" s="31">
        <f>IF(OR(F502="",H502=""),"",IFERROR(H502*INDEX(Catalogue!$F$7:$F$19,MATCH(F502,Catalogue!$B$7:$B$19,0)),"#N/A"))</f>
        <v/>
      </c>
      <c r="L502" s="31">
        <f>IF(ISNUMBER(J502),J502*IFERROR(INDEX(Paramètres!$C$7:$C$12,MATCH(INDEX(Effectif!$D$7:$D$21,MATCH(D502,Effectif!$C$7:$C$21,0)),Paramètres!$B$7:$B$12,0)),0),"")</f>
        <v/>
      </c>
      <c r="M502" s="1" t="n"/>
    </row>
    <row r="503">
      <c r="A503" s="1" t="n"/>
      <c r="B503" s="24" t="n">
        <v>497</v>
      </c>
      <c r="C503" s="25" t="n"/>
      <c r="D503" s="26" t="n"/>
      <c r="E503" s="26" t="n"/>
      <c r="F503" s="26" t="n"/>
      <c r="G503" s="27">
        <f>IF(F503="","",IFERROR(INDEX(Catalogue!$C$7:$C$19,MATCH(F503,Catalogue!$B$7:$B$19,0)),"#N/A"))</f>
        <v/>
      </c>
      <c r="H503" s="28" t="n"/>
      <c r="I503" s="29">
        <f>IF(OR(F503="",H503=""),"",IFERROR(H503*INDEX(Catalogue!$G$7:$G$19,MATCH(F503,Catalogue!$B$7:$B$19,0)),"#N/A"))</f>
        <v/>
      </c>
      <c r="J503" s="30">
        <f>IF(ISNUMBER(I503),I503-K503,"")</f>
        <v/>
      </c>
      <c r="K503" s="31">
        <f>IF(OR(F503="",H503=""),"",IFERROR(H503*INDEX(Catalogue!$F$7:$F$19,MATCH(F503,Catalogue!$B$7:$B$19,0)),"#N/A"))</f>
        <v/>
      </c>
      <c r="L503" s="31">
        <f>IF(ISNUMBER(J503),J503*IFERROR(INDEX(Paramètres!$C$7:$C$12,MATCH(INDEX(Effectif!$D$7:$D$21,MATCH(D503,Effectif!$C$7:$C$21,0)),Paramètres!$B$7:$B$12,0)),0),"")</f>
        <v/>
      </c>
      <c r="M503" s="1" t="n"/>
    </row>
    <row r="504">
      <c r="A504" s="1" t="n"/>
      <c r="B504" s="24" t="n">
        <v>498</v>
      </c>
      <c r="C504" s="25" t="n"/>
      <c r="D504" s="26" t="n"/>
      <c r="E504" s="26" t="n"/>
      <c r="F504" s="26" t="n"/>
      <c r="G504" s="27">
        <f>IF(F504="","",IFERROR(INDEX(Catalogue!$C$7:$C$19,MATCH(F504,Catalogue!$B$7:$B$19,0)),"#N/A"))</f>
        <v/>
      </c>
      <c r="H504" s="28" t="n"/>
      <c r="I504" s="29">
        <f>IF(OR(F504="",H504=""),"",IFERROR(H504*INDEX(Catalogue!$G$7:$G$19,MATCH(F504,Catalogue!$B$7:$B$19,0)),"#N/A"))</f>
        <v/>
      </c>
      <c r="J504" s="30">
        <f>IF(ISNUMBER(I504),I504-K504,"")</f>
        <v/>
      </c>
      <c r="K504" s="31">
        <f>IF(OR(F504="",H504=""),"",IFERROR(H504*INDEX(Catalogue!$F$7:$F$19,MATCH(F504,Catalogue!$B$7:$B$19,0)),"#N/A"))</f>
        <v/>
      </c>
      <c r="L504" s="31">
        <f>IF(ISNUMBER(J504),J504*IFERROR(INDEX(Paramètres!$C$7:$C$12,MATCH(INDEX(Effectif!$D$7:$D$21,MATCH(D504,Effectif!$C$7:$C$21,0)),Paramètres!$B$7:$B$12,0)),0),"")</f>
        <v/>
      </c>
      <c r="M504" s="1" t="n"/>
    </row>
    <row r="505">
      <c r="A505" s="1" t="n"/>
      <c r="B505" s="24" t="n">
        <v>499</v>
      </c>
      <c r="C505" s="25" t="n"/>
      <c r="D505" s="26" t="n"/>
      <c r="E505" s="26" t="n"/>
      <c r="F505" s="26" t="n"/>
      <c r="G505" s="27">
        <f>IF(F505="","",IFERROR(INDEX(Catalogue!$C$7:$C$19,MATCH(F505,Catalogue!$B$7:$B$19,0)),"#N/A"))</f>
        <v/>
      </c>
      <c r="H505" s="28" t="n"/>
      <c r="I505" s="29">
        <f>IF(OR(F505="",H505=""),"",IFERROR(H505*INDEX(Catalogue!$G$7:$G$19,MATCH(F505,Catalogue!$B$7:$B$19,0)),"#N/A"))</f>
        <v/>
      </c>
      <c r="J505" s="30">
        <f>IF(ISNUMBER(I505),I505-K505,"")</f>
        <v/>
      </c>
      <c r="K505" s="31">
        <f>IF(OR(F505="",H505=""),"",IFERROR(H505*INDEX(Catalogue!$F$7:$F$19,MATCH(F505,Catalogue!$B$7:$B$19,0)),"#N/A"))</f>
        <v/>
      </c>
      <c r="L505" s="31">
        <f>IF(ISNUMBER(J505),J505*IFERROR(INDEX(Paramètres!$C$7:$C$12,MATCH(INDEX(Effectif!$D$7:$D$21,MATCH(D505,Effectif!$C$7:$C$21,0)),Paramètres!$B$7:$B$12,0)),0),"")</f>
        <v/>
      </c>
      <c r="M505" s="1" t="n"/>
    </row>
    <row r="506">
      <c r="A506" s="1" t="n"/>
      <c r="B506" s="24" t="n">
        <v>500</v>
      </c>
      <c r="C506" s="25" t="n"/>
      <c r="D506" s="26" t="n"/>
      <c r="E506" s="26" t="n"/>
      <c r="F506" s="26" t="n"/>
      <c r="G506" s="27">
        <f>IF(F506="","",IFERROR(INDEX(Catalogue!$C$7:$C$19,MATCH(F506,Catalogue!$B$7:$B$19,0)),"#N/A"))</f>
        <v/>
      </c>
      <c r="H506" s="28" t="n"/>
      <c r="I506" s="29">
        <f>IF(OR(F506="",H506=""),"",IFERROR(H506*INDEX(Catalogue!$G$7:$G$19,MATCH(F506,Catalogue!$B$7:$B$19,0)),"#N/A"))</f>
        <v/>
      </c>
      <c r="J506" s="30">
        <f>IF(ISNUMBER(I506),I506-K506,"")</f>
        <v/>
      </c>
      <c r="K506" s="31">
        <f>IF(OR(F506="",H506=""),"",IFERROR(H506*INDEX(Catalogue!$F$7:$F$19,MATCH(F506,Catalogue!$B$7:$B$19,0)),"#N/A"))</f>
        <v/>
      </c>
      <c r="L506" s="31">
        <f>IF(ISNUMBER(J506),J506*IFERROR(INDEX(Paramètres!$C$7:$C$12,MATCH(INDEX(Effectif!$D$7:$D$21,MATCH(D506,Effectif!$C$7:$C$21,0)),Paramètres!$B$7:$B$12,0)),0),"")</f>
        <v/>
      </c>
      <c r="M506" s="1" t="n"/>
    </row>
    <row r="507">
      <c r="A507" s="1" t="n"/>
      <c r="B507" s="2" t="n"/>
      <c r="C507" s="2" t="n"/>
      <c r="D507" s="2" t="n"/>
      <c r="E507" s="2" t="n"/>
      <c r="F507" s="2" t="n"/>
      <c r="G507" s="2" t="n"/>
      <c r="H507" s="2" t="n"/>
      <c r="I507" s="2" t="n"/>
      <c r="J507" s="2" t="n"/>
      <c r="K507" s="2" t="n"/>
      <c r="L507" s="2" t="n"/>
      <c r="M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</row>
  </sheetData>
  <mergeCells count="3">
    <mergeCell ref="B2:L2"/>
    <mergeCell ref="I3:K3"/>
    <mergeCell ref="B4:K4"/>
  </mergeCells>
  <dataValidations count="3">
    <dataValidation sqref="D7:D506" showDropDown="0" showInputMessage="0" showErrorMessage="1" allowBlank="1" error="Choisis dans la liste." type="list">
      <formula1>=Effectif!$C$7:$C$21</formula1>
    </dataValidation>
    <dataValidation sqref="F7:F506" showDropDown="0" showInputMessage="0" showErrorMessage="1" allowBlank="1" error="Choisis dans la liste." type="list">
      <formula1>"Téquila,Shot,Bière,Whisky,Limonade,Jus d'orange,Cola,Boisson énergisante,BlackRider,Burning Wheel,Ghost Road,Iron Beer,Midnight Shot"</formula1>
    </dataValidation>
    <dataValidation sqref="H7:H506" showDropDown="0" showInputMessage="0" showErrorMessage="1" allowBlank="1" error="Nombre entier." type="whole" operator="greaterThanOrEqual">
      <formula1>0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Feuil4">
    <outlinePr summaryBelow="1" summaryRight="1"/>
    <pageSetUpPr/>
  </sheetPr>
  <dimension ref="A1:O5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" customWidth="1" min="2" max="2"/>
    <col width="12" customWidth="1" min="3" max="3"/>
    <col width="24" customWidth="1" min="4" max="4"/>
    <col width="15" customWidth="1" min="5" max="5"/>
    <col width="15" customWidth="1" min="6" max="6"/>
    <col width="16" customWidth="1" min="7" max="7"/>
    <col width="3" customWidth="1" min="8" max="8"/>
    <col width="12" customWidth="1" min="9" max="9"/>
    <col width="24" customWidth="1" min="10" max="10"/>
    <col width="26" customWidth="1" min="11" max="11"/>
    <col width="15" customWidth="1" min="12" max="12"/>
    <col width="3" customWidth="1" min="13" max="13"/>
    <col width="3" customWidth="1" min="14" max="14"/>
    <col width="3" customWidth="1" min="15" max="15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 ht="40" customHeight="1">
      <c r="A2" s="1" t="n"/>
      <c r="B2" s="2" t="n"/>
      <c r="C2" s="9" t="inlineStr">
        <is>
          <t>YELLOW JAKE — STATISTIQUES DE LA SEMAINE</t>
        </is>
      </c>
      <c r="M2" s="2" t="n"/>
      <c r="N2" s="2" t="n"/>
      <c r="O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10" t="inlineStr">
        <is>
          <t>⬅ Accueil</t>
        </is>
      </c>
      <c r="M3" s="2" t="n"/>
      <c r="N3" s="2" t="n"/>
      <c r="O3" s="1" t="n"/>
    </row>
    <row r="4">
      <c r="A4" s="1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1" t="n"/>
    </row>
    <row r="5">
      <c r="A5" s="1" t="n"/>
      <c r="B5" s="2" t="n"/>
      <c r="C5" s="2" t="n"/>
      <c r="D5" s="14" t="inlineStr">
        <is>
          <t>Chiffre d'affaires total</t>
        </is>
      </c>
      <c r="E5" s="7" t="n"/>
      <c r="F5" s="7" t="n"/>
      <c r="G5" s="32">
        <f>SUM('Historique Semaine'!$I$7:$I$506)</f>
        <v/>
      </c>
      <c r="H5" s="2" t="n"/>
      <c r="I5" s="2" t="n"/>
      <c r="J5" s="33" t="inlineStr">
        <is>
          <t>BILAN D'UNE JOURNÉE</t>
        </is>
      </c>
      <c r="K5" s="7" t="n"/>
      <c r="L5" s="2" t="n"/>
      <c r="M5" s="2" t="n"/>
      <c r="N5" s="2" t="n"/>
      <c r="O5" s="1" t="n"/>
    </row>
    <row r="6">
      <c r="A6" s="1" t="n"/>
      <c r="B6" s="2" t="n"/>
      <c r="C6" s="2" t="n"/>
      <c r="D6" s="14" t="inlineStr">
        <is>
          <t>Nombre de produits vendus</t>
        </is>
      </c>
      <c r="E6" s="7" t="n"/>
      <c r="F6" s="7" t="n"/>
      <c r="G6" s="34">
        <f>SUM('Historique Semaine'!$H$7:$H$506)</f>
        <v/>
      </c>
      <c r="H6" s="2" t="n"/>
      <c r="I6" s="2" t="n"/>
      <c r="J6" s="14" t="inlineStr">
        <is>
          <t>Date</t>
        </is>
      </c>
      <c r="K6" s="15">
        <f>TODAY()</f>
        <v/>
      </c>
      <c r="L6" s="2" t="n"/>
      <c r="M6" s="2" t="n"/>
      <c r="N6" s="2" t="n"/>
      <c r="O6" s="1" t="n"/>
    </row>
    <row r="7">
      <c r="A7" s="1" t="n"/>
      <c r="B7" s="2" t="n"/>
      <c r="C7" s="2" t="n"/>
      <c r="D7" s="14" t="inlineStr">
        <is>
          <t>Coût des matières premières</t>
        </is>
      </c>
      <c r="E7" s="7" t="n"/>
      <c r="F7" s="7" t="n"/>
      <c r="G7" s="16">
        <f>SUM('Historique Semaine'!$K$7:$K$506)</f>
        <v/>
      </c>
      <c r="H7" s="2" t="n"/>
      <c r="I7" s="2" t="n"/>
      <c r="J7" s="14" t="inlineStr">
        <is>
          <t>Chiffre d'affaires</t>
        </is>
      </c>
      <c r="K7" s="35">
        <f>SUMIFS('Historique Semaine'!$I$7:$I$506,'Historique Semaine'!$C$7:$C$506,$K$6)</f>
        <v/>
      </c>
      <c r="L7" s="2" t="n"/>
      <c r="M7" s="2" t="n"/>
      <c r="N7" s="2" t="n"/>
      <c r="O7" s="1" t="n"/>
    </row>
    <row r="8">
      <c r="A8" s="1" t="n"/>
      <c r="B8" s="2" t="n"/>
      <c r="C8" s="2" t="n"/>
      <c r="D8" s="14" t="inlineStr">
        <is>
          <t>Bénéfice</t>
        </is>
      </c>
      <c r="E8" s="7" t="n"/>
      <c r="F8" s="7" t="n"/>
      <c r="G8" s="36">
        <f>SUM('Historique Semaine'!$J$7:$J$506)</f>
        <v/>
      </c>
      <c r="H8" s="2" t="n"/>
      <c r="I8" s="2" t="n"/>
      <c r="J8" s="14" t="inlineStr">
        <is>
          <t>Produits vendus</t>
        </is>
      </c>
      <c r="K8" s="17">
        <f>SUMIFS('Historique Semaine'!$H$7:$H$506,'Historique Semaine'!$C$7:$C$506,$K$6)</f>
        <v/>
      </c>
      <c r="L8" s="2" t="n"/>
      <c r="M8" s="2" t="n"/>
      <c r="N8" s="2" t="n"/>
      <c r="O8" s="1" t="n"/>
    </row>
    <row r="9">
      <c r="A9" s="1" t="n"/>
      <c r="B9" s="2" t="n"/>
      <c r="C9" s="2" t="n"/>
      <c r="D9" s="14" t="inlineStr">
        <is>
          <t>Prime potentielle à donner</t>
        </is>
      </c>
      <c r="E9" s="7" t="n"/>
      <c r="F9" s="7" t="n"/>
      <c r="G9" s="37">
        <f>SUM(L17:L31)</f>
        <v/>
      </c>
      <c r="H9" s="2" t="n"/>
      <c r="I9" s="2" t="n"/>
      <c r="J9" s="14" t="inlineStr">
        <is>
          <t>Bénéfice</t>
        </is>
      </c>
      <c r="K9" s="35">
        <f>SUMIFS('Historique Semaine'!$J$7:$J$506,'Historique Semaine'!$C$7:$C$506,$K$6)</f>
        <v/>
      </c>
      <c r="L9" s="2" t="n"/>
      <c r="M9" s="2" t="n"/>
      <c r="N9" s="2" t="n"/>
      <c r="O9" s="1" t="n"/>
    </row>
    <row r="10">
      <c r="A10" s="1" t="n"/>
      <c r="B10" s="2" t="n"/>
      <c r="C10" s="2" t="n"/>
      <c r="D10" s="14" t="inlineStr">
        <is>
          <t>Taxe</t>
        </is>
      </c>
      <c r="E10" s="7" t="n"/>
      <c r="F10" s="7" t="n"/>
      <c r="G10" s="38">
        <f>IF(G8&lt;=Paramètres!$B$17,G5*Paramètres!$C$17,IF(G8&lt;=Paramètres!$B$18,G8*Paramètres!$C$18,IF(G8&lt;=Paramètres!$B$19,G8*Paramètres!$C$19,G8*Paramètres!$C$20)))</f>
        <v/>
      </c>
      <c r="H10" s="2" t="n"/>
      <c r="I10" s="2" t="n"/>
      <c r="J10" s="14" t="inlineStr">
        <is>
          <t>Primes</t>
        </is>
      </c>
      <c r="K10" s="35">
        <f>SUMIFS('Historique Semaine'!$L$7:$L$506,'Historique Semaine'!$C$7:$C$506,$K$6)</f>
        <v/>
      </c>
      <c r="L10" s="2" t="n"/>
      <c r="M10" s="2" t="n"/>
      <c r="N10" s="2" t="n"/>
      <c r="O10" s="1" t="n"/>
    </row>
    <row r="11">
      <c r="A11" s="1" t="n"/>
      <c r="B11" s="2" t="n"/>
      <c r="C11" s="2" t="n"/>
      <c r="D11" s="14" t="inlineStr">
        <is>
          <t>Salaires</t>
        </is>
      </c>
      <c r="E11" s="7" t="n"/>
      <c r="F11" s="7" t="n"/>
      <c r="G11" s="39">
        <f>SUM(Salaires!$F$7:$F$506)</f>
        <v/>
      </c>
      <c r="H11" s="2" t="n"/>
      <c r="I11" s="2" t="n"/>
      <c r="J11" s="14" t="inlineStr">
        <is>
          <t>Salaires</t>
        </is>
      </c>
      <c r="K11" s="35">
        <f>SUMIFS(Salaires!$F$7:$F$506,Salaires!$B$7:$B$506,$K$6)</f>
        <v/>
      </c>
      <c r="L11" s="2" t="n"/>
      <c r="M11" s="2" t="n"/>
      <c r="N11" s="2" t="n"/>
      <c r="O11" s="1" t="n"/>
    </row>
    <row r="12">
      <c r="A12" s="1" t="n"/>
      <c r="B12" s="2" t="n"/>
      <c r="C12" s="2" t="n"/>
      <c r="D12" s="14" t="inlineStr">
        <is>
          <t>Bénéfice net (après primes, taxe, salaires)</t>
        </is>
      </c>
      <c r="E12" s="7" t="n"/>
      <c r="F12" s="7" t="n"/>
      <c r="G12" s="22">
        <f>G8-G9-G10-G11</f>
        <v/>
      </c>
      <c r="H12" s="2" t="n"/>
      <c r="I12" s="2" t="n"/>
      <c r="J12" s="14" t="inlineStr">
        <is>
          <t>Bénéfice après primes et salaires</t>
        </is>
      </c>
      <c r="K12" s="18">
        <f>K9-K10-K11</f>
        <v/>
      </c>
      <c r="L12" s="2" t="n"/>
      <c r="M12" s="2" t="n"/>
      <c r="N12" s="2" t="n"/>
      <c r="O12" s="1" t="n"/>
    </row>
    <row r="13">
      <c r="A13" s="1" t="n"/>
      <c r="B13" s="2" t="n"/>
      <c r="C13" s="2" t="n"/>
      <c r="D13" s="14" t="inlineStr">
        <is>
          <t>Solde du coffre</t>
        </is>
      </c>
      <c r="E13" s="7" t="n"/>
      <c r="F13" s="7" t="n"/>
      <c r="G13" s="35">
        <f>Coffre!$G$6</f>
        <v/>
      </c>
      <c r="H13" s="2" t="n"/>
      <c r="I13" s="2" t="n"/>
      <c r="J13" s="40">
        <f>IF(COUNTIFS('Historique Semaine'!$F$7:$F$506,"?*",'Historique Semaine'!$C$7:$C$506,"")&gt;0,"⚠️ "&amp;COUNTIFS('Historique Semaine'!$F$7:$F$506,"?*",'Historique Semaine'!$C$7:$C$506,"")&amp;" vente(s) sans date","")</f>
        <v/>
      </c>
      <c r="K13" s="2" t="n"/>
      <c r="L13" s="2" t="n"/>
      <c r="M13" s="2" t="n"/>
      <c r="N13" s="2" t="n"/>
      <c r="O13" s="1" t="n"/>
    </row>
    <row r="14">
      <c r="A14" s="1" t="n"/>
      <c r="B14" s="2" t="n"/>
      <c r="C14" s="2" t="n"/>
      <c r="D14" s="14" t="inlineStr">
        <is>
          <t>Produits à réapprovisionner</t>
        </is>
      </c>
      <c r="E14" s="7" t="n"/>
      <c r="F14" s="7" t="n"/>
      <c r="G14" s="41">
        <f>COUNTIF(Stock!$I$7:$I$19,"&lt;&gt;✅ OK")</f>
        <v/>
      </c>
      <c r="H14" s="2" t="n"/>
      <c r="I14" s="2" t="n"/>
      <c r="J14" s="2" t="n"/>
      <c r="K14" s="2" t="n"/>
      <c r="L14" s="2" t="n"/>
      <c r="M14" s="2" t="n"/>
      <c r="N14" s="2" t="n"/>
      <c r="O14" s="1" t="n"/>
    </row>
    <row r="15">
      <c r="A15" s="1" t="n"/>
      <c r="B15" s="2" t="n"/>
      <c r="C15" s="2" t="n"/>
      <c r="D15" s="2" t="n"/>
      <c r="E15" s="2" t="n"/>
      <c r="F15" s="2" t="n"/>
      <c r="G15" s="2" t="n"/>
      <c r="H15" s="2" t="n"/>
      <c r="I15" s="2" t="n"/>
      <c r="J15" s="2" t="n"/>
      <c r="K15" s="2" t="n"/>
      <c r="L15" s="2" t="n"/>
      <c r="M15" s="2" t="n"/>
      <c r="N15" s="2" t="n"/>
      <c r="O15" s="1" t="n"/>
    </row>
    <row r="16" ht="32" customHeight="1">
      <c r="A16" s="1" t="n"/>
      <c r="B16" s="2" t="n"/>
      <c r="C16" s="33" t="inlineStr">
        <is>
          <t>N°</t>
        </is>
      </c>
      <c r="D16" s="33" t="inlineStr">
        <is>
          <t>Prénom | Nom</t>
        </is>
      </c>
      <c r="E16" s="33" t="inlineStr">
        <is>
          <t>Bénéfice</t>
        </is>
      </c>
      <c r="F16" s="33" t="inlineStr">
        <is>
          <t>CA</t>
        </is>
      </c>
      <c r="G16" s="33" t="inlineStr">
        <is>
          <t>Produits vendus</t>
        </is>
      </c>
      <c r="H16" s="2" t="n"/>
      <c r="I16" s="33" t="inlineStr">
        <is>
          <t>N°</t>
        </is>
      </c>
      <c r="J16" s="33" t="inlineStr">
        <is>
          <t>Prénom | Nom</t>
        </is>
      </c>
      <c r="K16" s="33" t="inlineStr">
        <is>
          <t>Grade</t>
        </is>
      </c>
      <c r="L16" s="33" t="inlineStr">
        <is>
          <t>Prime</t>
        </is>
      </c>
      <c r="M16" s="2" t="n"/>
      <c r="N16" s="2" t="n"/>
      <c r="O16" s="1" t="n"/>
    </row>
    <row r="17">
      <c r="A17" s="1" t="n"/>
      <c r="B17" s="2" t="n"/>
      <c r="C17" s="42" t="n">
        <v>1</v>
      </c>
      <c r="D17" s="43">
        <f>IF(Effectif!$C$7="","",Effectif!$C$7)</f>
        <v/>
      </c>
      <c r="E17" s="44">
        <f>IF(D17="",0,SUMIFS('Historique Semaine'!$J$7:$J$506,'Historique Semaine'!$D$7:$D$506,D17))</f>
        <v/>
      </c>
      <c r="F17" s="44">
        <f>IF(D17="",0,SUMIFS('Historique Semaine'!$I$7:$I$506,'Historique Semaine'!$D$7:$D$506,D17))</f>
        <v/>
      </c>
      <c r="G17" s="45">
        <f>IF(D17="",0,SUMIFS('Historique Semaine'!$H$7:$H$506,'Historique Semaine'!$D$7:$D$506,D17))</f>
        <v/>
      </c>
      <c r="H17" s="2" t="n"/>
      <c r="I17" s="42" t="n">
        <v>1</v>
      </c>
      <c r="J17" s="43">
        <f>D17</f>
        <v/>
      </c>
      <c r="K17" s="43">
        <f>IF(Effectif!$D$7="","",Effectif!$D$7)</f>
        <v/>
      </c>
      <c r="L17" s="46">
        <f>IF(D17="",0,MIN(Paramètres!$C$14,SUMIFS('Historique Semaine'!$L$7:$L$506,'Historique Semaine'!$D$7:$D$506,D17)))</f>
        <v/>
      </c>
      <c r="M17" s="2" t="n"/>
      <c r="N17" s="2" t="n"/>
      <c r="O17" s="1" t="n"/>
    </row>
    <row r="18">
      <c r="A18" s="1" t="n"/>
      <c r="B18" s="2" t="n"/>
      <c r="C18" s="47" t="n">
        <v>2</v>
      </c>
      <c r="D18" s="48">
        <f>IF(Effectif!$C$8="","",Effectif!$C$8)</f>
        <v/>
      </c>
      <c r="E18" s="49">
        <f>IF(D18="",0,SUMIFS('Historique Semaine'!$J$7:$J$506,'Historique Semaine'!$D$7:$D$506,D18))</f>
        <v/>
      </c>
      <c r="F18" s="49">
        <f>IF(D18="",0,SUMIFS('Historique Semaine'!$I$7:$I$506,'Historique Semaine'!$D$7:$D$506,D18))</f>
        <v/>
      </c>
      <c r="G18" s="50">
        <f>IF(D18="",0,SUMIFS('Historique Semaine'!$H$7:$H$506,'Historique Semaine'!$D$7:$D$506,D18))</f>
        <v/>
      </c>
      <c r="H18" s="2" t="n"/>
      <c r="I18" s="47" t="n">
        <v>2</v>
      </c>
      <c r="J18" s="48">
        <f>D18</f>
        <v/>
      </c>
      <c r="K18" s="48">
        <f>IF(Effectif!$D$8="","",Effectif!$D$8)</f>
        <v/>
      </c>
      <c r="L18" s="51">
        <f>IF(D18="",0,MIN(Paramètres!$C$14,SUMIFS('Historique Semaine'!$L$7:$L$506,'Historique Semaine'!$D$7:$D$506,D18)))</f>
        <v/>
      </c>
      <c r="M18" s="2" t="n"/>
      <c r="N18" s="2" t="n"/>
      <c r="O18" s="1" t="n"/>
    </row>
    <row r="19">
      <c r="A19" s="1" t="n"/>
      <c r="B19" s="2" t="n"/>
      <c r="C19" s="42" t="n">
        <v>3</v>
      </c>
      <c r="D19" s="43">
        <f>IF(Effectif!$C$9="","",Effectif!$C$9)</f>
        <v/>
      </c>
      <c r="E19" s="44">
        <f>IF(D19="",0,SUMIFS('Historique Semaine'!$J$7:$J$506,'Historique Semaine'!$D$7:$D$506,D19))</f>
        <v/>
      </c>
      <c r="F19" s="44">
        <f>IF(D19="",0,SUMIFS('Historique Semaine'!$I$7:$I$506,'Historique Semaine'!$D$7:$D$506,D19))</f>
        <v/>
      </c>
      <c r="G19" s="45">
        <f>IF(D19="",0,SUMIFS('Historique Semaine'!$H$7:$H$506,'Historique Semaine'!$D$7:$D$506,D19))</f>
        <v/>
      </c>
      <c r="H19" s="2" t="n"/>
      <c r="I19" s="42" t="n">
        <v>3</v>
      </c>
      <c r="J19" s="43">
        <f>D19</f>
        <v/>
      </c>
      <c r="K19" s="43">
        <f>IF(Effectif!$D$9="","",Effectif!$D$9)</f>
        <v/>
      </c>
      <c r="L19" s="46">
        <f>IF(D19="",0,MIN(Paramètres!$C$14,SUMIFS('Historique Semaine'!$L$7:$L$506,'Historique Semaine'!$D$7:$D$506,D19)))</f>
        <v/>
      </c>
      <c r="M19" s="2" t="n"/>
      <c r="N19" s="2" t="n"/>
      <c r="O19" s="1" t="n"/>
    </row>
    <row r="20">
      <c r="A20" s="1" t="n"/>
      <c r="B20" s="2" t="n"/>
      <c r="C20" s="47" t="n">
        <v>4</v>
      </c>
      <c r="D20" s="48">
        <f>IF(Effectif!$C$10="","",Effectif!$C$10)</f>
        <v/>
      </c>
      <c r="E20" s="49">
        <f>IF(D20="",0,SUMIFS('Historique Semaine'!$J$7:$J$506,'Historique Semaine'!$D$7:$D$506,D20))</f>
        <v/>
      </c>
      <c r="F20" s="49">
        <f>IF(D20="",0,SUMIFS('Historique Semaine'!$I$7:$I$506,'Historique Semaine'!$D$7:$D$506,D20))</f>
        <v/>
      </c>
      <c r="G20" s="50">
        <f>IF(D20="",0,SUMIFS('Historique Semaine'!$H$7:$H$506,'Historique Semaine'!$D$7:$D$506,D20))</f>
        <v/>
      </c>
      <c r="H20" s="2" t="n"/>
      <c r="I20" s="47" t="n">
        <v>4</v>
      </c>
      <c r="J20" s="48">
        <f>D20</f>
        <v/>
      </c>
      <c r="K20" s="48">
        <f>IF(Effectif!$D$10="","",Effectif!$D$10)</f>
        <v/>
      </c>
      <c r="L20" s="51">
        <f>IF(D20="",0,MIN(Paramètres!$C$14,SUMIFS('Historique Semaine'!$L$7:$L$506,'Historique Semaine'!$D$7:$D$506,D20)))</f>
        <v/>
      </c>
      <c r="M20" s="2" t="n"/>
      <c r="N20" s="2" t="n"/>
      <c r="O20" s="1" t="n"/>
    </row>
    <row r="21">
      <c r="A21" s="1" t="n"/>
      <c r="B21" s="2" t="n"/>
      <c r="C21" s="42" t="n">
        <v>5</v>
      </c>
      <c r="D21" s="43">
        <f>IF(Effectif!$C$11="","",Effectif!$C$11)</f>
        <v/>
      </c>
      <c r="E21" s="44">
        <f>IF(D21="",0,SUMIFS('Historique Semaine'!$J$7:$J$506,'Historique Semaine'!$D$7:$D$506,D21))</f>
        <v/>
      </c>
      <c r="F21" s="44">
        <f>IF(D21="",0,SUMIFS('Historique Semaine'!$I$7:$I$506,'Historique Semaine'!$D$7:$D$506,D21))</f>
        <v/>
      </c>
      <c r="G21" s="45">
        <f>IF(D21="",0,SUMIFS('Historique Semaine'!$H$7:$H$506,'Historique Semaine'!$D$7:$D$506,D21))</f>
        <v/>
      </c>
      <c r="H21" s="2" t="n"/>
      <c r="I21" s="42" t="n">
        <v>5</v>
      </c>
      <c r="J21" s="43">
        <f>D21</f>
        <v/>
      </c>
      <c r="K21" s="43">
        <f>IF(Effectif!$D$11="","",Effectif!$D$11)</f>
        <v/>
      </c>
      <c r="L21" s="46">
        <f>IF(D21="",0,MIN(Paramètres!$C$14,SUMIFS('Historique Semaine'!$L$7:$L$506,'Historique Semaine'!$D$7:$D$506,D21)))</f>
        <v/>
      </c>
      <c r="M21" s="2" t="n"/>
      <c r="N21" s="2" t="n"/>
      <c r="O21" s="1" t="n"/>
    </row>
    <row r="22">
      <c r="A22" s="1" t="n"/>
      <c r="B22" s="2" t="n"/>
      <c r="C22" s="47" t="n">
        <v>6</v>
      </c>
      <c r="D22" s="48">
        <f>IF(Effectif!$C$12="","",Effectif!$C$12)</f>
        <v/>
      </c>
      <c r="E22" s="49">
        <f>IF(D22="",0,SUMIFS('Historique Semaine'!$J$7:$J$506,'Historique Semaine'!$D$7:$D$506,D22))</f>
        <v/>
      </c>
      <c r="F22" s="49">
        <f>IF(D22="",0,SUMIFS('Historique Semaine'!$I$7:$I$506,'Historique Semaine'!$D$7:$D$506,D22))</f>
        <v/>
      </c>
      <c r="G22" s="50">
        <f>IF(D22="",0,SUMIFS('Historique Semaine'!$H$7:$H$506,'Historique Semaine'!$D$7:$D$506,D22))</f>
        <v/>
      </c>
      <c r="H22" s="2" t="n"/>
      <c r="I22" s="47" t="n">
        <v>6</v>
      </c>
      <c r="J22" s="48">
        <f>D22</f>
        <v/>
      </c>
      <c r="K22" s="48">
        <f>IF(Effectif!$D$12="","",Effectif!$D$12)</f>
        <v/>
      </c>
      <c r="L22" s="51">
        <f>IF(D22="",0,MIN(Paramètres!$C$14,SUMIFS('Historique Semaine'!$L$7:$L$506,'Historique Semaine'!$D$7:$D$506,D22)))</f>
        <v/>
      </c>
      <c r="M22" s="2" t="n"/>
      <c r="N22" s="2" t="n"/>
      <c r="O22" s="1" t="n"/>
    </row>
    <row r="23">
      <c r="A23" s="1" t="n"/>
      <c r="B23" s="2" t="n"/>
      <c r="C23" s="42" t="n">
        <v>7</v>
      </c>
      <c r="D23" s="43">
        <f>IF(Effectif!$C$13="","",Effectif!$C$13)</f>
        <v/>
      </c>
      <c r="E23" s="44">
        <f>IF(D23="",0,SUMIFS('Historique Semaine'!$J$7:$J$506,'Historique Semaine'!$D$7:$D$506,D23))</f>
        <v/>
      </c>
      <c r="F23" s="44">
        <f>IF(D23="",0,SUMIFS('Historique Semaine'!$I$7:$I$506,'Historique Semaine'!$D$7:$D$506,D23))</f>
        <v/>
      </c>
      <c r="G23" s="45">
        <f>IF(D23="",0,SUMIFS('Historique Semaine'!$H$7:$H$506,'Historique Semaine'!$D$7:$D$506,D23))</f>
        <v/>
      </c>
      <c r="H23" s="2" t="n"/>
      <c r="I23" s="42" t="n">
        <v>7</v>
      </c>
      <c r="J23" s="43">
        <f>D23</f>
        <v/>
      </c>
      <c r="K23" s="43">
        <f>IF(Effectif!$D$13="","",Effectif!$D$13)</f>
        <v/>
      </c>
      <c r="L23" s="46">
        <f>IF(D23="",0,MIN(Paramètres!$C$14,SUMIFS('Historique Semaine'!$L$7:$L$506,'Historique Semaine'!$D$7:$D$506,D23)))</f>
        <v/>
      </c>
      <c r="M23" s="2" t="n"/>
      <c r="N23" s="2" t="n"/>
      <c r="O23" s="1" t="n"/>
    </row>
    <row r="24">
      <c r="A24" s="1" t="n"/>
      <c r="B24" s="2" t="n"/>
      <c r="C24" s="47" t="n">
        <v>8</v>
      </c>
      <c r="D24" s="48">
        <f>IF(Effectif!$C$14="","",Effectif!$C$14)</f>
        <v/>
      </c>
      <c r="E24" s="49">
        <f>IF(D24="",0,SUMIFS('Historique Semaine'!$J$7:$J$506,'Historique Semaine'!$D$7:$D$506,D24))</f>
        <v/>
      </c>
      <c r="F24" s="49">
        <f>IF(D24="",0,SUMIFS('Historique Semaine'!$I$7:$I$506,'Historique Semaine'!$D$7:$D$506,D24))</f>
        <v/>
      </c>
      <c r="G24" s="50">
        <f>IF(D24="",0,SUMIFS('Historique Semaine'!$H$7:$H$506,'Historique Semaine'!$D$7:$D$506,D24))</f>
        <v/>
      </c>
      <c r="H24" s="2" t="n"/>
      <c r="I24" s="47" t="n">
        <v>8</v>
      </c>
      <c r="J24" s="48">
        <f>D24</f>
        <v/>
      </c>
      <c r="K24" s="48">
        <f>IF(Effectif!$D$14="","",Effectif!$D$14)</f>
        <v/>
      </c>
      <c r="L24" s="51">
        <f>IF(D24="",0,MIN(Paramètres!$C$14,SUMIFS('Historique Semaine'!$L$7:$L$506,'Historique Semaine'!$D$7:$D$506,D24)))</f>
        <v/>
      </c>
      <c r="M24" s="2" t="n"/>
      <c r="N24" s="2" t="n"/>
      <c r="O24" s="1" t="n"/>
    </row>
    <row r="25">
      <c r="A25" s="1" t="n"/>
      <c r="B25" s="2" t="n"/>
      <c r="C25" s="42" t="n">
        <v>9</v>
      </c>
      <c r="D25" s="43">
        <f>IF(Effectif!$C$15="","",Effectif!$C$15)</f>
        <v/>
      </c>
      <c r="E25" s="44">
        <f>IF(D25="",0,SUMIFS('Historique Semaine'!$J$7:$J$506,'Historique Semaine'!$D$7:$D$506,D25))</f>
        <v/>
      </c>
      <c r="F25" s="44">
        <f>IF(D25="",0,SUMIFS('Historique Semaine'!$I$7:$I$506,'Historique Semaine'!$D$7:$D$506,D25))</f>
        <v/>
      </c>
      <c r="G25" s="45">
        <f>IF(D25="",0,SUMIFS('Historique Semaine'!$H$7:$H$506,'Historique Semaine'!$D$7:$D$506,D25))</f>
        <v/>
      </c>
      <c r="H25" s="2" t="n"/>
      <c r="I25" s="42" t="n">
        <v>9</v>
      </c>
      <c r="J25" s="43">
        <f>D25</f>
        <v/>
      </c>
      <c r="K25" s="43">
        <f>IF(Effectif!$D$15="","",Effectif!$D$15)</f>
        <v/>
      </c>
      <c r="L25" s="46">
        <f>IF(D25="",0,MIN(Paramètres!$C$14,SUMIFS('Historique Semaine'!$L$7:$L$506,'Historique Semaine'!$D$7:$D$506,D25)))</f>
        <v/>
      </c>
      <c r="M25" s="2" t="n"/>
      <c r="N25" s="2" t="n"/>
      <c r="O25" s="1" t="n"/>
    </row>
    <row r="26">
      <c r="A26" s="1" t="n"/>
      <c r="B26" s="2" t="n"/>
      <c r="C26" s="47" t="n">
        <v>10</v>
      </c>
      <c r="D26" s="48">
        <f>IF(Effectif!$C$16="","",Effectif!$C$16)</f>
        <v/>
      </c>
      <c r="E26" s="49">
        <f>IF(D26="",0,SUMIFS('Historique Semaine'!$J$7:$J$506,'Historique Semaine'!$D$7:$D$506,D26))</f>
        <v/>
      </c>
      <c r="F26" s="49">
        <f>IF(D26="",0,SUMIFS('Historique Semaine'!$I$7:$I$506,'Historique Semaine'!$D$7:$D$506,D26))</f>
        <v/>
      </c>
      <c r="G26" s="50">
        <f>IF(D26="",0,SUMIFS('Historique Semaine'!$H$7:$H$506,'Historique Semaine'!$D$7:$D$506,D26))</f>
        <v/>
      </c>
      <c r="H26" s="2" t="n"/>
      <c r="I26" s="47" t="n">
        <v>10</v>
      </c>
      <c r="J26" s="48">
        <f>D26</f>
        <v/>
      </c>
      <c r="K26" s="48">
        <f>IF(Effectif!$D$16="","",Effectif!$D$16)</f>
        <v/>
      </c>
      <c r="L26" s="51">
        <f>IF(D26="",0,MIN(Paramètres!$C$14,SUMIFS('Historique Semaine'!$L$7:$L$506,'Historique Semaine'!$D$7:$D$506,D26)))</f>
        <v/>
      </c>
      <c r="M26" s="2" t="n"/>
      <c r="N26" s="2" t="n"/>
      <c r="O26" s="1" t="n"/>
    </row>
    <row r="27">
      <c r="A27" s="1" t="n"/>
      <c r="B27" s="2" t="n"/>
      <c r="C27" s="42" t="n">
        <v>11</v>
      </c>
      <c r="D27" s="43">
        <f>IF(Effectif!$C$17="","",Effectif!$C$17)</f>
        <v/>
      </c>
      <c r="E27" s="44">
        <f>IF(D27="",0,SUMIFS('Historique Semaine'!$J$7:$J$506,'Historique Semaine'!$D$7:$D$506,D27))</f>
        <v/>
      </c>
      <c r="F27" s="44">
        <f>IF(D27="",0,SUMIFS('Historique Semaine'!$I$7:$I$506,'Historique Semaine'!$D$7:$D$506,D27))</f>
        <v/>
      </c>
      <c r="G27" s="45">
        <f>IF(D27="",0,SUMIFS('Historique Semaine'!$H$7:$H$506,'Historique Semaine'!$D$7:$D$506,D27))</f>
        <v/>
      </c>
      <c r="H27" s="2" t="n"/>
      <c r="I27" s="42" t="n">
        <v>11</v>
      </c>
      <c r="J27" s="43">
        <f>D27</f>
        <v/>
      </c>
      <c r="K27" s="43">
        <f>IF(Effectif!$D$17="","",Effectif!$D$17)</f>
        <v/>
      </c>
      <c r="L27" s="46">
        <f>IF(D27="",0,MIN(Paramètres!$C$14,SUMIFS('Historique Semaine'!$L$7:$L$506,'Historique Semaine'!$D$7:$D$506,D27)))</f>
        <v/>
      </c>
      <c r="M27" s="2" t="n"/>
      <c r="N27" s="2" t="n"/>
      <c r="O27" s="1" t="n"/>
    </row>
    <row r="28">
      <c r="A28" s="1" t="n"/>
      <c r="B28" s="2" t="n"/>
      <c r="C28" s="47" t="n">
        <v>12</v>
      </c>
      <c r="D28" s="48">
        <f>IF(Effectif!$C$18="","",Effectif!$C$18)</f>
        <v/>
      </c>
      <c r="E28" s="49">
        <f>IF(D28="",0,SUMIFS('Historique Semaine'!$J$7:$J$506,'Historique Semaine'!$D$7:$D$506,D28))</f>
        <v/>
      </c>
      <c r="F28" s="49">
        <f>IF(D28="",0,SUMIFS('Historique Semaine'!$I$7:$I$506,'Historique Semaine'!$D$7:$D$506,D28))</f>
        <v/>
      </c>
      <c r="G28" s="50">
        <f>IF(D28="",0,SUMIFS('Historique Semaine'!$H$7:$H$506,'Historique Semaine'!$D$7:$D$506,D28))</f>
        <v/>
      </c>
      <c r="H28" s="2" t="n"/>
      <c r="I28" s="47" t="n">
        <v>12</v>
      </c>
      <c r="J28" s="48">
        <f>D28</f>
        <v/>
      </c>
      <c r="K28" s="48">
        <f>IF(Effectif!$D$18="","",Effectif!$D$18)</f>
        <v/>
      </c>
      <c r="L28" s="51">
        <f>IF(D28="",0,MIN(Paramètres!$C$14,SUMIFS('Historique Semaine'!$L$7:$L$506,'Historique Semaine'!$D$7:$D$506,D28)))</f>
        <v/>
      </c>
      <c r="M28" s="2" t="n"/>
      <c r="N28" s="2" t="n"/>
      <c r="O28" s="1" t="n"/>
    </row>
    <row r="29">
      <c r="A29" s="1" t="n"/>
      <c r="B29" s="2" t="n"/>
      <c r="C29" s="42" t="n">
        <v>13</v>
      </c>
      <c r="D29" s="43">
        <f>IF(Effectif!$C$19="","",Effectif!$C$19)</f>
        <v/>
      </c>
      <c r="E29" s="44">
        <f>IF(D29="",0,SUMIFS('Historique Semaine'!$J$7:$J$506,'Historique Semaine'!$D$7:$D$506,D29))</f>
        <v/>
      </c>
      <c r="F29" s="44">
        <f>IF(D29="",0,SUMIFS('Historique Semaine'!$I$7:$I$506,'Historique Semaine'!$D$7:$D$506,D29))</f>
        <v/>
      </c>
      <c r="G29" s="45">
        <f>IF(D29="",0,SUMIFS('Historique Semaine'!$H$7:$H$506,'Historique Semaine'!$D$7:$D$506,D29))</f>
        <v/>
      </c>
      <c r="H29" s="2" t="n"/>
      <c r="I29" s="42" t="n">
        <v>13</v>
      </c>
      <c r="J29" s="43">
        <f>D29</f>
        <v/>
      </c>
      <c r="K29" s="43">
        <f>IF(Effectif!$D$19="","",Effectif!$D$19)</f>
        <v/>
      </c>
      <c r="L29" s="46">
        <f>IF(D29="",0,MIN(Paramètres!$C$14,SUMIFS('Historique Semaine'!$L$7:$L$506,'Historique Semaine'!$D$7:$D$506,D29)))</f>
        <v/>
      </c>
      <c r="M29" s="2" t="n"/>
      <c r="N29" s="2" t="n"/>
      <c r="O29" s="1" t="n"/>
    </row>
    <row r="30">
      <c r="A30" s="1" t="n"/>
      <c r="B30" s="2" t="n"/>
      <c r="C30" s="47" t="n">
        <v>14</v>
      </c>
      <c r="D30" s="48">
        <f>IF(Effectif!$C$20="","",Effectif!$C$20)</f>
        <v/>
      </c>
      <c r="E30" s="49">
        <f>IF(D30="",0,SUMIFS('Historique Semaine'!$J$7:$J$506,'Historique Semaine'!$D$7:$D$506,D30))</f>
        <v/>
      </c>
      <c r="F30" s="49">
        <f>IF(D30="",0,SUMIFS('Historique Semaine'!$I$7:$I$506,'Historique Semaine'!$D$7:$D$506,D30))</f>
        <v/>
      </c>
      <c r="G30" s="50">
        <f>IF(D30="",0,SUMIFS('Historique Semaine'!$H$7:$H$506,'Historique Semaine'!$D$7:$D$506,D30))</f>
        <v/>
      </c>
      <c r="H30" s="2" t="n"/>
      <c r="I30" s="47" t="n">
        <v>14</v>
      </c>
      <c r="J30" s="48">
        <f>D30</f>
        <v/>
      </c>
      <c r="K30" s="48">
        <f>IF(Effectif!$D$20="","",Effectif!$D$20)</f>
        <v/>
      </c>
      <c r="L30" s="51">
        <f>IF(D30="",0,MIN(Paramètres!$C$14,SUMIFS('Historique Semaine'!$L$7:$L$506,'Historique Semaine'!$D$7:$D$506,D30)))</f>
        <v/>
      </c>
      <c r="M30" s="2" t="n"/>
      <c r="N30" s="2" t="n"/>
      <c r="O30" s="1" t="n"/>
    </row>
    <row r="31">
      <c r="A31" s="1" t="n"/>
      <c r="B31" s="2" t="n"/>
      <c r="C31" s="52" t="n">
        <v>15</v>
      </c>
      <c r="D31" s="53">
        <f>IF(Effectif!$C$21="","",Effectif!$C$21)</f>
        <v/>
      </c>
      <c r="E31" s="54">
        <f>IF(D31="",0,SUMIFS('Historique Semaine'!$J$7:$J$506,'Historique Semaine'!$D$7:$D$506,D31))</f>
        <v/>
      </c>
      <c r="F31" s="54">
        <f>IF(D31="",0,SUMIFS('Historique Semaine'!$I$7:$I$506,'Historique Semaine'!$D$7:$D$506,D31))</f>
        <v/>
      </c>
      <c r="G31" s="55">
        <f>IF(D31="",0,SUMIFS('Historique Semaine'!$H$7:$H$506,'Historique Semaine'!$D$7:$D$506,D31))</f>
        <v/>
      </c>
      <c r="H31" s="2" t="n"/>
      <c r="I31" s="52" t="n">
        <v>15</v>
      </c>
      <c r="J31" s="53">
        <f>D31</f>
        <v/>
      </c>
      <c r="K31" s="53">
        <f>IF(Effectif!$D$21="","",Effectif!$D$21)</f>
        <v/>
      </c>
      <c r="L31" s="56">
        <f>IF(D31="",0,MIN(Paramètres!$C$14,SUMIFS('Historique Semaine'!$L$7:$L$506,'Historique Semaine'!$D$7:$D$506,D31)))</f>
        <v/>
      </c>
      <c r="M31" s="2" t="n"/>
      <c r="N31" s="2" t="n"/>
      <c r="O31" s="1" t="n"/>
    </row>
    <row r="32">
      <c r="A32" s="1" t="n"/>
      <c r="B32" s="2" t="n"/>
      <c r="C32" s="2" t="n"/>
      <c r="D32" s="2" t="n"/>
      <c r="E32" s="2" t="n"/>
      <c r="F32" s="2" t="n"/>
      <c r="G32" s="2" t="n"/>
      <c r="H32" s="2" t="n"/>
      <c r="I32" s="2" t="n"/>
      <c r="J32" s="2" t="n"/>
      <c r="K32" s="2" t="n"/>
      <c r="L32" s="2" t="n"/>
      <c r="M32" s="2" t="n"/>
      <c r="N32" s="2" t="n"/>
      <c r="O32" s="1" t="n"/>
    </row>
    <row r="33">
      <c r="A33" s="1" t="n"/>
      <c r="B33" s="2" t="n"/>
      <c r="C33" s="2" t="n"/>
      <c r="D33" s="2" t="n"/>
      <c r="E33" s="2" t="n"/>
      <c r="F33" s="2" t="n"/>
      <c r="G33" s="2" t="n"/>
      <c r="H33" s="2" t="n"/>
      <c r="I33" s="2" t="n"/>
      <c r="J33" s="2" t="n"/>
      <c r="K33" s="2" t="n"/>
      <c r="L33" s="2" t="n"/>
      <c r="M33" s="2" t="n"/>
      <c r="N33" s="2" t="n"/>
      <c r="O33" s="1" t="n"/>
    </row>
    <row r="34">
      <c r="A34" s="1" t="n"/>
      <c r="B34" s="2" t="n"/>
      <c r="C34" s="57" t="inlineStr">
        <is>
          <t>VENTES PAR PRODUIT (semaine)</t>
        </is>
      </c>
      <c r="H34" s="2" t="n"/>
      <c r="I34" s="2" t="n"/>
      <c r="J34" s="2" t="n"/>
      <c r="K34" s="2" t="n"/>
      <c r="L34" s="2" t="n"/>
      <c r="M34" s="2" t="n"/>
      <c r="N34" s="2" t="n"/>
      <c r="O34" s="1" t="n"/>
    </row>
    <row r="35" ht="32" customHeight="1">
      <c r="A35" s="1" t="n"/>
      <c r="B35" s="2" t="n"/>
      <c r="C35" s="33" t="inlineStr">
        <is>
          <t>N°</t>
        </is>
      </c>
      <c r="D35" s="33" t="inlineStr">
        <is>
          <t>Produit</t>
        </is>
      </c>
      <c r="E35" s="33" t="inlineStr">
        <is>
          <t>Quantité vendue</t>
        </is>
      </c>
      <c r="F35" s="33" t="inlineStr">
        <is>
          <t>CA</t>
        </is>
      </c>
      <c r="G35" s="33" t="inlineStr">
        <is>
          <t>Bénéfice</t>
        </is>
      </c>
      <c r="H35" s="2" t="n"/>
      <c r="I35" s="2" t="n"/>
      <c r="J35" s="2" t="n"/>
      <c r="K35" s="2" t="n"/>
      <c r="L35" s="2" t="n"/>
      <c r="M35" s="2" t="n"/>
      <c r="N35" s="2" t="n"/>
      <c r="O35" s="1" t="n"/>
    </row>
    <row r="36">
      <c r="A36" s="1" t="n"/>
      <c r="B36" s="2" t="n"/>
      <c r="C36" s="43" t="n">
        <v>1</v>
      </c>
      <c r="D36" s="43">
        <f>Catalogue!B7</f>
        <v/>
      </c>
      <c r="E36" s="28">
        <f>SUMIFS('Historique Semaine'!$H$7:$H$506,'Historique Semaine'!$F$7:$F$506,D36)</f>
        <v/>
      </c>
      <c r="F36" s="58">
        <f>SUMIFS('Historique Semaine'!$I$7:$I$506,'Historique Semaine'!$F$7:$F$506,D36)</f>
        <v/>
      </c>
      <c r="G36" s="58">
        <f>SUMIFS('Historique Semaine'!$J$7:$J$506,'Historique Semaine'!$F$7:$F$506,D36)</f>
        <v/>
      </c>
      <c r="H36" s="2" t="n"/>
      <c r="I36" s="2" t="n"/>
      <c r="J36" s="2" t="n"/>
      <c r="K36" s="2" t="n"/>
      <c r="L36" s="2" t="n"/>
      <c r="M36" s="2" t="n"/>
      <c r="N36" s="2" t="n"/>
      <c r="O36" s="1" t="n"/>
    </row>
    <row r="37">
      <c r="A37" s="1" t="n"/>
      <c r="B37" s="2" t="n"/>
      <c r="C37" s="48" t="n">
        <v>2</v>
      </c>
      <c r="D37" s="48">
        <f>Catalogue!B8</f>
        <v/>
      </c>
      <c r="E37" s="59">
        <f>SUMIFS('Historique Semaine'!$H$7:$H$506,'Historique Semaine'!$F$7:$F$506,D37)</f>
        <v/>
      </c>
      <c r="F37" s="60">
        <f>SUMIFS('Historique Semaine'!$I$7:$I$506,'Historique Semaine'!$F$7:$F$506,D37)</f>
        <v/>
      </c>
      <c r="G37" s="60">
        <f>SUMIFS('Historique Semaine'!$J$7:$J$506,'Historique Semaine'!$F$7:$F$506,D37)</f>
        <v/>
      </c>
      <c r="H37" s="2" t="n"/>
      <c r="I37" s="2" t="n"/>
      <c r="J37" s="2" t="n"/>
      <c r="K37" s="2" t="n"/>
      <c r="L37" s="2" t="n"/>
      <c r="M37" s="2" t="n"/>
      <c r="N37" s="2" t="n"/>
      <c r="O37" s="1" t="n"/>
    </row>
    <row r="38">
      <c r="A38" s="1" t="n"/>
      <c r="B38" s="2" t="n"/>
      <c r="C38" s="43" t="n">
        <v>3</v>
      </c>
      <c r="D38" s="43">
        <f>Catalogue!B9</f>
        <v/>
      </c>
      <c r="E38" s="28">
        <f>SUMIFS('Historique Semaine'!$H$7:$H$506,'Historique Semaine'!$F$7:$F$506,D38)</f>
        <v/>
      </c>
      <c r="F38" s="58">
        <f>SUMIFS('Historique Semaine'!$I$7:$I$506,'Historique Semaine'!$F$7:$F$506,D38)</f>
        <v/>
      </c>
      <c r="G38" s="58">
        <f>SUMIFS('Historique Semaine'!$J$7:$J$506,'Historique Semaine'!$F$7:$F$506,D38)</f>
        <v/>
      </c>
      <c r="H38" s="2" t="n"/>
      <c r="I38" s="2" t="n"/>
      <c r="J38" s="2" t="n"/>
      <c r="K38" s="2" t="n"/>
      <c r="L38" s="2" t="n"/>
      <c r="M38" s="2" t="n"/>
      <c r="N38" s="2" t="n"/>
      <c r="O38" s="1" t="n"/>
    </row>
    <row r="39">
      <c r="A39" s="1" t="n"/>
      <c r="B39" s="2" t="n"/>
      <c r="C39" s="48" t="n">
        <v>4</v>
      </c>
      <c r="D39" s="48">
        <f>Catalogue!B10</f>
        <v/>
      </c>
      <c r="E39" s="59">
        <f>SUMIFS('Historique Semaine'!$H$7:$H$506,'Historique Semaine'!$F$7:$F$506,D39)</f>
        <v/>
      </c>
      <c r="F39" s="60">
        <f>SUMIFS('Historique Semaine'!$I$7:$I$506,'Historique Semaine'!$F$7:$F$506,D39)</f>
        <v/>
      </c>
      <c r="G39" s="60">
        <f>SUMIFS('Historique Semaine'!$J$7:$J$506,'Historique Semaine'!$F$7:$F$506,D39)</f>
        <v/>
      </c>
      <c r="H39" s="2" t="n"/>
      <c r="I39" s="2" t="n"/>
      <c r="J39" s="2" t="n"/>
      <c r="K39" s="2" t="n"/>
      <c r="L39" s="2" t="n"/>
      <c r="M39" s="2" t="n"/>
      <c r="N39" s="2" t="n"/>
      <c r="O39" s="1" t="n"/>
    </row>
    <row r="40">
      <c r="A40" s="1" t="n"/>
      <c r="B40" s="2" t="n"/>
      <c r="C40" s="43" t="n">
        <v>5</v>
      </c>
      <c r="D40" s="43">
        <f>Catalogue!B11</f>
        <v/>
      </c>
      <c r="E40" s="28">
        <f>SUMIFS('Historique Semaine'!$H$7:$H$506,'Historique Semaine'!$F$7:$F$506,D40)</f>
        <v/>
      </c>
      <c r="F40" s="58">
        <f>SUMIFS('Historique Semaine'!$I$7:$I$506,'Historique Semaine'!$F$7:$F$506,D40)</f>
        <v/>
      </c>
      <c r="G40" s="58">
        <f>SUMIFS('Historique Semaine'!$J$7:$J$506,'Historique Semaine'!$F$7:$F$506,D40)</f>
        <v/>
      </c>
      <c r="H40" s="2" t="n"/>
      <c r="I40" s="2" t="n"/>
      <c r="J40" s="2" t="n"/>
      <c r="K40" s="2" t="n"/>
      <c r="L40" s="2" t="n"/>
      <c r="M40" s="2" t="n"/>
      <c r="N40" s="2" t="n"/>
      <c r="O40" s="1" t="n"/>
    </row>
    <row r="41">
      <c r="A41" s="1" t="n"/>
      <c r="B41" s="2" t="n"/>
      <c r="C41" s="48" t="n">
        <v>6</v>
      </c>
      <c r="D41" s="48">
        <f>Catalogue!B12</f>
        <v/>
      </c>
      <c r="E41" s="59">
        <f>SUMIFS('Historique Semaine'!$H$7:$H$506,'Historique Semaine'!$F$7:$F$506,D41)</f>
        <v/>
      </c>
      <c r="F41" s="60">
        <f>SUMIFS('Historique Semaine'!$I$7:$I$506,'Historique Semaine'!$F$7:$F$506,D41)</f>
        <v/>
      </c>
      <c r="G41" s="60">
        <f>SUMIFS('Historique Semaine'!$J$7:$J$506,'Historique Semaine'!$F$7:$F$506,D41)</f>
        <v/>
      </c>
      <c r="H41" s="2" t="n"/>
      <c r="I41" s="2" t="n"/>
      <c r="J41" s="2" t="n"/>
      <c r="K41" s="2" t="n"/>
      <c r="L41" s="2" t="n"/>
      <c r="M41" s="2" t="n"/>
      <c r="N41" s="2" t="n"/>
      <c r="O41" s="1" t="n"/>
    </row>
    <row r="42">
      <c r="A42" s="1" t="n"/>
      <c r="B42" s="2" t="n"/>
      <c r="C42" s="43" t="n">
        <v>7</v>
      </c>
      <c r="D42" s="43">
        <f>Catalogue!B13</f>
        <v/>
      </c>
      <c r="E42" s="28">
        <f>SUMIFS('Historique Semaine'!$H$7:$H$506,'Historique Semaine'!$F$7:$F$506,D42)</f>
        <v/>
      </c>
      <c r="F42" s="58">
        <f>SUMIFS('Historique Semaine'!$I$7:$I$506,'Historique Semaine'!$F$7:$F$506,D42)</f>
        <v/>
      </c>
      <c r="G42" s="58">
        <f>SUMIFS('Historique Semaine'!$J$7:$J$506,'Historique Semaine'!$F$7:$F$506,D42)</f>
        <v/>
      </c>
      <c r="H42" s="2" t="n"/>
      <c r="I42" s="2" t="n"/>
      <c r="J42" s="2" t="n"/>
      <c r="K42" s="2" t="n"/>
      <c r="L42" s="2" t="n"/>
      <c r="M42" s="2" t="n"/>
      <c r="N42" s="2" t="n"/>
      <c r="O42" s="1" t="n"/>
    </row>
    <row r="43">
      <c r="A43" s="1" t="n"/>
      <c r="B43" s="2" t="n"/>
      <c r="C43" s="48" t="n">
        <v>8</v>
      </c>
      <c r="D43" s="48">
        <f>Catalogue!B14</f>
        <v/>
      </c>
      <c r="E43" s="59">
        <f>SUMIFS('Historique Semaine'!$H$7:$H$506,'Historique Semaine'!$F$7:$F$506,D43)</f>
        <v/>
      </c>
      <c r="F43" s="60">
        <f>SUMIFS('Historique Semaine'!$I$7:$I$506,'Historique Semaine'!$F$7:$F$506,D43)</f>
        <v/>
      </c>
      <c r="G43" s="60">
        <f>SUMIFS('Historique Semaine'!$J$7:$J$506,'Historique Semaine'!$F$7:$F$506,D43)</f>
        <v/>
      </c>
      <c r="H43" s="2" t="n"/>
      <c r="I43" s="2" t="n"/>
      <c r="J43" s="2" t="n"/>
      <c r="K43" s="2" t="n"/>
      <c r="L43" s="2" t="n"/>
      <c r="M43" s="2" t="n"/>
      <c r="N43" s="2" t="n"/>
      <c r="O43" s="1" t="n"/>
    </row>
    <row r="44">
      <c r="A44" s="1" t="n"/>
      <c r="B44" s="2" t="n"/>
      <c r="C44" s="43" t="n">
        <v>9</v>
      </c>
      <c r="D44" s="43">
        <f>Catalogue!B15</f>
        <v/>
      </c>
      <c r="E44" s="28">
        <f>SUMIFS('Historique Semaine'!$H$7:$H$506,'Historique Semaine'!$F$7:$F$506,D44)</f>
        <v/>
      </c>
      <c r="F44" s="58">
        <f>SUMIFS('Historique Semaine'!$I$7:$I$506,'Historique Semaine'!$F$7:$F$506,D44)</f>
        <v/>
      </c>
      <c r="G44" s="58">
        <f>SUMIFS('Historique Semaine'!$J$7:$J$506,'Historique Semaine'!$F$7:$F$506,D44)</f>
        <v/>
      </c>
      <c r="H44" s="2" t="n"/>
      <c r="I44" s="2" t="n"/>
      <c r="J44" s="2" t="n"/>
      <c r="K44" s="2" t="n"/>
      <c r="L44" s="2" t="n"/>
      <c r="M44" s="2" t="n"/>
      <c r="N44" s="2" t="n"/>
      <c r="O44" s="1" t="n"/>
    </row>
    <row r="45">
      <c r="A45" s="1" t="n"/>
      <c r="B45" s="2" t="n"/>
      <c r="C45" s="48" t="n">
        <v>10</v>
      </c>
      <c r="D45" s="48">
        <f>Catalogue!B16</f>
        <v/>
      </c>
      <c r="E45" s="59">
        <f>SUMIFS('Historique Semaine'!$H$7:$H$506,'Historique Semaine'!$F$7:$F$506,D45)</f>
        <v/>
      </c>
      <c r="F45" s="60">
        <f>SUMIFS('Historique Semaine'!$I$7:$I$506,'Historique Semaine'!$F$7:$F$506,D45)</f>
        <v/>
      </c>
      <c r="G45" s="60">
        <f>SUMIFS('Historique Semaine'!$J$7:$J$506,'Historique Semaine'!$F$7:$F$506,D45)</f>
        <v/>
      </c>
      <c r="H45" s="2" t="n"/>
      <c r="I45" s="2" t="n"/>
      <c r="J45" s="2" t="n"/>
      <c r="K45" s="2" t="n"/>
      <c r="L45" s="2" t="n"/>
      <c r="M45" s="2" t="n"/>
      <c r="N45" s="2" t="n"/>
      <c r="O45" s="1" t="n"/>
    </row>
    <row r="46">
      <c r="A46" s="1" t="n"/>
      <c r="B46" s="2" t="n"/>
      <c r="C46" s="43" t="n">
        <v>11</v>
      </c>
      <c r="D46" s="43">
        <f>Catalogue!B17</f>
        <v/>
      </c>
      <c r="E46" s="28">
        <f>SUMIFS('Historique Semaine'!$H$7:$H$506,'Historique Semaine'!$F$7:$F$506,D46)</f>
        <v/>
      </c>
      <c r="F46" s="58">
        <f>SUMIFS('Historique Semaine'!$I$7:$I$506,'Historique Semaine'!$F$7:$F$506,D46)</f>
        <v/>
      </c>
      <c r="G46" s="58">
        <f>SUMIFS('Historique Semaine'!$J$7:$J$506,'Historique Semaine'!$F$7:$F$506,D46)</f>
        <v/>
      </c>
      <c r="H46" s="2" t="n"/>
      <c r="I46" s="2" t="n"/>
      <c r="J46" s="2" t="n"/>
      <c r="K46" s="2" t="n"/>
      <c r="L46" s="2" t="n"/>
      <c r="M46" s="2" t="n"/>
      <c r="N46" s="2" t="n"/>
      <c r="O46" s="1" t="n"/>
    </row>
    <row r="47">
      <c r="A47" s="1" t="n"/>
      <c r="B47" s="2" t="n"/>
      <c r="C47" s="48" t="n">
        <v>12</v>
      </c>
      <c r="D47" s="48">
        <f>Catalogue!B18</f>
        <v/>
      </c>
      <c r="E47" s="59">
        <f>SUMIFS('Historique Semaine'!$H$7:$H$506,'Historique Semaine'!$F$7:$F$506,D47)</f>
        <v/>
      </c>
      <c r="F47" s="60">
        <f>SUMIFS('Historique Semaine'!$I$7:$I$506,'Historique Semaine'!$F$7:$F$506,D47)</f>
        <v/>
      </c>
      <c r="G47" s="60">
        <f>SUMIFS('Historique Semaine'!$J$7:$J$506,'Historique Semaine'!$F$7:$F$506,D47)</f>
        <v/>
      </c>
      <c r="H47" s="2" t="n"/>
      <c r="I47" s="2" t="n"/>
      <c r="J47" s="2" t="n"/>
      <c r="K47" s="2" t="n"/>
      <c r="L47" s="2" t="n"/>
      <c r="M47" s="2" t="n"/>
      <c r="N47" s="2" t="n"/>
      <c r="O47" s="1" t="n"/>
    </row>
    <row r="48">
      <c r="A48" s="1" t="n"/>
      <c r="B48" s="2" t="n"/>
      <c r="C48" s="43" t="n">
        <v>13</v>
      </c>
      <c r="D48" s="43">
        <f>Catalogue!B19</f>
        <v/>
      </c>
      <c r="E48" s="28">
        <f>SUMIFS('Historique Semaine'!$H$7:$H$506,'Historique Semaine'!$F$7:$F$506,D48)</f>
        <v/>
      </c>
      <c r="F48" s="58">
        <f>SUMIFS('Historique Semaine'!$I$7:$I$506,'Historique Semaine'!$F$7:$F$506,D48)</f>
        <v/>
      </c>
      <c r="G48" s="58">
        <f>SUMIFS('Historique Semaine'!$J$7:$J$506,'Historique Semaine'!$F$7:$F$506,D48)</f>
        <v/>
      </c>
      <c r="H48" s="2" t="n"/>
      <c r="I48" s="2" t="n"/>
      <c r="J48" s="2" t="n"/>
      <c r="K48" s="2" t="n"/>
      <c r="L48" s="2" t="n"/>
      <c r="M48" s="2" t="n"/>
      <c r="N48" s="2" t="n"/>
      <c r="O48" s="1" t="n"/>
    </row>
    <row r="49">
      <c r="A49" s="1" t="n"/>
      <c r="B49" s="2" t="n"/>
      <c r="C49" s="2" t="n"/>
      <c r="D49" s="2" t="n"/>
      <c r="E49" s="2" t="n"/>
      <c r="F49" s="2" t="n"/>
      <c r="G49" s="2" t="n"/>
      <c r="H49" s="2" t="n"/>
      <c r="I49" s="2" t="n"/>
      <c r="J49" s="2" t="n"/>
      <c r="K49" s="2" t="n"/>
      <c r="L49" s="2" t="n"/>
      <c r="M49" s="2" t="n"/>
      <c r="N49" s="2" t="n"/>
      <c r="O49" s="1" t="n"/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</row>
  </sheetData>
  <mergeCells count="13">
    <mergeCell ref="D11:F11"/>
    <mergeCell ref="D13:F13"/>
    <mergeCell ref="D14:F14"/>
    <mergeCell ref="D5:F5"/>
    <mergeCell ref="J5:K5"/>
    <mergeCell ref="C34:G34"/>
    <mergeCell ref="D6:F6"/>
    <mergeCell ref="D12:F12"/>
    <mergeCell ref="D9:F9"/>
    <mergeCell ref="D7:F7"/>
    <mergeCell ref="D8:F8"/>
    <mergeCell ref="C2:L2"/>
    <mergeCell ref="D10:F10"/>
  </mergeCells>
  <conditionalFormatting sqref="K17:K31">
    <cfRule type="expression" priority="1" dxfId="1">
      <formula>K17=Paramètres!$B$7</formula>
    </cfRule>
    <cfRule type="expression" priority="2" dxfId="2">
      <formula>K17=Paramètres!$B$8</formula>
    </cfRule>
    <cfRule type="expression" priority="3" dxfId="3">
      <formula>K17=Paramètres!$B$9</formula>
    </cfRule>
    <cfRule type="expression" priority="4" dxfId="4">
      <formula>K17=Paramètres!$B$10</formula>
    </cfRule>
    <cfRule type="expression" priority="5" dxfId="5">
      <formula>K17=Paramètres!$B$11</formula>
    </cfRule>
    <cfRule type="expression" priority="6" dxfId="6">
      <formula>K17=Paramètres!$B$12</formula>
    </cfRule>
  </conditionalFormatting>
  <conditionalFormatting sqref="G5:G12">
    <cfRule type="expression" priority="7" dxfId="7">
      <formula>AND(ISNUMBER(G5),G5&lt;0)</formula>
    </cfRule>
  </conditionalFormatting>
  <conditionalFormatting sqref="K7:K12">
    <cfRule type="expression" priority="8" dxfId="7">
      <formula>AND(ISNUMBER(K7),K7&lt;0)</formula>
    </cfRule>
  </conditionalFormatting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Feuil5">
    <outlinePr summaryBelow="1" summaryRight="1"/>
    <pageSetUpPr/>
  </sheetPr>
  <dimension ref="A1:M200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7" customWidth="1" min="2" max="2"/>
    <col width="13" customWidth="1" min="3" max="3"/>
    <col width="20" customWidth="1" min="4" max="4"/>
    <col width="20" customWidth="1" min="5" max="5"/>
    <col width="20" customWidth="1" min="6" max="6"/>
    <col width="12" customWidth="1" min="7" max="7"/>
    <col width="10" customWidth="1" min="8" max="8"/>
    <col width="14" customWidth="1" min="9" max="9"/>
    <col width="14" customWidth="1" min="10" max="10"/>
    <col width="14" customWidth="1" min="11" max="11"/>
    <col width="13" customWidth="1" min="12" max="12"/>
    <col width="3" customWidth="1" min="13" max="13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 ht="40" customHeight="1">
      <c r="A2" s="1" t="n"/>
      <c r="B2" s="9" t="inlineStr">
        <is>
          <t>ARCHIVE DES VENTES</t>
        </is>
      </c>
      <c r="M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10" t="inlineStr">
        <is>
          <t>⬅ Accueil</t>
        </is>
      </c>
      <c r="M3" s="1" t="n"/>
    </row>
    <row r="4">
      <c r="A4" s="1" t="n"/>
      <c r="B4" s="11" t="inlineStr">
        <is>
          <t>Rempli automatiquement par le bouton ARCHIVER LA SEMAINE de l'Historique.</t>
        </is>
      </c>
      <c r="L4" s="2" t="n"/>
      <c r="M4" s="1" t="n"/>
    </row>
    <row r="5">
      <c r="A5" s="1" t="n"/>
      <c r="B5" s="2" t="n"/>
      <c r="C5" s="2" t="n"/>
      <c r="D5" s="2" t="n"/>
      <c r="E5" s="2" t="n"/>
      <c r="F5" s="2" t="n"/>
      <c r="G5" s="2" t="n"/>
      <c r="H5" s="21" t="inlineStr">
        <is>
          <t>TOTAL →</t>
        </is>
      </c>
      <c r="I5" s="22">
        <f>SUM(I7:I2006)</f>
        <v/>
      </c>
      <c r="J5" s="22">
        <f>SUM(J7:J2006)</f>
        <v/>
      </c>
      <c r="K5" s="22">
        <f>SUM(K7:K2006)</f>
        <v/>
      </c>
      <c r="L5" s="22">
        <f>SUM(L7:L2006)</f>
        <v/>
      </c>
      <c r="M5" s="1" t="n"/>
    </row>
    <row r="6" ht="32" customHeight="1">
      <c r="A6" s="1" t="n"/>
      <c r="B6" s="23" t="inlineStr">
        <is>
          <t>N°</t>
        </is>
      </c>
      <c r="C6" s="23" t="inlineStr">
        <is>
          <t>Date de vente</t>
        </is>
      </c>
      <c r="D6" s="23" t="inlineStr">
        <is>
          <t>Nom vendeur</t>
        </is>
      </c>
      <c r="E6" s="23" t="inlineStr">
        <is>
          <t>Nom client</t>
        </is>
      </c>
      <c r="F6" s="23" t="inlineStr">
        <is>
          <t>Produit</t>
        </is>
      </c>
      <c r="G6" s="23" t="inlineStr">
        <is>
          <t>Catégorie</t>
        </is>
      </c>
      <c r="H6" s="23" t="inlineStr">
        <is>
          <t>Quantité</t>
        </is>
      </c>
      <c r="I6" s="23" t="inlineStr">
        <is>
          <t>Prix de vente</t>
        </is>
      </c>
      <c r="J6" s="23" t="inlineStr">
        <is>
          <t>Bénéfice</t>
        </is>
      </c>
      <c r="K6" s="23" t="inlineStr">
        <is>
          <t>Coût matières</t>
        </is>
      </c>
      <c r="L6" s="23" t="inlineStr">
        <is>
          <t>Prime</t>
        </is>
      </c>
      <c r="M6" s="1" t="n"/>
    </row>
    <row r="7">
      <c r="A7" s="1" t="n"/>
      <c r="B7" s="24" t="n">
        <v>1</v>
      </c>
      <c r="C7" s="61" t="n"/>
      <c r="D7" s="27" t="n"/>
      <c r="E7" s="27" t="n"/>
      <c r="F7" s="27" t="n"/>
      <c r="G7" s="27" t="n"/>
      <c r="H7" s="62" t="n"/>
      <c r="I7" s="31" t="n"/>
      <c r="J7" s="31" t="n"/>
      <c r="K7" s="31" t="n"/>
      <c r="L7" s="31" t="n"/>
      <c r="M7" s="1" t="n"/>
    </row>
    <row r="8">
      <c r="A8" s="1" t="n"/>
      <c r="B8" s="24" t="n">
        <v>2</v>
      </c>
      <c r="C8" s="61" t="n"/>
      <c r="D8" s="27" t="n"/>
      <c r="E8" s="27" t="n"/>
      <c r="F8" s="27" t="n"/>
      <c r="G8" s="27" t="n"/>
      <c r="H8" s="62" t="n"/>
      <c r="I8" s="31" t="n"/>
      <c r="J8" s="31" t="n"/>
      <c r="K8" s="31" t="n"/>
      <c r="L8" s="31" t="n"/>
      <c r="M8" s="1" t="n"/>
    </row>
    <row r="9">
      <c r="A9" s="1" t="n"/>
      <c r="B9" s="24" t="n">
        <v>3</v>
      </c>
      <c r="C9" s="61" t="n"/>
      <c r="D9" s="27" t="n"/>
      <c r="E9" s="27" t="n"/>
      <c r="F9" s="27" t="n"/>
      <c r="G9" s="27" t="n"/>
      <c r="H9" s="62" t="n"/>
      <c r="I9" s="31" t="n"/>
      <c r="J9" s="31" t="n"/>
      <c r="K9" s="31" t="n"/>
      <c r="L9" s="31" t="n"/>
      <c r="M9" s="1" t="n"/>
    </row>
    <row r="10">
      <c r="A10" s="1" t="n"/>
      <c r="B10" s="24" t="n">
        <v>4</v>
      </c>
      <c r="C10" s="61" t="n"/>
      <c r="D10" s="27" t="n"/>
      <c r="E10" s="27" t="n"/>
      <c r="F10" s="27" t="n"/>
      <c r="G10" s="27" t="n"/>
      <c r="H10" s="62" t="n"/>
      <c r="I10" s="31" t="n"/>
      <c r="J10" s="31" t="n"/>
      <c r="K10" s="31" t="n"/>
      <c r="L10" s="31" t="n"/>
      <c r="M10" s="1" t="n"/>
    </row>
    <row r="11">
      <c r="A11" s="1" t="n"/>
      <c r="B11" s="24" t="n">
        <v>5</v>
      </c>
      <c r="C11" s="61" t="n"/>
      <c r="D11" s="27" t="n"/>
      <c r="E11" s="27" t="n"/>
      <c r="F11" s="27" t="n"/>
      <c r="G11" s="27" t="n"/>
      <c r="H11" s="62" t="n"/>
      <c r="I11" s="31" t="n"/>
      <c r="J11" s="31" t="n"/>
      <c r="K11" s="31" t="n"/>
      <c r="L11" s="31" t="n"/>
      <c r="M11" s="1" t="n"/>
    </row>
    <row r="12">
      <c r="A12" s="1" t="n"/>
      <c r="B12" s="24" t="n">
        <v>6</v>
      </c>
      <c r="C12" s="61" t="n"/>
      <c r="D12" s="27" t="n"/>
      <c r="E12" s="27" t="n"/>
      <c r="F12" s="27" t="n"/>
      <c r="G12" s="27" t="n"/>
      <c r="H12" s="62" t="n"/>
      <c r="I12" s="31" t="n"/>
      <c r="J12" s="31" t="n"/>
      <c r="K12" s="31" t="n"/>
      <c r="L12" s="31" t="n"/>
      <c r="M12" s="1" t="n"/>
    </row>
    <row r="13">
      <c r="A13" s="1" t="n"/>
      <c r="B13" s="24" t="n">
        <v>7</v>
      </c>
      <c r="C13" s="61" t="n"/>
      <c r="D13" s="27" t="n"/>
      <c r="E13" s="27" t="n"/>
      <c r="F13" s="27" t="n"/>
      <c r="G13" s="27" t="n"/>
      <c r="H13" s="62" t="n"/>
      <c r="I13" s="31" t="n"/>
      <c r="J13" s="31" t="n"/>
      <c r="K13" s="31" t="n"/>
      <c r="L13" s="31" t="n"/>
      <c r="M13" s="1" t="n"/>
    </row>
    <row r="14">
      <c r="A14" s="1" t="n"/>
      <c r="B14" s="24" t="n">
        <v>8</v>
      </c>
      <c r="C14" s="61" t="n"/>
      <c r="D14" s="27" t="n"/>
      <c r="E14" s="27" t="n"/>
      <c r="F14" s="27" t="n"/>
      <c r="G14" s="27" t="n"/>
      <c r="H14" s="62" t="n"/>
      <c r="I14" s="31" t="n"/>
      <c r="J14" s="31" t="n"/>
      <c r="K14" s="31" t="n"/>
      <c r="L14" s="31" t="n"/>
      <c r="M14" s="1" t="n"/>
    </row>
    <row r="15">
      <c r="A15" s="1" t="n"/>
      <c r="B15" s="24" t="n">
        <v>9</v>
      </c>
      <c r="C15" s="61" t="n"/>
      <c r="D15" s="27" t="n"/>
      <c r="E15" s="27" t="n"/>
      <c r="F15" s="27" t="n"/>
      <c r="G15" s="27" t="n"/>
      <c r="H15" s="62" t="n"/>
      <c r="I15" s="31" t="n"/>
      <c r="J15" s="31" t="n"/>
      <c r="K15" s="31" t="n"/>
      <c r="L15" s="31" t="n"/>
      <c r="M15" s="1" t="n"/>
    </row>
    <row r="16">
      <c r="A16" s="1" t="n"/>
      <c r="B16" s="24" t="n">
        <v>10</v>
      </c>
      <c r="C16" s="61" t="n"/>
      <c r="D16" s="27" t="n"/>
      <c r="E16" s="27" t="n"/>
      <c r="F16" s="27" t="n"/>
      <c r="G16" s="27" t="n"/>
      <c r="H16" s="62" t="n"/>
      <c r="I16" s="31" t="n"/>
      <c r="J16" s="31" t="n"/>
      <c r="K16" s="31" t="n"/>
      <c r="L16" s="31" t="n"/>
      <c r="M16" s="1" t="n"/>
    </row>
    <row r="17">
      <c r="A17" s="1" t="n"/>
      <c r="B17" s="24" t="n">
        <v>11</v>
      </c>
      <c r="C17" s="61" t="n"/>
      <c r="D17" s="27" t="n"/>
      <c r="E17" s="27" t="n"/>
      <c r="F17" s="27" t="n"/>
      <c r="G17" s="27" t="n"/>
      <c r="H17" s="62" t="n"/>
      <c r="I17" s="31" t="n"/>
      <c r="J17" s="31" t="n"/>
      <c r="K17" s="31" t="n"/>
      <c r="L17" s="31" t="n"/>
      <c r="M17" s="1" t="n"/>
    </row>
    <row r="18">
      <c r="A18" s="1" t="n"/>
      <c r="B18" s="24" t="n">
        <v>12</v>
      </c>
      <c r="C18" s="61" t="n"/>
      <c r="D18" s="27" t="n"/>
      <c r="E18" s="27" t="n"/>
      <c r="F18" s="27" t="n"/>
      <c r="G18" s="27" t="n"/>
      <c r="H18" s="62" t="n"/>
      <c r="I18" s="31" t="n"/>
      <c r="J18" s="31" t="n"/>
      <c r="K18" s="31" t="n"/>
      <c r="L18" s="31" t="n"/>
      <c r="M18" s="1" t="n"/>
    </row>
    <row r="19">
      <c r="A19" s="1" t="n"/>
      <c r="B19" s="24" t="n">
        <v>13</v>
      </c>
      <c r="C19" s="61" t="n"/>
      <c r="D19" s="27" t="n"/>
      <c r="E19" s="27" t="n"/>
      <c r="F19" s="27" t="n"/>
      <c r="G19" s="27" t="n"/>
      <c r="H19" s="62" t="n"/>
      <c r="I19" s="31" t="n"/>
      <c r="J19" s="31" t="n"/>
      <c r="K19" s="31" t="n"/>
      <c r="L19" s="31" t="n"/>
      <c r="M19" s="1" t="n"/>
    </row>
    <row r="20">
      <c r="A20" s="1" t="n"/>
      <c r="B20" s="24" t="n">
        <v>14</v>
      </c>
      <c r="C20" s="61" t="n"/>
      <c r="D20" s="27" t="n"/>
      <c r="E20" s="27" t="n"/>
      <c r="F20" s="27" t="n"/>
      <c r="G20" s="27" t="n"/>
      <c r="H20" s="62" t="n"/>
      <c r="I20" s="31" t="n"/>
      <c r="J20" s="31" t="n"/>
      <c r="K20" s="31" t="n"/>
      <c r="L20" s="31" t="n"/>
      <c r="M20" s="1" t="n"/>
    </row>
    <row r="21">
      <c r="A21" s="1" t="n"/>
      <c r="B21" s="24" t="n">
        <v>15</v>
      </c>
      <c r="C21" s="61" t="n"/>
      <c r="D21" s="27" t="n"/>
      <c r="E21" s="27" t="n"/>
      <c r="F21" s="27" t="n"/>
      <c r="G21" s="27" t="n"/>
      <c r="H21" s="62" t="n"/>
      <c r="I21" s="31" t="n"/>
      <c r="J21" s="31" t="n"/>
      <c r="K21" s="31" t="n"/>
      <c r="L21" s="31" t="n"/>
      <c r="M21" s="1" t="n"/>
    </row>
    <row r="22">
      <c r="A22" s="1" t="n"/>
      <c r="B22" s="24" t="n">
        <v>16</v>
      </c>
      <c r="C22" s="61" t="n"/>
      <c r="D22" s="27" t="n"/>
      <c r="E22" s="27" t="n"/>
      <c r="F22" s="27" t="n"/>
      <c r="G22" s="27" t="n"/>
      <c r="H22" s="62" t="n"/>
      <c r="I22" s="31" t="n"/>
      <c r="J22" s="31" t="n"/>
      <c r="K22" s="31" t="n"/>
      <c r="L22" s="31" t="n"/>
      <c r="M22" s="1" t="n"/>
    </row>
    <row r="23">
      <c r="A23" s="1" t="n"/>
      <c r="B23" s="24" t="n">
        <v>17</v>
      </c>
      <c r="C23" s="61" t="n"/>
      <c r="D23" s="27" t="n"/>
      <c r="E23" s="27" t="n"/>
      <c r="F23" s="27" t="n"/>
      <c r="G23" s="27" t="n"/>
      <c r="H23" s="62" t="n"/>
      <c r="I23" s="31" t="n"/>
      <c r="J23" s="31" t="n"/>
      <c r="K23" s="31" t="n"/>
      <c r="L23" s="31" t="n"/>
      <c r="M23" s="1" t="n"/>
    </row>
    <row r="24">
      <c r="A24" s="1" t="n"/>
      <c r="B24" s="24" t="n">
        <v>18</v>
      </c>
      <c r="C24" s="61" t="n"/>
      <c r="D24" s="27" t="n"/>
      <c r="E24" s="27" t="n"/>
      <c r="F24" s="27" t="n"/>
      <c r="G24" s="27" t="n"/>
      <c r="H24" s="62" t="n"/>
      <c r="I24" s="31" t="n"/>
      <c r="J24" s="31" t="n"/>
      <c r="K24" s="31" t="n"/>
      <c r="L24" s="31" t="n"/>
      <c r="M24" s="1" t="n"/>
    </row>
    <row r="25">
      <c r="A25" s="1" t="n"/>
      <c r="B25" s="24" t="n">
        <v>19</v>
      </c>
      <c r="C25" s="61" t="n"/>
      <c r="D25" s="27" t="n"/>
      <c r="E25" s="27" t="n"/>
      <c r="F25" s="27" t="n"/>
      <c r="G25" s="27" t="n"/>
      <c r="H25" s="62" t="n"/>
      <c r="I25" s="31" t="n"/>
      <c r="J25" s="31" t="n"/>
      <c r="K25" s="31" t="n"/>
      <c r="L25" s="31" t="n"/>
      <c r="M25" s="1" t="n"/>
    </row>
    <row r="26">
      <c r="A26" s="1" t="n"/>
      <c r="B26" s="24" t="n">
        <v>20</v>
      </c>
      <c r="C26" s="61" t="n"/>
      <c r="D26" s="27" t="n"/>
      <c r="E26" s="27" t="n"/>
      <c r="F26" s="27" t="n"/>
      <c r="G26" s="27" t="n"/>
      <c r="H26" s="62" t="n"/>
      <c r="I26" s="31" t="n"/>
      <c r="J26" s="31" t="n"/>
      <c r="K26" s="31" t="n"/>
      <c r="L26" s="31" t="n"/>
      <c r="M26" s="1" t="n"/>
    </row>
    <row r="27">
      <c r="A27" s="1" t="n"/>
      <c r="B27" s="24" t="n">
        <v>21</v>
      </c>
      <c r="C27" s="61" t="n"/>
      <c r="D27" s="27" t="n"/>
      <c r="E27" s="27" t="n"/>
      <c r="F27" s="27" t="n"/>
      <c r="G27" s="27" t="n"/>
      <c r="H27" s="62" t="n"/>
      <c r="I27" s="31" t="n"/>
      <c r="J27" s="31" t="n"/>
      <c r="K27" s="31" t="n"/>
      <c r="L27" s="31" t="n"/>
      <c r="M27" s="1" t="n"/>
    </row>
    <row r="28">
      <c r="A28" s="1" t="n"/>
      <c r="B28" s="24" t="n">
        <v>22</v>
      </c>
      <c r="C28" s="61" t="n"/>
      <c r="D28" s="27" t="n"/>
      <c r="E28" s="27" t="n"/>
      <c r="F28" s="27" t="n"/>
      <c r="G28" s="27" t="n"/>
      <c r="H28" s="62" t="n"/>
      <c r="I28" s="31" t="n"/>
      <c r="J28" s="31" t="n"/>
      <c r="K28" s="31" t="n"/>
      <c r="L28" s="31" t="n"/>
      <c r="M28" s="1" t="n"/>
    </row>
    <row r="29">
      <c r="A29" s="1" t="n"/>
      <c r="B29" s="24" t="n">
        <v>23</v>
      </c>
      <c r="C29" s="61" t="n"/>
      <c r="D29" s="27" t="n"/>
      <c r="E29" s="27" t="n"/>
      <c r="F29" s="27" t="n"/>
      <c r="G29" s="27" t="n"/>
      <c r="H29" s="62" t="n"/>
      <c r="I29" s="31" t="n"/>
      <c r="J29" s="31" t="n"/>
      <c r="K29" s="31" t="n"/>
      <c r="L29" s="31" t="n"/>
      <c r="M29" s="1" t="n"/>
    </row>
    <row r="30">
      <c r="A30" s="1" t="n"/>
      <c r="B30" s="24" t="n">
        <v>24</v>
      </c>
      <c r="C30" s="61" t="n"/>
      <c r="D30" s="27" t="n"/>
      <c r="E30" s="27" t="n"/>
      <c r="F30" s="27" t="n"/>
      <c r="G30" s="27" t="n"/>
      <c r="H30" s="62" t="n"/>
      <c r="I30" s="31" t="n"/>
      <c r="J30" s="31" t="n"/>
      <c r="K30" s="31" t="n"/>
      <c r="L30" s="31" t="n"/>
      <c r="M30" s="1" t="n"/>
    </row>
    <row r="31">
      <c r="A31" s="1" t="n"/>
      <c r="B31" s="24" t="n">
        <v>25</v>
      </c>
      <c r="C31" s="61" t="n"/>
      <c r="D31" s="27" t="n"/>
      <c r="E31" s="27" t="n"/>
      <c r="F31" s="27" t="n"/>
      <c r="G31" s="27" t="n"/>
      <c r="H31" s="62" t="n"/>
      <c r="I31" s="31" t="n"/>
      <c r="J31" s="31" t="n"/>
      <c r="K31" s="31" t="n"/>
      <c r="L31" s="31" t="n"/>
      <c r="M31" s="1" t="n"/>
    </row>
    <row r="32">
      <c r="A32" s="1" t="n"/>
      <c r="B32" s="24" t="n">
        <v>26</v>
      </c>
      <c r="C32" s="61" t="n"/>
      <c r="D32" s="27" t="n"/>
      <c r="E32" s="27" t="n"/>
      <c r="F32" s="27" t="n"/>
      <c r="G32" s="27" t="n"/>
      <c r="H32" s="62" t="n"/>
      <c r="I32" s="31" t="n"/>
      <c r="J32" s="31" t="n"/>
      <c r="K32" s="31" t="n"/>
      <c r="L32" s="31" t="n"/>
      <c r="M32" s="1" t="n"/>
    </row>
    <row r="33">
      <c r="A33" s="1" t="n"/>
      <c r="B33" s="24" t="n">
        <v>27</v>
      </c>
      <c r="C33" s="61" t="n"/>
      <c r="D33" s="27" t="n"/>
      <c r="E33" s="27" t="n"/>
      <c r="F33" s="27" t="n"/>
      <c r="G33" s="27" t="n"/>
      <c r="H33" s="62" t="n"/>
      <c r="I33" s="31" t="n"/>
      <c r="J33" s="31" t="n"/>
      <c r="K33" s="31" t="n"/>
      <c r="L33" s="31" t="n"/>
      <c r="M33" s="1" t="n"/>
    </row>
    <row r="34">
      <c r="A34" s="1" t="n"/>
      <c r="B34" s="24" t="n">
        <v>28</v>
      </c>
      <c r="C34" s="61" t="n"/>
      <c r="D34" s="27" t="n"/>
      <c r="E34" s="27" t="n"/>
      <c r="F34" s="27" t="n"/>
      <c r="G34" s="27" t="n"/>
      <c r="H34" s="62" t="n"/>
      <c r="I34" s="31" t="n"/>
      <c r="J34" s="31" t="n"/>
      <c r="K34" s="31" t="n"/>
      <c r="L34" s="31" t="n"/>
      <c r="M34" s="1" t="n"/>
    </row>
    <row r="35">
      <c r="A35" s="1" t="n"/>
      <c r="B35" s="24" t="n">
        <v>29</v>
      </c>
      <c r="C35" s="61" t="n"/>
      <c r="D35" s="27" t="n"/>
      <c r="E35" s="27" t="n"/>
      <c r="F35" s="27" t="n"/>
      <c r="G35" s="27" t="n"/>
      <c r="H35" s="62" t="n"/>
      <c r="I35" s="31" t="n"/>
      <c r="J35" s="31" t="n"/>
      <c r="K35" s="31" t="n"/>
      <c r="L35" s="31" t="n"/>
      <c r="M35" s="1" t="n"/>
    </row>
    <row r="36">
      <c r="A36" s="1" t="n"/>
      <c r="B36" s="24" t="n">
        <v>30</v>
      </c>
      <c r="C36" s="61" t="n"/>
      <c r="D36" s="27" t="n"/>
      <c r="E36" s="27" t="n"/>
      <c r="F36" s="27" t="n"/>
      <c r="G36" s="27" t="n"/>
      <c r="H36" s="62" t="n"/>
      <c r="I36" s="31" t="n"/>
      <c r="J36" s="31" t="n"/>
      <c r="K36" s="31" t="n"/>
      <c r="L36" s="31" t="n"/>
      <c r="M36" s="1" t="n"/>
    </row>
    <row r="37">
      <c r="A37" s="1" t="n"/>
      <c r="B37" s="24" t="n">
        <v>31</v>
      </c>
      <c r="C37" s="61" t="n"/>
      <c r="D37" s="27" t="n"/>
      <c r="E37" s="27" t="n"/>
      <c r="F37" s="27" t="n"/>
      <c r="G37" s="27" t="n"/>
      <c r="H37" s="62" t="n"/>
      <c r="I37" s="31" t="n"/>
      <c r="J37" s="31" t="n"/>
      <c r="K37" s="31" t="n"/>
      <c r="L37" s="31" t="n"/>
      <c r="M37" s="1" t="n"/>
    </row>
    <row r="38">
      <c r="A38" s="1" t="n"/>
      <c r="B38" s="24" t="n">
        <v>32</v>
      </c>
      <c r="C38" s="61" t="n"/>
      <c r="D38" s="27" t="n"/>
      <c r="E38" s="27" t="n"/>
      <c r="F38" s="27" t="n"/>
      <c r="G38" s="27" t="n"/>
      <c r="H38" s="62" t="n"/>
      <c r="I38" s="31" t="n"/>
      <c r="J38" s="31" t="n"/>
      <c r="K38" s="31" t="n"/>
      <c r="L38" s="31" t="n"/>
      <c r="M38" s="1" t="n"/>
    </row>
    <row r="39">
      <c r="A39" s="1" t="n"/>
      <c r="B39" s="24" t="n">
        <v>33</v>
      </c>
      <c r="C39" s="61" t="n"/>
      <c r="D39" s="27" t="n"/>
      <c r="E39" s="27" t="n"/>
      <c r="F39" s="27" t="n"/>
      <c r="G39" s="27" t="n"/>
      <c r="H39" s="62" t="n"/>
      <c r="I39" s="31" t="n"/>
      <c r="J39" s="31" t="n"/>
      <c r="K39" s="31" t="n"/>
      <c r="L39" s="31" t="n"/>
      <c r="M39" s="1" t="n"/>
    </row>
    <row r="40">
      <c r="A40" s="1" t="n"/>
      <c r="B40" s="24" t="n">
        <v>34</v>
      </c>
      <c r="C40" s="61" t="n"/>
      <c r="D40" s="27" t="n"/>
      <c r="E40" s="27" t="n"/>
      <c r="F40" s="27" t="n"/>
      <c r="G40" s="27" t="n"/>
      <c r="H40" s="62" t="n"/>
      <c r="I40" s="31" t="n"/>
      <c r="J40" s="31" t="n"/>
      <c r="K40" s="31" t="n"/>
      <c r="L40" s="31" t="n"/>
      <c r="M40" s="1" t="n"/>
    </row>
    <row r="41">
      <c r="A41" s="1" t="n"/>
      <c r="B41" s="24" t="n">
        <v>35</v>
      </c>
      <c r="C41" s="61" t="n"/>
      <c r="D41" s="27" t="n"/>
      <c r="E41" s="27" t="n"/>
      <c r="F41" s="27" t="n"/>
      <c r="G41" s="27" t="n"/>
      <c r="H41" s="62" t="n"/>
      <c r="I41" s="31" t="n"/>
      <c r="J41" s="31" t="n"/>
      <c r="K41" s="31" t="n"/>
      <c r="L41" s="31" t="n"/>
      <c r="M41" s="1" t="n"/>
    </row>
    <row r="42">
      <c r="A42" s="1" t="n"/>
      <c r="B42" s="24" t="n">
        <v>36</v>
      </c>
      <c r="C42" s="61" t="n"/>
      <c r="D42" s="27" t="n"/>
      <c r="E42" s="27" t="n"/>
      <c r="F42" s="27" t="n"/>
      <c r="G42" s="27" t="n"/>
      <c r="H42" s="62" t="n"/>
      <c r="I42" s="31" t="n"/>
      <c r="J42" s="31" t="n"/>
      <c r="K42" s="31" t="n"/>
      <c r="L42" s="31" t="n"/>
      <c r="M42" s="1" t="n"/>
    </row>
    <row r="43">
      <c r="A43" s="1" t="n"/>
      <c r="B43" s="24" t="n">
        <v>37</v>
      </c>
      <c r="C43" s="61" t="n"/>
      <c r="D43" s="27" t="n"/>
      <c r="E43" s="27" t="n"/>
      <c r="F43" s="27" t="n"/>
      <c r="G43" s="27" t="n"/>
      <c r="H43" s="62" t="n"/>
      <c r="I43" s="31" t="n"/>
      <c r="J43" s="31" t="n"/>
      <c r="K43" s="31" t="n"/>
      <c r="L43" s="31" t="n"/>
      <c r="M43" s="1" t="n"/>
    </row>
    <row r="44">
      <c r="A44" s="1" t="n"/>
      <c r="B44" s="24" t="n">
        <v>38</v>
      </c>
      <c r="C44" s="61" t="n"/>
      <c r="D44" s="27" t="n"/>
      <c r="E44" s="27" t="n"/>
      <c r="F44" s="27" t="n"/>
      <c r="G44" s="27" t="n"/>
      <c r="H44" s="62" t="n"/>
      <c r="I44" s="31" t="n"/>
      <c r="J44" s="31" t="n"/>
      <c r="K44" s="31" t="n"/>
      <c r="L44" s="31" t="n"/>
      <c r="M44" s="1" t="n"/>
    </row>
    <row r="45">
      <c r="A45" s="1" t="n"/>
      <c r="B45" s="24" t="n">
        <v>39</v>
      </c>
      <c r="C45" s="61" t="n"/>
      <c r="D45" s="27" t="n"/>
      <c r="E45" s="27" t="n"/>
      <c r="F45" s="27" t="n"/>
      <c r="G45" s="27" t="n"/>
      <c r="H45" s="62" t="n"/>
      <c r="I45" s="31" t="n"/>
      <c r="J45" s="31" t="n"/>
      <c r="K45" s="31" t="n"/>
      <c r="L45" s="31" t="n"/>
      <c r="M45" s="1" t="n"/>
    </row>
    <row r="46">
      <c r="A46" s="1" t="n"/>
      <c r="B46" s="24" t="n">
        <v>40</v>
      </c>
      <c r="C46" s="61" t="n"/>
      <c r="D46" s="27" t="n"/>
      <c r="E46" s="27" t="n"/>
      <c r="F46" s="27" t="n"/>
      <c r="G46" s="27" t="n"/>
      <c r="H46" s="62" t="n"/>
      <c r="I46" s="31" t="n"/>
      <c r="J46" s="31" t="n"/>
      <c r="K46" s="31" t="n"/>
      <c r="L46" s="31" t="n"/>
      <c r="M46" s="1" t="n"/>
    </row>
    <row r="47">
      <c r="A47" s="1" t="n"/>
      <c r="B47" s="24" t="n">
        <v>41</v>
      </c>
      <c r="C47" s="61" t="n"/>
      <c r="D47" s="27" t="n"/>
      <c r="E47" s="27" t="n"/>
      <c r="F47" s="27" t="n"/>
      <c r="G47" s="27" t="n"/>
      <c r="H47" s="62" t="n"/>
      <c r="I47" s="31" t="n"/>
      <c r="J47" s="31" t="n"/>
      <c r="K47" s="31" t="n"/>
      <c r="L47" s="31" t="n"/>
      <c r="M47" s="1" t="n"/>
    </row>
    <row r="48">
      <c r="A48" s="1" t="n"/>
      <c r="B48" s="24" t="n">
        <v>42</v>
      </c>
      <c r="C48" s="61" t="n"/>
      <c r="D48" s="27" t="n"/>
      <c r="E48" s="27" t="n"/>
      <c r="F48" s="27" t="n"/>
      <c r="G48" s="27" t="n"/>
      <c r="H48" s="62" t="n"/>
      <c r="I48" s="31" t="n"/>
      <c r="J48" s="31" t="n"/>
      <c r="K48" s="31" t="n"/>
      <c r="L48" s="31" t="n"/>
      <c r="M48" s="1" t="n"/>
    </row>
    <row r="49">
      <c r="A49" s="1" t="n"/>
      <c r="B49" s="24" t="n">
        <v>43</v>
      </c>
      <c r="C49" s="61" t="n"/>
      <c r="D49" s="27" t="n"/>
      <c r="E49" s="27" t="n"/>
      <c r="F49" s="27" t="n"/>
      <c r="G49" s="27" t="n"/>
      <c r="H49" s="62" t="n"/>
      <c r="I49" s="31" t="n"/>
      <c r="J49" s="31" t="n"/>
      <c r="K49" s="31" t="n"/>
      <c r="L49" s="31" t="n"/>
      <c r="M49" s="1" t="n"/>
    </row>
    <row r="50">
      <c r="A50" s="1" t="n"/>
      <c r="B50" s="24" t="n">
        <v>44</v>
      </c>
      <c r="C50" s="61" t="n"/>
      <c r="D50" s="27" t="n"/>
      <c r="E50" s="27" t="n"/>
      <c r="F50" s="27" t="n"/>
      <c r="G50" s="27" t="n"/>
      <c r="H50" s="62" t="n"/>
      <c r="I50" s="31" t="n"/>
      <c r="J50" s="31" t="n"/>
      <c r="K50" s="31" t="n"/>
      <c r="L50" s="31" t="n"/>
      <c r="M50" s="1" t="n"/>
    </row>
    <row r="51">
      <c r="A51" s="1" t="n"/>
      <c r="B51" s="24" t="n">
        <v>45</v>
      </c>
      <c r="C51" s="61" t="n"/>
      <c r="D51" s="27" t="n"/>
      <c r="E51" s="27" t="n"/>
      <c r="F51" s="27" t="n"/>
      <c r="G51" s="27" t="n"/>
      <c r="H51" s="62" t="n"/>
      <c r="I51" s="31" t="n"/>
      <c r="J51" s="31" t="n"/>
      <c r="K51" s="31" t="n"/>
      <c r="L51" s="31" t="n"/>
      <c r="M51" s="1" t="n"/>
    </row>
    <row r="52">
      <c r="A52" s="1" t="n"/>
      <c r="B52" s="24" t="n">
        <v>46</v>
      </c>
      <c r="C52" s="61" t="n"/>
      <c r="D52" s="27" t="n"/>
      <c r="E52" s="27" t="n"/>
      <c r="F52" s="27" t="n"/>
      <c r="G52" s="27" t="n"/>
      <c r="H52" s="62" t="n"/>
      <c r="I52" s="31" t="n"/>
      <c r="J52" s="31" t="n"/>
      <c r="K52" s="31" t="n"/>
      <c r="L52" s="31" t="n"/>
      <c r="M52" s="1" t="n"/>
    </row>
    <row r="53">
      <c r="A53" s="1" t="n"/>
      <c r="B53" s="24" t="n">
        <v>47</v>
      </c>
      <c r="C53" s="61" t="n"/>
      <c r="D53" s="27" t="n"/>
      <c r="E53" s="27" t="n"/>
      <c r="F53" s="27" t="n"/>
      <c r="G53" s="27" t="n"/>
      <c r="H53" s="62" t="n"/>
      <c r="I53" s="31" t="n"/>
      <c r="J53" s="31" t="n"/>
      <c r="K53" s="31" t="n"/>
      <c r="L53" s="31" t="n"/>
      <c r="M53" s="1" t="n"/>
    </row>
    <row r="54">
      <c r="A54" s="1" t="n"/>
      <c r="B54" s="24" t="n">
        <v>48</v>
      </c>
      <c r="C54" s="61" t="n"/>
      <c r="D54" s="27" t="n"/>
      <c r="E54" s="27" t="n"/>
      <c r="F54" s="27" t="n"/>
      <c r="G54" s="27" t="n"/>
      <c r="H54" s="62" t="n"/>
      <c r="I54" s="31" t="n"/>
      <c r="J54" s="31" t="n"/>
      <c r="K54" s="31" t="n"/>
      <c r="L54" s="31" t="n"/>
      <c r="M54" s="1" t="n"/>
    </row>
    <row r="55">
      <c r="A55" s="1" t="n"/>
      <c r="B55" s="24" t="n">
        <v>49</v>
      </c>
      <c r="C55" s="61" t="n"/>
      <c r="D55" s="27" t="n"/>
      <c r="E55" s="27" t="n"/>
      <c r="F55" s="27" t="n"/>
      <c r="G55" s="27" t="n"/>
      <c r="H55" s="62" t="n"/>
      <c r="I55" s="31" t="n"/>
      <c r="J55" s="31" t="n"/>
      <c r="K55" s="31" t="n"/>
      <c r="L55" s="31" t="n"/>
      <c r="M55" s="1" t="n"/>
    </row>
    <row r="56">
      <c r="A56" s="1" t="n"/>
      <c r="B56" s="24" t="n">
        <v>50</v>
      </c>
      <c r="C56" s="61" t="n"/>
      <c r="D56" s="27" t="n"/>
      <c r="E56" s="27" t="n"/>
      <c r="F56" s="27" t="n"/>
      <c r="G56" s="27" t="n"/>
      <c r="H56" s="62" t="n"/>
      <c r="I56" s="31" t="n"/>
      <c r="J56" s="31" t="n"/>
      <c r="K56" s="31" t="n"/>
      <c r="L56" s="31" t="n"/>
      <c r="M56" s="1" t="n"/>
    </row>
    <row r="57">
      <c r="A57" s="1" t="n"/>
      <c r="B57" s="24" t="n">
        <v>51</v>
      </c>
      <c r="C57" s="61" t="n"/>
      <c r="D57" s="27" t="n"/>
      <c r="E57" s="27" t="n"/>
      <c r="F57" s="27" t="n"/>
      <c r="G57" s="27" t="n"/>
      <c r="H57" s="62" t="n"/>
      <c r="I57" s="31" t="n"/>
      <c r="J57" s="31" t="n"/>
      <c r="K57" s="31" t="n"/>
      <c r="L57" s="31" t="n"/>
      <c r="M57" s="1" t="n"/>
    </row>
    <row r="58">
      <c r="A58" s="1" t="n"/>
      <c r="B58" s="24" t="n">
        <v>52</v>
      </c>
      <c r="C58" s="61" t="n"/>
      <c r="D58" s="27" t="n"/>
      <c r="E58" s="27" t="n"/>
      <c r="F58" s="27" t="n"/>
      <c r="G58" s="27" t="n"/>
      <c r="H58" s="62" t="n"/>
      <c r="I58" s="31" t="n"/>
      <c r="J58" s="31" t="n"/>
      <c r="K58" s="31" t="n"/>
      <c r="L58" s="31" t="n"/>
      <c r="M58" s="1" t="n"/>
    </row>
    <row r="59">
      <c r="A59" s="1" t="n"/>
      <c r="B59" s="24" t="n">
        <v>53</v>
      </c>
      <c r="C59" s="61" t="n"/>
      <c r="D59" s="27" t="n"/>
      <c r="E59" s="27" t="n"/>
      <c r="F59" s="27" t="n"/>
      <c r="G59" s="27" t="n"/>
      <c r="H59" s="62" t="n"/>
      <c r="I59" s="31" t="n"/>
      <c r="J59" s="31" t="n"/>
      <c r="K59" s="31" t="n"/>
      <c r="L59" s="31" t="n"/>
      <c r="M59" s="1" t="n"/>
    </row>
    <row r="60">
      <c r="A60" s="1" t="n"/>
      <c r="B60" s="24" t="n">
        <v>54</v>
      </c>
      <c r="C60" s="61" t="n"/>
      <c r="D60" s="27" t="n"/>
      <c r="E60" s="27" t="n"/>
      <c r="F60" s="27" t="n"/>
      <c r="G60" s="27" t="n"/>
      <c r="H60" s="62" t="n"/>
      <c r="I60" s="31" t="n"/>
      <c r="J60" s="31" t="n"/>
      <c r="K60" s="31" t="n"/>
      <c r="L60" s="31" t="n"/>
      <c r="M60" s="1" t="n"/>
    </row>
    <row r="61">
      <c r="A61" s="1" t="n"/>
      <c r="B61" s="24" t="n">
        <v>55</v>
      </c>
      <c r="C61" s="61" t="n"/>
      <c r="D61" s="27" t="n"/>
      <c r="E61" s="27" t="n"/>
      <c r="F61" s="27" t="n"/>
      <c r="G61" s="27" t="n"/>
      <c r="H61" s="62" t="n"/>
      <c r="I61" s="31" t="n"/>
      <c r="J61" s="31" t="n"/>
      <c r="K61" s="31" t="n"/>
      <c r="L61" s="31" t="n"/>
      <c r="M61" s="1" t="n"/>
    </row>
    <row r="62">
      <c r="A62" s="1" t="n"/>
      <c r="B62" s="24" t="n">
        <v>56</v>
      </c>
      <c r="C62" s="61" t="n"/>
      <c r="D62" s="27" t="n"/>
      <c r="E62" s="27" t="n"/>
      <c r="F62" s="27" t="n"/>
      <c r="G62" s="27" t="n"/>
      <c r="H62" s="62" t="n"/>
      <c r="I62" s="31" t="n"/>
      <c r="J62" s="31" t="n"/>
      <c r="K62" s="31" t="n"/>
      <c r="L62" s="31" t="n"/>
      <c r="M62" s="1" t="n"/>
    </row>
    <row r="63">
      <c r="A63" s="1" t="n"/>
      <c r="B63" s="24" t="n">
        <v>57</v>
      </c>
      <c r="C63" s="61" t="n"/>
      <c r="D63" s="27" t="n"/>
      <c r="E63" s="27" t="n"/>
      <c r="F63" s="27" t="n"/>
      <c r="G63" s="27" t="n"/>
      <c r="H63" s="62" t="n"/>
      <c r="I63" s="31" t="n"/>
      <c r="J63" s="31" t="n"/>
      <c r="K63" s="31" t="n"/>
      <c r="L63" s="31" t="n"/>
      <c r="M63" s="1" t="n"/>
    </row>
    <row r="64">
      <c r="A64" s="1" t="n"/>
      <c r="B64" s="24" t="n">
        <v>58</v>
      </c>
      <c r="C64" s="61" t="n"/>
      <c r="D64" s="27" t="n"/>
      <c r="E64" s="27" t="n"/>
      <c r="F64" s="27" t="n"/>
      <c r="G64" s="27" t="n"/>
      <c r="H64" s="62" t="n"/>
      <c r="I64" s="31" t="n"/>
      <c r="J64" s="31" t="n"/>
      <c r="K64" s="31" t="n"/>
      <c r="L64" s="31" t="n"/>
      <c r="M64" s="1" t="n"/>
    </row>
    <row r="65">
      <c r="A65" s="1" t="n"/>
      <c r="B65" s="24" t="n">
        <v>59</v>
      </c>
      <c r="C65" s="61" t="n"/>
      <c r="D65" s="27" t="n"/>
      <c r="E65" s="27" t="n"/>
      <c r="F65" s="27" t="n"/>
      <c r="G65" s="27" t="n"/>
      <c r="H65" s="62" t="n"/>
      <c r="I65" s="31" t="n"/>
      <c r="J65" s="31" t="n"/>
      <c r="K65" s="31" t="n"/>
      <c r="L65" s="31" t="n"/>
      <c r="M65" s="1" t="n"/>
    </row>
    <row r="66">
      <c r="A66" s="1" t="n"/>
      <c r="B66" s="24" t="n">
        <v>60</v>
      </c>
      <c r="C66" s="61" t="n"/>
      <c r="D66" s="27" t="n"/>
      <c r="E66" s="27" t="n"/>
      <c r="F66" s="27" t="n"/>
      <c r="G66" s="27" t="n"/>
      <c r="H66" s="62" t="n"/>
      <c r="I66" s="31" t="n"/>
      <c r="J66" s="31" t="n"/>
      <c r="K66" s="31" t="n"/>
      <c r="L66" s="31" t="n"/>
      <c r="M66" s="1" t="n"/>
    </row>
    <row r="67">
      <c r="A67" s="1" t="n"/>
      <c r="B67" s="24" t="n">
        <v>61</v>
      </c>
      <c r="C67" s="61" t="n"/>
      <c r="D67" s="27" t="n"/>
      <c r="E67" s="27" t="n"/>
      <c r="F67" s="27" t="n"/>
      <c r="G67" s="27" t="n"/>
      <c r="H67" s="62" t="n"/>
      <c r="I67" s="31" t="n"/>
      <c r="J67" s="31" t="n"/>
      <c r="K67" s="31" t="n"/>
      <c r="L67" s="31" t="n"/>
      <c r="M67" s="1" t="n"/>
    </row>
    <row r="68">
      <c r="A68" s="1" t="n"/>
      <c r="B68" s="24" t="n">
        <v>62</v>
      </c>
      <c r="C68" s="61" t="n"/>
      <c r="D68" s="27" t="n"/>
      <c r="E68" s="27" t="n"/>
      <c r="F68" s="27" t="n"/>
      <c r="G68" s="27" t="n"/>
      <c r="H68" s="62" t="n"/>
      <c r="I68" s="31" t="n"/>
      <c r="J68" s="31" t="n"/>
      <c r="K68" s="31" t="n"/>
      <c r="L68" s="31" t="n"/>
      <c r="M68" s="1" t="n"/>
    </row>
    <row r="69">
      <c r="A69" s="1" t="n"/>
      <c r="B69" s="24" t="n">
        <v>63</v>
      </c>
      <c r="C69" s="61" t="n"/>
      <c r="D69" s="27" t="n"/>
      <c r="E69" s="27" t="n"/>
      <c r="F69" s="27" t="n"/>
      <c r="G69" s="27" t="n"/>
      <c r="H69" s="62" t="n"/>
      <c r="I69" s="31" t="n"/>
      <c r="J69" s="31" t="n"/>
      <c r="K69" s="31" t="n"/>
      <c r="L69" s="31" t="n"/>
      <c r="M69" s="1" t="n"/>
    </row>
    <row r="70">
      <c r="A70" s="1" t="n"/>
      <c r="B70" s="24" t="n">
        <v>64</v>
      </c>
      <c r="C70" s="61" t="n"/>
      <c r="D70" s="27" t="n"/>
      <c r="E70" s="27" t="n"/>
      <c r="F70" s="27" t="n"/>
      <c r="G70" s="27" t="n"/>
      <c r="H70" s="62" t="n"/>
      <c r="I70" s="31" t="n"/>
      <c r="J70" s="31" t="n"/>
      <c r="K70" s="31" t="n"/>
      <c r="L70" s="31" t="n"/>
      <c r="M70" s="1" t="n"/>
    </row>
    <row r="71">
      <c r="A71" s="1" t="n"/>
      <c r="B71" s="24" t="n">
        <v>65</v>
      </c>
      <c r="C71" s="61" t="n"/>
      <c r="D71" s="27" t="n"/>
      <c r="E71" s="27" t="n"/>
      <c r="F71" s="27" t="n"/>
      <c r="G71" s="27" t="n"/>
      <c r="H71" s="62" t="n"/>
      <c r="I71" s="31" t="n"/>
      <c r="J71" s="31" t="n"/>
      <c r="K71" s="31" t="n"/>
      <c r="L71" s="31" t="n"/>
      <c r="M71" s="1" t="n"/>
    </row>
    <row r="72">
      <c r="A72" s="1" t="n"/>
      <c r="B72" s="24" t="n">
        <v>66</v>
      </c>
      <c r="C72" s="61" t="n"/>
      <c r="D72" s="27" t="n"/>
      <c r="E72" s="27" t="n"/>
      <c r="F72" s="27" t="n"/>
      <c r="G72" s="27" t="n"/>
      <c r="H72" s="62" t="n"/>
      <c r="I72" s="31" t="n"/>
      <c r="J72" s="31" t="n"/>
      <c r="K72" s="31" t="n"/>
      <c r="L72" s="31" t="n"/>
      <c r="M72" s="1" t="n"/>
    </row>
    <row r="73">
      <c r="A73" s="1" t="n"/>
      <c r="B73" s="24" t="n">
        <v>67</v>
      </c>
      <c r="C73" s="61" t="n"/>
      <c r="D73" s="27" t="n"/>
      <c r="E73" s="27" t="n"/>
      <c r="F73" s="27" t="n"/>
      <c r="G73" s="27" t="n"/>
      <c r="H73" s="62" t="n"/>
      <c r="I73" s="31" t="n"/>
      <c r="J73" s="31" t="n"/>
      <c r="K73" s="31" t="n"/>
      <c r="L73" s="31" t="n"/>
      <c r="M73" s="1" t="n"/>
    </row>
    <row r="74">
      <c r="A74" s="1" t="n"/>
      <c r="B74" s="24" t="n">
        <v>68</v>
      </c>
      <c r="C74" s="61" t="n"/>
      <c r="D74" s="27" t="n"/>
      <c r="E74" s="27" t="n"/>
      <c r="F74" s="27" t="n"/>
      <c r="G74" s="27" t="n"/>
      <c r="H74" s="62" t="n"/>
      <c r="I74" s="31" t="n"/>
      <c r="J74" s="31" t="n"/>
      <c r="K74" s="31" t="n"/>
      <c r="L74" s="31" t="n"/>
      <c r="M74" s="1" t="n"/>
    </row>
    <row r="75">
      <c r="A75" s="1" t="n"/>
      <c r="B75" s="24" t="n">
        <v>69</v>
      </c>
      <c r="C75" s="61" t="n"/>
      <c r="D75" s="27" t="n"/>
      <c r="E75" s="27" t="n"/>
      <c r="F75" s="27" t="n"/>
      <c r="G75" s="27" t="n"/>
      <c r="H75" s="62" t="n"/>
      <c r="I75" s="31" t="n"/>
      <c r="J75" s="31" t="n"/>
      <c r="K75" s="31" t="n"/>
      <c r="L75" s="31" t="n"/>
      <c r="M75" s="1" t="n"/>
    </row>
    <row r="76">
      <c r="A76" s="1" t="n"/>
      <c r="B76" s="24" t="n">
        <v>70</v>
      </c>
      <c r="C76" s="61" t="n"/>
      <c r="D76" s="27" t="n"/>
      <c r="E76" s="27" t="n"/>
      <c r="F76" s="27" t="n"/>
      <c r="G76" s="27" t="n"/>
      <c r="H76" s="62" t="n"/>
      <c r="I76" s="31" t="n"/>
      <c r="J76" s="31" t="n"/>
      <c r="K76" s="31" t="n"/>
      <c r="L76" s="31" t="n"/>
      <c r="M76" s="1" t="n"/>
    </row>
    <row r="77">
      <c r="A77" s="1" t="n"/>
      <c r="B77" s="24" t="n">
        <v>71</v>
      </c>
      <c r="C77" s="61" t="n"/>
      <c r="D77" s="27" t="n"/>
      <c r="E77" s="27" t="n"/>
      <c r="F77" s="27" t="n"/>
      <c r="G77" s="27" t="n"/>
      <c r="H77" s="62" t="n"/>
      <c r="I77" s="31" t="n"/>
      <c r="J77" s="31" t="n"/>
      <c r="K77" s="31" t="n"/>
      <c r="L77" s="31" t="n"/>
      <c r="M77" s="1" t="n"/>
    </row>
    <row r="78">
      <c r="A78" s="1" t="n"/>
      <c r="B78" s="24" t="n">
        <v>72</v>
      </c>
      <c r="C78" s="61" t="n"/>
      <c r="D78" s="27" t="n"/>
      <c r="E78" s="27" t="n"/>
      <c r="F78" s="27" t="n"/>
      <c r="G78" s="27" t="n"/>
      <c r="H78" s="62" t="n"/>
      <c r="I78" s="31" t="n"/>
      <c r="J78" s="31" t="n"/>
      <c r="K78" s="31" t="n"/>
      <c r="L78" s="31" t="n"/>
      <c r="M78" s="1" t="n"/>
    </row>
    <row r="79">
      <c r="A79" s="1" t="n"/>
      <c r="B79" s="24" t="n">
        <v>73</v>
      </c>
      <c r="C79" s="61" t="n"/>
      <c r="D79" s="27" t="n"/>
      <c r="E79" s="27" t="n"/>
      <c r="F79" s="27" t="n"/>
      <c r="G79" s="27" t="n"/>
      <c r="H79" s="62" t="n"/>
      <c r="I79" s="31" t="n"/>
      <c r="J79" s="31" t="n"/>
      <c r="K79" s="31" t="n"/>
      <c r="L79" s="31" t="n"/>
      <c r="M79" s="1" t="n"/>
    </row>
    <row r="80">
      <c r="A80" s="1" t="n"/>
      <c r="B80" s="24" t="n">
        <v>74</v>
      </c>
      <c r="C80" s="61" t="n"/>
      <c r="D80" s="27" t="n"/>
      <c r="E80" s="27" t="n"/>
      <c r="F80" s="27" t="n"/>
      <c r="G80" s="27" t="n"/>
      <c r="H80" s="62" t="n"/>
      <c r="I80" s="31" t="n"/>
      <c r="J80" s="31" t="n"/>
      <c r="K80" s="31" t="n"/>
      <c r="L80" s="31" t="n"/>
      <c r="M80" s="1" t="n"/>
    </row>
    <row r="81">
      <c r="A81" s="1" t="n"/>
      <c r="B81" s="24" t="n">
        <v>75</v>
      </c>
      <c r="C81" s="61" t="n"/>
      <c r="D81" s="27" t="n"/>
      <c r="E81" s="27" t="n"/>
      <c r="F81" s="27" t="n"/>
      <c r="G81" s="27" t="n"/>
      <c r="H81" s="62" t="n"/>
      <c r="I81" s="31" t="n"/>
      <c r="J81" s="31" t="n"/>
      <c r="K81" s="31" t="n"/>
      <c r="L81" s="31" t="n"/>
      <c r="M81" s="1" t="n"/>
    </row>
    <row r="82">
      <c r="A82" s="1" t="n"/>
      <c r="B82" s="24" t="n">
        <v>76</v>
      </c>
      <c r="C82" s="61" t="n"/>
      <c r="D82" s="27" t="n"/>
      <c r="E82" s="27" t="n"/>
      <c r="F82" s="27" t="n"/>
      <c r="G82" s="27" t="n"/>
      <c r="H82" s="62" t="n"/>
      <c r="I82" s="31" t="n"/>
      <c r="J82" s="31" t="n"/>
      <c r="K82" s="31" t="n"/>
      <c r="L82" s="31" t="n"/>
      <c r="M82" s="1" t="n"/>
    </row>
    <row r="83">
      <c r="A83" s="1" t="n"/>
      <c r="B83" s="24" t="n">
        <v>77</v>
      </c>
      <c r="C83" s="61" t="n"/>
      <c r="D83" s="27" t="n"/>
      <c r="E83" s="27" t="n"/>
      <c r="F83" s="27" t="n"/>
      <c r="G83" s="27" t="n"/>
      <c r="H83" s="62" t="n"/>
      <c r="I83" s="31" t="n"/>
      <c r="J83" s="31" t="n"/>
      <c r="K83" s="31" t="n"/>
      <c r="L83" s="31" t="n"/>
      <c r="M83" s="1" t="n"/>
    </row>
    <row r="84">
      <c r="A84" s="1" t="n"/>
      <c r="B84" s="24" t="n">
        <v>78</v>
      </c>
      <c r="C84" s="61" t="n"/>
      <c r="D84" s="27" t="n"/>
      <c r="E84" s="27" t="n"/>
      <c r="F84" s="27" t="n"/>
      <c r="G84" s="27" t="n"/>
      <c r="H84" s="62" t="n"/>
      <c r="I84" s="31" t="n"/>
      <c r="J84" s="31" t="n"/>
      <c r="K84" s="31" t="n"/>
      <c r="L84" s="31" t="n"/>
      <c r="M84" s="1" t="n"/>
    </row>
    <row r="85">
      <c r="A85" s="1" t="n"/>
      <c r="B85" s="24" t="n">
        <v>79</v>
      </c>
      <c r="C85" s="61" t="n"/>
      <c r="D85" s="27" t="n"/>
      <c r="E85" s="27" t="n"/>
      <c r="F85" s="27" t="n"/>
      <c r="G85" s="27" t="n"/>
      <c r="H85" s="62" t="n"/>
      <c r="I85" s="31" t="n"/>
      <c r="J85" s="31" t="n"/>
      <c r="K85" s="31" t="n"/>
      <c r="L85" s="31" t="n"/>
      <c r="M85" s="1" t="n"/>
    </row>
    <row r="86">
      <c r="A86" s="1" t="n"/>
      <c r="B86" s="24" t="n">
        <v>80</v>
      </c>
      <c r="C86" s="61" t="n"/>
      <c r="D86" s="27" t="n"/>
      <c r="E86" s="27" t="n"/>
      <c r="F86" s="27" t="n"/>
      <c r="G86" s="27" t="n"/>
      <c r="H86" s="62" t="n"/>
      <c r="I86" s="31" t="n"/>
      <c r="J86" s="31" t="n"/>
      <c r="K86" s="31" t="n"/>
      <c r="L86" s="31" t="n"/>
      <c r="M86" s="1" t="n"/>
    </row>
    <row r="87">
      <c r="A87" s="1" t="n"/>
      <c r="B87" s="24" t="n">
        <v>81</v>
      </c>
      <c r="C87" s="61" t="n"/>
      <c r="D87" s="27" t="n"/>
      <c r="E87" s="27" t="n"/>
      <c r="F87" s="27" t="n"/>
      <c r="G87" s="27" t="n"/>
      <c r="H87" s="62" t="n"/>
      <c r="I87" s="31" t="n"/>
      <c r="J87" s="31" t="n"/>
      <c r="K87" s="31" t="n"/>
      <c r="L87" s="31" t="n"/>
      <c r="M87" s="1" t="n"/>
    </row>
    <row r="88">
      <c r="A88" s="1" t="n"/>
      <c r="B88" s="24" t="n">
        <v>82</v>
      </c>
      <c r="C88" s="61" t="n"/>
      <c r="D88" s="27" t="n"/>
      <c r="E88" s="27" t="n"/>
      <c r="F88" s="27" t="n"/>
      <c r="G88" s="27" t="n"/>
      <c r="H88" s="62" t="n"/>
      <c r="I88" s="31" t="n"/>
      <c r="J88" s="31" t="n"/>
      <c r="K88" s="31" t="n"/>
      <c r="L88" s="31" t="n"/>
      <c r="M88" s="1" t="n"/>
    </row>
    <row r="89">
      <c r="A89" s="1" t="n"/>
      <c r="B89" s="24" t="n">
        <v>83</v>
      </c>
      <c r="C89" s="61" t="n"/>
      <c r="D89" s="27" t="n"/>
      <c r="E89" s="27" t="n"/>
      <c r="F89" s="27" t="n"/>
      <c r="G89" s="27" t="n"/>
      <c r="H89" s="62" t="n"/>
      <c r="I89" s="31" t="n"/>
      <c r="J89" s="31" t="n"/>
      <c r="K89" s="31" t="n"/>
      <c r="L89" s="31" t="n"/>
      <c r="M89" s="1" t="n"/>
    </row>
    <row r="90">
      <c r="A90" s="1" t="n"/>
      <c r="B90" s="24" t="n">
        <v>84</v>
      </c>
      <c r="C90" s="61" t="n"/>
      <c r="D90" s="27" t="n"/>
      <c r="E90" s="27" t="n"/>
      <c r="F90" s="27" t="n"/>
      <c r="G90" s="27" t="n"/>
      <c r="H90" s="62" t="n"/>
      <c r="I90" s="31" t="n"/>
      <c r="J90" s="31" t="n"/>
      <c r="K90" s="31" t="n"/>
      <c r="L90" s="31" t="n"/>
      <c r="M90" s="1" t="n"/>
    </row>
    <row r="91">
      <c r="A91" s="1" t="n"/>
      <c r="B91" s="24" t="n">
        <v>85</v>
      </c>
      <c r="C91" s="61" t="n"/>
      <c r="D91" s="27" t="n"/>
      <c r="E91" s="27" t="n"/>
      <c r="F91" s="27" t="n"/>
      <c r="G91" s="27" t="n"/>
      <c r="H91" s="62" t="n"/>
      <c r="I91" s="31" t="n"/>
      <c r="J91" s="31" t="n"/>
      <c r="K91" s="31" t="n"/>
      <c r="L91" s="31" t="n"/>
      <c r="M91" s="1" t="n"/>
    </row>
    <row r="92">
      <c r="A92" s="1" t="n"/>
      <c r="B92" s="24" t="n">
        <v>86</v>
      </c>
      <c r="C92" s="61" t="n"/>
      <c r="D92" s="27" t="n"/>
      <c r="E92" s="27" t="n"/>
      <c r="F92" s="27" t="n"/>
      <c r="G92" s="27" t="n"/>
      <c r="H92" s="62" t="n"/>
      <c r="I92" s="31" t="n"/>
      <c r="J92" s="31" t="n"/>
      <c r="K92" s="31" t="n"/>
      <c r="L92" s="31" t="n"/>
      <c r="M92" s="1" t="n"/>
    </row>
    <row r="93">
      <c r="A93" s="1" t="n"/>
      <c r="B93" s="24" t="n">
        <v>87</v>
      </c>
      <c r="C93" s="61" t="n"/>
      <c r="D93" s="27" t="n"/>
      <c r="E93" s="27" t="n"/>
      <c r="F93" s="27" t="n"/>
      <c r="G93" s="27" t="n"/>
      <c r="H93" s="62" t="n"/>
      <c r="I93" s="31" t="n"/>
      <c r="J93" s="31" t="n"/>
      <c r="K93" s="31" t="n"/>
      <c r="L93" s="31" t="n"/>
      <c r="M93" s="1" t="n"/>
    </row>
    <row r="94">
      <c r="A94" s="1" t="n"/>
      <c r="B94" s="24" t="n">
        <v>88</v>
      </c>
      <c r="C94" s="61" t="n"/>
      <c r="D94" s="27" t="n"/>
      <c r="E94" s="27" t="n"/>
      <c r="F94" s="27" t="n"/>
      <c r="G94" s="27" t="n"/>
      <c r="H94" s="62" t="n"/>
      <c r="I94" s="31" t="n"/>
      <c r="J94" s="31" t="n"/>
      <c r="K94" s="31" t="n"/>
      <c r="L94" s="31" t="n"/>
      <c r="M94" s="1" t="n"/>
    </row>
    <row r="95">
      <c r="A95" s="1" t="n"/>
      <c r="B95" s="24" t="n">
        <v>89</v>
      </c>
      <c r="C95" s="61" t="n"/>
      <c r="D95" s="27" t="n"/>
      <c r="E95" s="27" t="n"/>
      <c r="F95" s="27" t="n"/>
      <c r="G95" s="27" t="n"/>
      <c r="H95" s="62" t="n"/>
      <c r="I95" s="31" t="n"/>
      <c r="J95" s="31" t="n"/>
      <c r="K95" s="31" t="n"/>
      <c r="L95" s="31" t="n"/>
      <c r="M95" s="1" t="n"/>
    </row>
    <row r="96">
      <c r="A96" s="1" t="n"/>
      <c r="B96" s="24" t="n">
        <v>90</v>
      </c>
      <c r="C96" s="61" t="n"/>
      <c r="D96" s="27" t="n"/>
      <c r="E96" s="27" t="n"/>
      <c r="F96" s="27" t="n"/>
      <c r="G96" s="27" t="n"/>
      <c r="H96" s="62" t="n"/>
      <c r="I96" s="31" t="n"/>
      <c r="J96" s="31" t="n"/>
      <c r="K96" s="31" t="n"/>
      <c r="L96" s="31" t="n"/>
      <c r="M96" s="1" t="n"/>
    </row>
    <row r="97">
      <c r="A97" s="1" t="n"/>
      <c r="B97" s="24" t="n">
        <v>91</v>
      </c>
      <c r="C97" s="61" t="n"/>
      <c r="D97" s="27" t="n"/>
      <c r="E97" s="27" t="n"/>
      <c r="F97" s="27" t="n"/>
      <c r="G97" s="27" t="n"/>
      <c r="H97" s="62" t="n"/>
      <c r="I97" s="31" t="n"/>
      <c r="J97" s="31" t="n"/>
      <c r="K97" s="31" t="n"/>
      <c r="L97" s="31" t="n"/>
      <c r="M97" s="1" t="n"/>
    </row>
    <row r="98">
      <c r="A98" s="1" t="n"/>
      <c r="B98" s="24" t="n">
        <v>92</v>
      </c>
      <c r="C98" s="61" t="n"/>
      <c r="D98" s="27" t="n"/>
      <c r="E98" s="27" t="n"/>
      <c r="F98" s="27" t="n"/>
      <c r="G98" s="27" t="n"/>
      <c r="H98" s="62" t="n"/>
      <c r="I98" s="31" t="n"/>
      <c r="J98" s="31" t="n"/>
      <c r="K98" s="31" t="n"/>
      <c r="L98" s="31" t="n"/>
      <c r="M98" s="1" t="n"/>
    </row>
    <row r="99">
      <c r="A99" s="1" t="n"/>
      <c r="B99" s="24" t="n">
        <v>93</v>
      </c>
      <c r="C99" s="61" t="n"/>
      <c r="D99" s="27" t="n"/>
      <c r="E99" s="27" t="n"/>
      <c r="F99" s="27" t="n"/>
      <c r="G99" s="27" t="n"/>
      <c r="H99" s="62" t="n"/>
      <c r="I99" s="31" t="n"/>
      <c r="J99" s="31" t="n"/>
      <c r="K99" s="31" t="n"/>
      <c r="L99" s="31" t="n"/>
      <c r="M99" s="1" t="n"/>
    </row>
    <row r="100">
      <c r="A100" s="1" t="n"/>
      <c r="B100" s="24" t="n">
        <v>94</v>
      </c>
      <c r="C100" s="61" t="n"/>
      <c r="D100" s="27" t="n"/>
      <c r="E100" s="27" t="n"/>
      <c r="F100" s="27" t="n"/>
      <c r="G100" s="27" t="n"/>
      <c r="H100" s="62" t="n"/>
      <c r="I100" s="31" t="n"/>
      <c r="J100" s="31" t="n"/>
      <c r="K100" s="31" t="n"/>
      <c r="L100" s="31" t="n"/>
      <c r="M100" s="1" t="n"/>
    </row>
    <row r="101">
      <c r="A101" s="1" t="n"/>
      <c r="B101" s="24" t="n">
        <v>95</v>
      </c>
      <c r="C101" s="61" t="n"/>
      <c r="D101" s="27" t="n"/>
      <c r="E101" s="27" t="n"/>
      <c r="F101" s="27" t="n"/>
      <c r="G101" s="27" t="n"/>
      <c r="H101" s="62" t="n"/>
      <c r="I101" s="31" t="n"/>
      <c r="J101" s="31" t="n"/>
      <c r="K101" s="31" t="n"/>
      <c r="L101" s="31" t="n"/>
      <c r="M101" s="1" t="n"/>
    </row>
    <row r="102">
      <c r="A102" s="1" t="n"/>
      <c r="B102" s="24" t="n">
        <v>96</v>
      </c>
      <c r="C102" s="61" t="n"/>
      <c r="D102" s="27" t="n"/>
      <c r="E102" s="27" t="n"/>
      <c r="F102" s="27" t="n"/>
      <c r="G102" s="27" t="n"/>
      <c r="H102" s="62" t="n"/>
      <c r="I102" s="31" t="n"/>
      <c r="J102" s="31" t="n"/>
      <c r="K102" s="31" t="n"/>
      <c r="L102" s="31" t="n"/>
      <c r="M102" s="1" t="n"/>
    </row>
    <row r="103">
      <c r="A103" s="1" t="n"/>
      <c r="B103" s="24" t="n">
        <v>97</v>
      </c>
      <c r="C103" s="61" t="n"/>
      <c r="D103" s="27" t="n"/>
      <c r="E103" s="27" t="n"/>
      <c r="F103" s="27" t="n"/>
      <c r="G103" s="27" t="n"/>
      <c r="H103" s="62" t="n"/>
      <c r="I103" s="31" t="n"/>
      <c r="J103" s="31" t="n"/>
      <c r="K103" s="31" t="n"/>
      <c r="L103" s="31" t="n"/>
      <c r="M103" s="1" t="n"/>
    </row>
    <row r="104">
      <c r="A104" s="1" t="n"/>
      <c r="B104" s="24" t="n">
        <v>98</v>
      </c>
      <c r="C104" s="61" t="n"/>
      <c r="D104" s="27" t="n"/>
      <c r="E104" s="27" t="n"/>
      <c r="F104" s="27" t="n"/>
      <c r="G104" s="27" t="n"/>
      <c r="H104" s="62" t="n"/>
      <c r="I104" s="31" t="n"/>
      <c r="J104" s="31" t="n"/>
      <c r="K104" s="31" t="n"/>
      <c r="L104" s="31" t="n"/>
      <c r="M104" s="1" t="n"/>
    </row>
    <row r="105">
      <c r="A105" s="1" t="n"/>
      <c r="B105" s="24" t="n">
        <v>99</v>
      </c>
      <c r="C105" s="61" t="n"/>
      <c r="D105" s="27" t="n"/>
      <c r="E105" s="27" t="n"/>
      <c r="F105" s="27" t="n"/>
      <c r="G105" s="27" t="n"/>
      <c r="H105" s="62" t="n"/>
      <c r="I105" s="31" t="n"/>
      <c r="J105" s="31" t="n"/>
      <c r="K105" s="31" t="n"/>
      <c r="L105" s="31" t="n"/>
      <c r="M105" s="1" t="n"/>
    </row>
    <row r="106">
      <c r="A106" s="1" t="n"/>
      <c r="B106" s="24" t="n">
        <v>100</v>
      </c>
      <c r="C106" s="61" t="n"/>
      <c r="D106" s="27" t="n"/>
      <c r="E106" s="27" t="n"/>
      <c r="F106" s="27" t="n"/>
      <c r="G106" s="27" t="n"/>
      <c r="H106" s="62" t="n"/>
      <c r="I106" s="31" t="n"/>
      <c r="J106" s="31" t="n"/>
      <c r="K106" s="31" t="n"/>
      <c r="L106" s="31" t="n"/>
      <c r="M106" s="1" t="n"/>
    </row>
    <row r="107">
      <c r="A107" s="1" t="n"/>
      <c r="B107" s="24" t="n">
        <v>101</v>
      </c>
      <c r="C107" s="61" t="n"/>
      <c r="D107" s="27" t="n"/>
      <c r="E107" s="27" t="n"/>
      <c r="F107" s="27" t="n"/>
      <c r="G107" s="27" t="n"/>
      <c r="H107" s="62" t="n"/>
      <c r="I107" s="31" t="n"/>
      <c r="J107" s="31" t="n"/>
      <c r="K107" s="31" t="n"/>
      <c r="L107" s="31" t="n"/>
      <c r="M107" s="1" t="n"/>
    </row>
    <row r="108">
      <c r="A108" s="1" t="n"/>
      <c r="B108" s="24" t="n">
        <v>102</v>
      </c>
      <c r="C108" s="61" t="n"/>
      <c r="D108" s="27" t="n"/>
      <c r="E108" s="27" t="n"/>
      <c r="F108" s="27" t="n"/>
      <c r="G108" s="27" t="n"/>
      <c r="H108" s="62" t="n"/>
      <c r="I108" s="31" t="n"/>
      <c r="J108" s="31" t="n"/>
      <c r="K108" s="31" t="n"/>
      <c r="L108" s="31" t="n"/>
      <c r="M108" s="1" t="n"/>
    </row>
    <row r="109">
      <c r="A109" s="1" t="n"/>
      <c r="B109" s="24" t="n">
        <v>103</v>
      </c>
      <c r="C109" s="61" t="n"/>
      <c r="D109" s="27" t="n"/>
      <c r="E109" s="27" t="n"/>
      <c r="F109" s="27" t="n"/>
      <c r="G109" s="27" t="n"/>
      <c r="H109" s="62" t="n"/>
      <c r="I109" s="31" t="n"/>
      <c r="J109" s="31" t="n"/>
      <c r="K109" s="31" t="n"/>
      <c r="L109" s="31" t="n"/>
      <c r="M109" s="1" t="n"/>
    </row>
    <row r="110">
      <c r="A110" s="1" t="n"/>
      <c r="B110" s="24" t="n">
        <v>104</v>
      </c>
      <c r="C110" s="61" t="n"/>
      <c r="D110" s="27" t="n"/>
      <c r="E110" s="27" t="n"/>
      <c r="F110" s="27" t="n"/>
      <c r="G110" s="27" t="n"/>
      <c r="H110" s="62" t="n"/>
      <c r="I110" s="31" t="n"/>
      <c r="J110" s="31" t="n"/>
      <c r="K110" s="31" t="n"/>
      <c r="L110" s="31" t="n"/>
      <c r="M110" s="1" t="n"/>
    </row>
    <row r="111">
      <c r="A111" s="1" t="n"/>
      <c r="B111" s="24" t="n">
        <v>105</v>
      </c>
      <c r="C111" s="61" t="n"/>
      <c r="D111" s="27" t="n"/>
      <c r="E111" s="27" t="n"/>
      <c r="F111" s="27" t="n"/>
      <c r="G111" s="27" t="n"/>
      <c r="H111" s="62" t="n"/>
      <c r="I111" s="31" t="n"/>
      <c r="J111" s="31" t="n"/>
      <c r="K111" s="31" t="n"/>
      <c r="L111" s="31" t="n"/>
      <c r="M111" s="1" t="n"/>
    </row>
    <row r="112">
      <c r="A112" s="1" t="n"/>
      <c r="B112" s="24" t="n">
        <v>106</v>
      </c>
      <c r="C112" s="61" t="n"/>
      <c r="D112" s="27" t="n"/>
      <c r="E112" s="27" t="n"/>
      <c r="F112" s="27" t="n"/>
      <c r="G112" s="27" t="n"/>
      <c r="H112" s="62" t="n"/>
      <c r="I112" s="31" t="n"/>
      <c r="J112" s="31" t="n"/>
      <c r="K112" s="31" t="n"/>
      <c r="L112" s="31" t="n"/>
      <c r="M112" s="1" t="n"/>
    </row>
    <row r="113">
      <c r="A113" s="1" t="n"/>
      <c r="B113" s="24" t="n">
        <v>107</v>
      </c>
      <c r="C113" s="61" t="n"/>
      <c r="D113" s="27" t="n"/>
      <c r="E113" s="27" t="n"/>
      <c r="F113" s="27" t="n"/>
      <c r="G113" s="27" t="n"/>
      <c r="H113" s="62" t="n"/>
      <c r="I113" s="31" t="n"/>
      <c r="J113" s="31" t="n"/>
      <c r="K113" s="31" t="n"/>
      <c r="L113" s="31" t="n"/>
      <c r="M113" s="1" t="n"/>
    </row>
    <row r="114">
      <c r="A114" s="1" t="n"/>
      <c r="B114" s="24" t="n">
        <v>108</v>
      </c>
      <c r="C114" s="61" t="n"/>
      <c r="D114" s="27" t="n"/>
      <c r="E114" s="27" t="n"/>
      <c r="F114" s="27" t="n"/>
      <c r="G114" s="27" t="n"/>
      <c r="H114" s="62" t="n"/>
      <c r="I114" s="31" t="n"/>
      <c r="J114" s="31" t="n"/>
      <c r="K114" s="31" t="n"/>
      <c r="L114" s="31" t="n"/>
      <c r="M114" s="1" t="n"/>
    </row>
    <row r="115">
      <c r="A115" s="1" t="n"/>
      <c r="B115" s="24" t="n">
        <v>109</v>
      </c>
      <c r="C115" s="61" t="n"/>
      <c r="D115" s="27" t="n"/>
      <c r="E115" s="27" t="n"/>
      <c r="F115" s="27" t="n"/>
      <c r="G115" s="27" t="n"/>
      <c r="H115" s="62" t="n"/>
      <c r="I115" s="31" t="n"/>
      <c r="J115" s="31" t="n"/>
      <c r="K115" s="31" t="n"/>
      <c r="L115" s="31" t="n"/>
      <c r="M115" s="1" t="n"/>
    </row>
    <row r="116">
      <c r="A116" s="1" t="n"/>
      <c r="B116" s="24" t="n">
        <v>110</v>
      </c>
      <c r="C116" s="61" t="n"/>
      <c r="D116" s="27" t="n"/>
      <c r="E116" s="27" t="n"/>
      <c r="F116" s="27" t="n"/>
      <c r="G116" s="27" t="n"/>
      <c r="H116" s="62" t="n"/>
      <c r="I116" s="31" t="n"/>
      <c r="J116" s="31" t="n"/>
      <c r="K116" s="31" t="n"/>
      <c r="L116" s="31" t="n"/>
      <c r="M116" s="1" t="n"/>
    </row>
    <row r="117">
      <c r="A117" s="1" t="n"/>
      <c r="B117" s="24" t="n">
        <v>111</v>
      </c>
      <c r="C117" s="61" t="n"/>
      <c r="D117" s="27" t="n"/>
      <c r="E117" s="27" t="n"/>
      <c r="F117" s="27" t="n"/>
      <c r="G117" s="27" t="n"/>
      <c r="H117" s="62" t="n"/>
      <c r="I117" s="31" t="n"/>
      <c r="J117" s="31" t="n"/>
      <c r="K117" s="31" t="n"/>
      <c r="L117" s="31" t="n"/>
      <c r="M117" s="1" t="n"/>
    </row>
    <row r="118">
      <c r="A118" s="1" t="n"/>
      <c r="B118" s="24" t="n">
        <v>112</v>
      </c>
      <c r="C118" s="61" t="n"/>
      <c r="D118" s="27" t="n"/>
      <c r="E118" s="27" t="n"/>
      <c r="F118" s="27" t="n"/>
      <c r="G118" s="27" t="n"/>
      <c r="H118" s="62" t="n"/>
      <c r="I118" s="31" t="n"/>
      <c r="J118" s="31" t="n"/>
      <c r="K118" s="31" t="n"/>
      <c r="L118" s="31" t="n"/>
      <c r="M118" s="1" t="n"/>
    </row>
    <row r="119">
      <c r="A119" s="1" t="n"/>
      <c r="B119" s="24" t="n">
        <v>113</v>
      </c>
      <c r="C119" s="61" t="n"/>
      <c r="D119" s="27" t="n"/>
      <c r="E119" s="27" t="n"/>
      <c r="F119" s="27" t="n"/>
      <c r="G119" s="27" t="n"/>
      <c r="H119" s="62" t="n"/>
      <c r="I119" s="31" t="n"/>
      <c r="J119" s="31" t="n"/>
      <c r="K119" s="31" t="n"/>
      <c r="L119" s="31" t="n"/>
      <c r="M119" s="1" t="n"/>
    </row>
    <row r="120">
      <c r="A120" s="1" t="n"/>
      <c r="B120" s="24" t="n">
        <v>114</v>
      </c>
      <c r="C120" s="61" t="n"/>
      <c r="D120" s="27" t="n"/>
      <c r="E120" s="27" t="n"/>
      <c r="F120" s="27" t="n"/>
      <c r="G120" s="27" t="n"/>
      <c r="H120" s="62" t="n"/>
      <c r="I120" s="31" t="n"/>
      <c r="J120" s="31" t="n"/>
      <c r="K120" s="31" t="n"/>
      <c r="L120" s="31" t="n"/>
      <c r="M120" s="1" t="n"/>
    </row>
    <row r="121">
      <c r="A121" s="1" t="n"/>
      <c r="B121" s="24" t="n">
        <v>115</v>
      </c>
      <c r="C121" s="61" t="n"/>
      <c r="D121" s="27" t="n"/>
      <c r="E121" s="27" t="n"/>
      <c r="F121" s="27" t="n"/>
      <c r="G121" s="27" t="n"/>
      <c r="H121" s="62" t="n"/>
      <c r="I121" s="31" t="n"/>
      <c r="J121" s="31" t="n"/>
      <c r="K121" s="31" t="n"/>
      <c r="L121" s="31" t="n"/>
      <c r="M121" s="1" t="n"/>
    </row>
    <row r="122">
      <c r="A122" s="1" t="n"/>
      <c r="B122" s="24" t="n">
        <v>116</v>
      </c>
      <c r="C122" s="61" t="n"/>
      <c r="D122" s="27" t="n"/>
      <c r="E122" s="27" t="n"/>
      <c r="F122" s="27" t="n"/>
      <c r="G122" s="27" t="n"/>
      <c r="H122" s="62" t="n"/>
      <c r="I122" s="31" t="n"/>
      <c r="J122" s="31" t="n"/>
      <c r="K122" s="31" t="n"/>
      <c r="L122" s="31" t="n"/>
      <c r="M122" s="1" t="n"/>
    </row>
    <row r="123">
      <c r="A123" s="1" t="n"/>
      <c r="B123" s="24" t="n">
        <v>117</v>
      </c>
      <c r="C123" s="61" t="n"/>
      <c r="D123" s="27" t="n"/>
      <c r="E123" s="27" t="n"/>
      <c r="F123" s="27" t="n"/>
      <c r="G123" s="27" t="n"/>
      <c r="H123" s="62" t="n"/>
      <c r="I123" s="31" t="n"/>
      <c r="J123" s="31" t="n"/>
      <c r="K123" s="31" t="n"/>
      <c r="L123" s="31" t="n"/>
      <c r="M123" s="1" t="n"/>
    </row>
    <row r="124">
      <c r="A124" s="1" t="n"/>
      <c r="B124" s="24" t="n">
        <v>118</v>
      </c>
      <c r="C124" s="61" t="n"/>
      <c r="D124" s="27" t="n"/>
      <c r="E124" s="27" t="n"/>
      <c r="F124" s="27" t="n"/>
      <c r="G124" s="27" t="n"/>
      <c r="H124" s="62" t="n"/>
      <c r="I124" s="31" t="n"/>
      <c r="J124" s="31" t="n"/>
      <c r="K124" s="31" t="n"/>
      <c r="L124" s="31" t="n"/>
      <c r="M124" s="1" t="n"/>
    </row>
    <row r="125">
      <c r="A125" s="1" t="n"/>
      <c r="B125" s="24" t="n">
        <v>119</v>
      </c>
      <c r="C125" s="61" t="n"/>
      <c r="D125" s="27" t="n"/>
      <c r="E125" s="27" t="n"/>
      <c r="F125" s="27" t="n"/>
      <c r="G125" s="27" t="n"/>
      <c r="H125" s="62" t="n"/>
      <c r="I125" s="31" t="n"/>
      <c r="J125" s="31" t="n"/>
      <c r="K125" s="31" t="n"/>
      <c r="L125" s="31" t="n"/>
      <c r="M125" s="1" t="n"/>
    </row>
    <row r="126">
      <c r="A126" s="1" t="n"/>
      <c r="B126" s="24" t="n">
        <v>120</v>
      </c>
      <c r="C126" s="61" t="n"/>
      <c r="D126" s="27" t="n"/>
      <c r="E126" s="27" t="n"/>
      <c r="F126" s="27" t="n"/>
      <c r="G126" s="27" t="n"/>
      <c r="H126" s="62" t="n"/>
      <c r="I126" s="31" t="n"/>
      <c r="J126" s="31" t="n"/>
      <c r="K126" s="31" t="n"/>
      <c r="L126" s="31" t="n"/>
      <c r="M126" s="1" t="n"/>
    </row>
    <row r="127">
      <c r="A127" s="1" t="n"/>
      <c r="B127" s="24" t="n">
        <v>121</v>
      </c>
      <c r="C127" s="61" t="n"/>
      <c r="D127" s="27" t="n"/>
      <c r="E127" s="27" t="n"/>
      <c r="F127" s="27" t="n"/>
      <c r="G127" s="27" t="n"/>
      <c r="H127" s="62" t="n"/>
      <c r="I127" s="31" t="n"/>
      <c r="J127" s="31" t="n"/>
      <c r="K127" s="31" t="n"/>
      <c r="L127" s="31" t="n"/>
      <c r="M127" s="1" t="n"/>
    </row>
    <row r="128">
      <c r="A128" s="1" t="n"/>
      <c r="B128" s="24" t="n">
        <v>122</v>
      </c>
      <c r="C128" s="61" t="n"/>
      <c r="D128" s="27" t="n"/>
      <c r="E128" s="27" t="n"/>
      <c r="F128" s="27" t="n"/>
      <c r="G128" s="27" t="n"/>
      <c r="H128" s="62" t="n"/>
      <c r="I128" s="31" t="n"/>
      <c r="J128" s="31" t="n"/>
      <c r="K128" s="31" t="n"/>
      <c r="L128" s="31" t="n"/>
      <c r="M128" s="1" t="n"/>
    </row>
    <row r="129">
      <c r="A129" s="1" t="n"/>
      <c r="B129" s="24" t="n">
        <v>123</v>
      </c>
      <c r="C129" s="61" t="n"/>
      <c r="D129" s="27" t="n"/>
      <c r="E129" s="27" t="n"/>
      <c r="F129" s="27" t="n"/>
      <c r="G129" s="27" t="n"/>
      <c r="H129" s="62" t="n"/>
      <c r="I129" s="31" t="n"/>
      <c r="J129" s="31" t="n"/>
      <c r="K129" s="31" t="n"/>
      <c r="L129" s="31" t="n"/>
      <c r="M129" s="1" t="n"/>
    </row>
    <row r="130">
      <c r="A130" s="1" t="n"/>
      <c r="B130" s="24" t="n">
        <v>124</v>
      </c>
      <c r="C130" s="61" t="n"/>
      <c r="D130" s="27" t="n"/>
      <c r="E130" s="27" t="n"/>
      <c r="F130" s="27" t="n"/>
      <c r="G130" s="27" t="n"/>
      <c r="H130" s="62" t="n"/>
      <c r="I130" s="31" t="n"/>
      <c r="J130" s="31" t="n"/>
      <c r="K130" s="31" t="n"/>
      <c r="L130" s="31" t="n"/>
      <c r="M130" s="1" t="n"/>
    </row>
    <row r="131">
      <c r="A131" s="1" t="n"/>
      <c r="B131" s="24" t="n">
        <v>125</v>
      </c>
      <c r="C131" s="61" t="n"/>
      <c r="D131" s="27" t="n"/>
      <c r="E131" s="27" t="n"/>
      <c r="F131" s="27" t="n"/>
      <c r="G131" s="27" t="n"/>
      <c r="H131" s="62" t="n"/>
      <c r="I131" s="31" t="n"/>
      <c r="J131" s="31" t="n"/>
      <c r="K131" s="31" t="n"/>
      <c r="L131" s="31" t="n"/>
      <c r="M131" s="1" t="n"/>
    </row>
    <row r="132">
      <c r="A132" s="1" t="n"/>
      <c r="B132" s="24" t="n">
        <v>126</v>
      </c>
      <c r="C132" s="61" t="n"/>
      <c r="D132" s="27" t="n"/>
      <c r="E132" s="27" t="n"/>
      <c r="F132" s="27" t="n"/>
      <c r="G132" s="27" t="n"/>
      <c r="H132" s="62" t="n"/>
      <c r="I132" s="31" t="n"/>
      <c r="J132" s="31" t="n"/>
      <c r="K132" s="31" t="n"/>
      <c r="L132" s="31" t="n"/>
      <c r="M132" s="1" t="n"/>
    </row>
    <row r="133">
      <c r="A133" s="1" t="n"/>
      <c r="B133" s="24" t="n">
        <v>127</v>
      </c>
      <c r="C133" s="61" t="n"/>
      <c r="D133" s="27" t="n"/>
      <c r="E133" s="27" t="n"/>
      <c r="F133" s="27" t="n"/>
      <c r="G133" s="27" t="n"/>
      <c r="H133" s="62" t="n"/>
      <c r="I133" s="31" t="n"/>
      <c r="J133" s="31" t="n"/>
      <c r="K133" s="31" t="n"/>
      <c r="L133" s="31" t="n"/>
      <c r="M133" s="1" t="n"/>
    </row>
    <row r="134">
      <c r="A134" s="1" t="n"/>
      <c r="B134" s="24" t="n">
        <v>128</v>
      </c>
      <c r="C134" s="61" t="n"/>
      <c r="D134" s="27" t="n"/>
      <c r="E134" s="27" t="n"/>
      <c r="F134" s="27" t="n"/>
      <c r="G134" s="27" t="n"/>
      <c r="H134" s="62" t="n"/>
      <c r="I134" s="31" t="n"/>
      <c r="J134" s="31" t="n"/>
      <c r="K134" s="31" t="n"/>
      <c r="L134" s="31" t="n"/>
      <c r="M134" s="1" t="n"/>
    </row>
    <row r="135">
      <c r="A135" s="1" t="n"/>
      <c r="B135" s="24" t="n">
        <v>129</v>
      </c>
      <c r="C135" s="61" t="n"/>
      <c r="D135" s="27" t="n"/>
      <c r="E135" s="27" t="n"/>
      <c r="F135" s="27" t="n"/>
      <c r="G135" s="27" t="n"/>
      <c r="H135" s="62" t="n"/>
      <c r="I135" s="31" t="n"/>
      <c r="J135" s="31" t="n"/>
      <c r="K135" s="31" t="n"/>
      <c r="L135" s="31" t="n"/>
      <c r="M135" s="1" t="n"/>
    </row>
    <row r="136">
      <c r="A136" s="1" t="n"/>
      <c r="B136" s="24" t="n">
        <v>130</v>
      </c>
      <c r="C136" s="61" t="n"/>
      <c r="D136" s="27" t="n"/>
      <c r="E136" s="27" t="n"/>
      <c r="F136" s="27" t="n"/>
      <c r="G136" s="27" t="n"/>
      <c r="H136" s="62" t="n"/>
      <c r="I136" s="31" t="n"/>
      <c r="J136" s="31" t="n"/>
      <c r="K136" s="31" t="n"/>
      <c r="L136" s="31" t="n"/>
      <c r="M136" s="1" t="n"/>
    </row>
    <row r="137">
      <c r="A137" s="1" t="n"/>
      <c r="B137" s="24" t="n">
        <v>131</v>
      </c>
      <c r="C137" s="61" t="n"/>
      <c r="D137" s="27" t="n"/>
      <c r="E137" s="27" t="n"/>
      <c r="F137" s="27" t="n"/>
      <c r="G137" s="27" t="n"/>
      <c r="H137" s="62" t="n"/>
      <c r="I137" s="31" t="n"/>
      <c r="J137" s="31" t="n"/>
      <c r="K137" s="31" t="n"/>
      <c r="L137" s="31" t="n"/>
      <c r="M137" s="1" t="n"/>
    </row>
    <row r="138">
      <c r="A138" s="1" t="n"/>
      <c r="B138" s="24" t="n">
        <v>132</v>
      </c>
      <c r="C138" s="61" t="n"/>
      <c r="D138" s="27" t="n"/>
      <c r="E138" s="27" t="n"/>
      <c r="F138" s="27" t="n"/>
      <c r="G138" s="27" t="n"/>
      <c r="H138" s="62" t="n"/>
      <c r="I138" s="31" t="n"/>
      <c r="J138" s="31" t="n"/>
      <c r="K138" s="31" t="n"/>
      <c r="L138" s="31" t="n"/>
      <c r="M138" s="1" t="n"/>
    </row>
    <row r="139">
      <c r="A139" s="1" t="n"/>
      <c r="B139" s="24" t="n">
        <v>133</v>
      </c>
      <c r="C139" s="61" t="n"/>
      <c r="D139" s="27" t="n"/>
      <c r="E139" s="27" t="n"/>
      <c r="F139" s="27" t="n"/>
      <c r="G139" s="27" t="n"/>
      <c r="H139" s="62" t="n"/>
      <c r="I139" s="31" t="n"/>
      <c r="J139" s="31" t="n"/>
      <c r="K139" s="31" t="n"/>
      <c r="L139" s="31" t="n"/>
      <c r="M139" s="1" t="n"/>
    </row>
    <row r="140">
      <c r="A140" s="1" t="n"/>
      <c r="B140" s="24" t="n">
        <v>134</v>
      </c>
      <c r="C140" s="61" t="n"/>
      <c r="D140" s="27" t="n"/>
      <c r="E140" s="27" t="n"/>
      <c r="F140" s="27" t="n"/>
      <c r="G140" s="27" t="n"/>
      <c r="H140" s="62" t="n"/>
      <c r="I140" s="31" t="n"/>
      <c r="J140" s="31" t="n"/>
      <c r="K140" s="31" t="n"/>
      <c r="L140" s="31" t="n"/>
      <c r="M140" s="1" t="n"/>
    </row>
    <row r="141">
      <c r="A141" s="1" t="n"/>
      <c r="B141" s="24" t="n">
        <v>135</v>
      </c>
      <c r="C141" s="61" t="n"/>
      <c r="D141" s="27" t="n"/>
      <c r="E141" s="27" t="n"/>
      <c r="F141" s="27" t="n"/>
      <c r="G141" s="27" t="n"/>
      <c r="H141" s="62" t="n"/>
      <c r="I141" s="31" t="n"/>
      <c r="J141" s="31" t="n"/>
      <c r="K141" s="31" t="n"/>
      <c r="L141" s="31" t="n"/>
      <c r="M141" s="1" t="n"/>
    </row>
    <row r="142">
      <c r="A142" s="1" t="n"/>
      <c r="B142" s="24" t="n">
        <v>136</v>
      </c>
      <c r="C142" s="61" t="n"/>
      <c r="D142" s="27" t="n"/>
      <c r="E142" s="27" t="n"/>
      <c r="F142" s="27" t="n"/>
      <c r="G142" s="27" t="n"/>
      <c r="H142" s="62" t="n"/>
      <c r="I142" s="31" t="n"/>
      <c r="J142" s="31" t="n"/>
      <c r="K142" s="31" t="n"/>
      <c r="L142" s="31" t="n"/>
      <c r="M142" s="1" t="n"/>
    </row>
    <row r="143">
      <c r="A143" s="1" t="n"/>
      <c r="B143" s="24" t="n">
        <v>137</v>
      </c>
      <c r="C143" s="61" t="n"/>
      <c r="D143" s="27" t="n"/>
      <c r="E143" s="27" t="n"/>
      <c r="F143" s="27" t="n"/>
      <c r="G143" s="27" t="n"/>
      <c r="H143" s="62" t="n"/>
      <c r="I143" s="31" t="n"/>
      <c r="J143" s="31" t="n"/>
      <c r="K143" s="31" t="n"/>
      <c r="L143" s="31" t="n"/>
      <c r="M143" s="1" t="n"/>
    </row>
    <row r="144">
      <c r="A144" s="1" t="n"/>
      <c r="B144" s="24" t="n">
        <v>138</v>
      </c>
      <c r="C144" s="61" t="n"/>
      <c r="D144" s="27" t="n"/>
      <c r="E144" s="27" t="n"/>
      <c r="F144" s="27" t="n"/>
      <c r="G144" s="27" t="n"/>
      <c r="H144" s="62" t="n"/>
      <c r="I144" s="31" t="n"/>
      <c r="J144" s="31" t="n"/>
      <c r="K144" s="31" t="n"/>
      <c r="L144" s="31" t="n"/>
      <c r="M144" s="1" t="n"/>
    </row>
    <row r="145">
      <c r="A145" s="1" t="n"/>
      <c r="B145" s="24" t="n">
        <v>139</v>
      </c>
      <c r="C145" s="61" t="n"/>
      <c r="D145" s="27" t="n"/>
      <c r="E145" s="27" t="n"/>
      <c r="F145" s="27" t="n"/>
      <c r="G145" s="27" t="n"/>
      <c r="H145" s="62" t="n"/>
      <c r="I145" s="31" t="n"/>
      <c r="J145" s="31" t="n"/>
      <c r="K145" s="31" t="n"/>
      <c r="L145" s="31" t="n"/>
      <c r="M145" s="1" t="n"/>
    </row>
    <row r="146">
      <c r="A146" s="1" t="n"/>
      <c r="B146" s="24" t="n">
        <v>140</v>
      </c>
      <c r="C146" s="61" t="n"/>
      <c r="D146" s="27" t="n"/>
      <c r="E146" s="27" t="n"/>
      <c r="F146" s="27" t="n"/>
      <c r="G146" s="27" t="n"/>
      <c r="H146" s="62" t="n"/>
      <c r="I146" s="31" t="n"/>
      <c r="J146" s="31" t="n"/>
      <c r="K146" s="31" t="n"/>
      <c r="L146" s="31" t="n"/>
      <c r="M146" s="1" t="n"/>
    </row>
    <row r="147">
      <c r="A147" s="1" t="n"/>
      <c r="B147" s="24" t="n">
        <v>141</v>
      </c>
      <c r="C147" s="61" t="n"/>
      <c r="D147" s="27" t="n"/>
      <c r="E147" s="27" t="n"/>
      <c r="F147" s="27" t="n"/>
      <c r="G147" s="27" t="n"/>
      <c r="H147" s="62" t="n"/>
      <c r="I147" s="31" t="n"/>
      <c r="J147" s="31" t="n"/>
      <c r="K147" s="31" t="n"/>
      <c r="L147" s="31" t="n"/>
      <c r="M147" s="1" t="n"/>
    </row>
    <row r="148">
      <c r="A148" s="1" t="n"/>
      <c r="B148" s="24" t="n">
        <v>142</v>
      </c>
      <c r="C148" s="61" t="n"/>
      <c r="D148" s="27" t="n"/>
      <c r="E148" s="27" t="n"/>
      <c r="F148" s="27" t="n"/>
      <c r="G148" s="27" t="n"/>
      <c r="H148" s="62" t="n"/>
      <c r="I148" s="31" t="n"/>
      <c r="J148" s="31" t="n"/>
      <c r="K148" s="31" t="n"/>
      <c r="L148" s="31" t="n"/>
      <c r="M148" s="1" t="n"/>
    </row>
    <row r="149">
      <c r="A149" s="1" t="n"/>
      <c r="B149" s="24" t="n">
        <v>143</v>
      </c>
      <c r="C149" s="61" t="n"/>
      <c r="D149" s="27" t="n"/>
      <c r="E149" s="27" t="n"/>
      <c r="F149" s="27" t="n"/>
      <c r="G149" s="27" t="n"/>
      <c r="H149" s="62" t="n"/>
      <c r="I149" s="31" t="n"/>
      <c r="J149" s="31" t="n"/>
      <c r="K149" s="31" t="n"/>
      <c r="L149" s="31" t="n"/>
      <c r="M149" s="1" t="n"/>
    </row>
    <row r="150">
      <c r="A150" s="1" t="n"/>
      <c r="B150" s="24" t="n">
        <v>144</v>
      </c>
      <c r="C150" s="61" t="n"/>
      <c r="D150" s="27" t="n"/>
      <c r="E150" s="27" t="n"/>
      <c r="F150" s="27" t="n"/>
      <c r="G150" s="27" t="n"/>
      <c r="H150" s="62" t="n"/>
      <c r="I150" s="31" t="n"/>
      <c r="J150" s="31" t="n"/>
      <c r="K150" s="31" t="n"/>
      <c r="L150" s="31" t="n"/>
      <c r="M150" s="1" t="n"/>
    </row>
    <row r="151">
      <c r="A151" s="1" t="n"/>
      <c r="B151" s="24" t="n">
        <v>145</v>
      </c>
      <c r="C151" s="61" t="n"/>
      <c r="D151" s="27" t="n"/>
      <c r="E151" s="27" t="n"/>
      <c r="F151" s="27" t="n"/>
      <c r="G151" s="27" t="n"/>
      <c r="H151" s="62" t="n"/>
      <c r="I151" s="31" t="n"/>
      <c r="J151" s="31" t="n"/>
      <c r="K151" s="31" t="n"/>
      <c r="L151" s="31" t="n"/>
      <c r="M151" s="1" t="n"/>
    </row>
    <row r="152">
      <c r="A152" s="1" t="n"/>
      <c r="B152" s="24" t="n">
        <v>146</v>
      </c>
      <c r="C152" s="61" t="n"/>
      <c r="D152" s="27" t="n"/>
      <c r="E152" s="27" t="n"/>
      <c r="F152" s="27" t="n"/>
      <c r="G152" s="27" t="n"/>
      <c r="H152" s="62" t="n"/>
      <c r="I152" s="31" t="n"/>
      <c r="J152" s="31" t="n"/>
      <c r="K152" s="31" t="n"/>
      <c r="L152" s="31" t="n"/>
      <c r="M152" s="1" t="n"/>
    </row>
    <row r="153">
      <c r="A153" s="1" t="n"/>
      <c r="B153" s="24" t="n">
        <v>147</v>
      </c>
      <c r="C153" s="61" t="n"/>
      <c r="D153" s="27" t="n"/>
      <c r="E153" s="27" t="n"/>
      <c r="F153" s="27" t="n"/>
      <c r="G153" s="27" t="n"/>
      <c r="H153" s="62" t="n"/>
      <c r="I153" s="31" t="n"/>
      <c r="J153" s="31" t="n"/>
      <c r="K153" s="31" t="n"/>
      <c r="L153" s="31" t="n"/>
      <c r="M153" s="1" t="n"/>
    </row>
    <row r="154">
      <c r="A154" s="1" t="n"/>
      <c r="B154" s="24" t="n">
        <v>148</v>
      </c>
      <c r="C154" s="61" t="n"/>
      <c r="D154" s="27" t="n"/>
      <c r="E154" s="27" t="n"/>
      <c r="F154" s="27" t="n"/>
      <c r="G154" s="27" t="n"/>
      <c r="H154" s="62" t="n"/>
      <c r="I154" s="31" t="n"/>
      <c r="J154" s="31" t="n"/>
      <c r="K154" s="31" t="n"/>
      <c r="L154" s="31" t="n"/>
      <c r="M154" s="1" t="n"/>
    </row>
    <row r="155">
      <c r="A155" s="1" t="n"/>
      <c r="B155" s="24" t="n">
        <v>149</v>
      </c>
      <c r="C155" s="61" t="n"/>
      <c r="D155" s="27" t="n"/>
      <c r="E155" s="27" t="n"/>
      <c r="F155" s="27" t="n"/>
      <c r="G155" s="27" t="n"/>
      <c r="H155" s="62" t="n"/>
      <c r="I155" s="31" t="n"/>
      <c r="J155" s="31" t="n"/>
      <c r="K155" s="31" t="n"/>
      <c r="L155" s="31" t="n"/>
      <c r="M155" s="1" t="n"/>
    </row>
    <row r="156">
      <c r="A156" s="1" t="n"/>
      <c r="B156" s="24" t="n">
        <v>150</v>
      </c>
      <c r="C156" s="61" t="n"/>
      <c r="D156" s="27" t="n"/>
      <c r="E156" s="27" t="n"/>
      <c r="F156" s="27" t="n"/>
      <c r="G156" s="27" t="n"/>
      <c r="H156" s="62" t="n"/>
      <c r="I156" s="31" t="n"/>
      <c r="J156" s="31" t="n"/>
      <c r="K156" s="31" t="n"/>
      <c r="L156" s="31" t="n"/>
      <c r="M156" s="1" t="n"/>
    </row>
    <row r="157">
      <c r="A157" s="1" t="n"/>
      <c r="B157" s="24" t="n">
        <v>151</v>
      </c>
      <c r="C157" s="61" t="n"/>
      <c r="D157" s="27" t="n"/>
      <c r="E157" s="27" t="n"/>
      <c r="F157" s="27" t="n"/>
      <c r="G157" s="27" t="n"/>
      <c r="H157" s="62" t="n"/>
      <c r="I157" s="31" t="n"/>
      <c r="J157" s="31" t="n"/>
      <c r="K157" s="31" t="n"/>
      <c r="L157" s="31" t="n"/>
      <c r="M157" s="1" t="n"/>
    </row>
    <row r="158">
      <c r="A158" s="1" t="n"/>
      <c r="B158" s="24" t="n">
        <v>152</v>
      </c>
      <c r="C158" s="61" t="n"/>
      <c r="D158" s="27" t="n"/>
      <c r="E158" s="27" t="n"/>
      <c r="F158" s="27" t="n"/>
      <c r="G158" s="27" t="n"/>
      <c r="H158" s="62" t="n"/>
      <c r="I158" s="31" t="n"/>
      <c r="J158" s="31" t="n"/>
      <c r="K158" s="31" t="n"/>
      <c r="L158" s="31" t="n"/>
      <c r="M158" s="1" t="n"/>
    </row>
    <row r="159">
      <c r="A159" s="1" t="n"/>
      <c r="B159" s="24" t="n">
        <v>153</v>
      </c>
      <c r="C159" s="61" t="n"/>
      <c r="D159" s="27" t="n"/>
      <c r="E159" s="27" t="n"/>
      <c r="F159" s="27" t="n"/>
      <c r="G159" s="27" t="n"/>
      <c r="H159" s="62" t="n"/>
      <c r="I159" s="31" t="n"/>
      <c r="J159" s="31" t="n"/>
      <c r="K159" s="31" t="n"/>
      <c r="L159" s="31" t="n"/>
      <c r="M159" s="1" t="n"/>
    </row>
    <row r="160">
      <c r="A160" s="1" t="n"/>
      <c r="B160" s="24" t="n">
        <v>154</v>
      </c>
      <c r="C160" s="61" t="n"/>
      <c r="D160" s="27" t="n"/>
      <c r="E160" s="27" t="n"/>
      <c r="F160" s="27" t="n"/>
      <c r="G160" s="27" t="n"/>
      <c r="H160" s="62" t="n"/>
      <c r="I160" s="31" t="n"/>
      <c r="J160" s="31" t="n"/>
      <c r="K160" s="31" t="n"/>
      <c r="L160" s="31" t="n"/>
      <c r="M160" s="1" t="n"/>
    </row>
    <row r="161">
      <c r="A161" s="1" t="n"/>
      <c r="B161" s="24" t="n">
        <v>155</v>
      </c>
      <c r="C161" s="61" t="n"/>
      <c r="D161" s="27" t="n"/>
      <c r="E161" s="27" t="n"/>
      <c r="F161" s="27" t="n"/>
      <c r="G161" s="27" t="n"/>
      <c r="H161" s="62" t="n"/>
      <c r="I161" s="31" t="n"/>
      <c r="J161" s="31" t="n"/>
      <c r="K161" s="31" t="n"/>
      <c r="L161" s="31" t="n"/>
      <c r="M161" s="1" t="n"/>
    </row>
    <row r="162">
      <c r="A162" s="1" t="n"/>
      <c r="B162" s="24" t="n">
        <v>156</v>
      </c>
      <c r="C162" s="61" t="n"/>
      <c r="D162" s="27" t="n"/>
      <c r="E162" s="27" t="n"/>
      <c r="F162" s="27" t="n"/>
      <c r="G162" s="27" t="n"/>
      <c r="H162" s="62" t="n"/>
      <c r="I162" s="31" t="n"/>
      <c r="J162" s="31" t="n"/>
      <c r="K162" s="31" t="n"/>
      <c r="L162" s="31" t="n"/>
      <c r="M162" s="1" t="n"/>
    </row>
    <row r="163">
      <c r="A163" s="1" t="n"/>
      <c r="B163" s="24" t="n">
        <v>157</v>
      </c>
      <c r="C163" s="61" t="n"/>
      <c r="D163" s="27" t="n"/>
      <c r="E163" s="27" t="n"/>
      <c r="F163" s="27" t="n"/>
      <c r="G163" s="27" t="n"/>
      <c r="H163" s="62" t="n"/>
      <c r="I163" s="31" t="n"/>
      <c r="J163" s="31" t="n"/>
      <c r="K163" s="31" t="n"/>
      <c r="L163" s="31" t="n"/>
      <c r="M163" s="1" t="n"/>
    </row>
    <row r="164">
      <c r="A164" s="1" t="n"/>
      <c r="B164" s="24" t="n">
        <v>158</v>
      </c>
      <c r="C164" s="61" t="n"/>
      <c r="D164" s="27" t="n"/>
      <c r="E164" s="27" t="n"/>
      <c r="F164" s="27" t="n"/>
      <c r="G164" s="27" t="n"/>
      <c r="H164" s="62" t="n"/>
      <c r="I164" s="31" t="n"/>
      <c r="J164" s="31" t="n"/>
      <c r="K164" s="31" t="n"/>
      <c r="L164" s="31" t="n"/>
      <c r="M164" s="1" t="n"/>
    </row>
    <row r="165">
      <c r="A165" s="1" t="n"/>
      <c r="B165" s="24" t="n">
        <v>159</v>
      </c>
      <c r="C165" s="61" t="n"/>
      <c r="D165" s="27" t="n"/>
      <c r="E165" s="27" t="n"/>
      <c r="F165" s="27" t="n"/>
      <c r="G165" s="27" t="n"/>
      <c r="H165" s="62" t="n"/>
      <c r="I165" s="31" t="n"/>
      <c r="J165" s="31" t="n"/>
      <c r="K165" s="31" t="n"/>
      <c r="L165" s="31" t="n"/>
      <c r="M165" s="1" t="n"/>
    </row>
    <row r="166">
      <c r="A166" s="1" t="n"/>
      <c r="B166" s="24" t="n">
        <v>160</v>
      </c>
      <c r="C166" s="61" t="n"/>
      <c r="D166" s="27" t="n"/>
      <c r="E166" s="27" t="n"/>
      <c r="F166" s="27" t="n"/>
      <c r="G166" s="27" t="n"/>
      <c r="H166" s="62" t="n"/>
      <c r="I166" s="31" t="n"/>
      <c r="J166" s="31" t="n"/>
      <c r="K166" s="31" t="n"/>
      <c r="L166" s="31" t="n"/>
      <c r="M166" s="1" t="n"/>
    </row>
    <row r="167">
      <c r="A167" s="1" t="n"/>
      <c r="B167" s="24" t="n">
        <v>161</v>
      </c>
      <c r="C167" s="61" t="n"/>
      <c r="D167" s="27" t="n"/>
      <c r="E167" s="27" t="n"/>
      <c r="F167" s="27" t="n"/>
      <c r="G167" s="27" t="n"/>
      <c r="H167" s="62" t="n"/>
      <c r="I167" s="31" t="n"/>
      <c r="J167" s="31" t="n"/>
      <c r="K167" s="31" t="n"/>
      <c r="L167" s="31" t="n"/>
      <c r="M167" s="1" t="n"/>
    </row>
    <row r="168">
      <c r="A168" s="1" t="n"/>
      <c r="B168" s="24" t="n">
        <v>162</v>
      </c>
      <c r="C168" s="61" t="n"/>
      <c r="D168" s="27" t="n"/>
      <c r="E168" s="27" t="n"/>
      <c r="F168" s="27" t="n"/>
      <c r="G168" s="27" t="n"/>
      <c r="H168" s="62" t="n"/>
      <c r="I168" s="31" t="n"/>
      <c r="J168" s="31" t="n"/>
      <c r="K168" s="31" t="n"/>
      <c r="L168" s="31" t="n"/>
      <c r="M168" s="1" t="n"/>
    </row>
    <row r="169">
      <c r="A169" s="1" t="n"/>
      <c r="B169" s="24" t="n">
        <v>163</v>
      </c>
      <c r="C169" s="61" t="n"/>
      <c r="D169" s="27" t="n"/>
      <c r="E169" s="27" t="n"/>
      <c r="F169" s="27" t="n"/>
      <c r="G169" s="27" t="n"/>
      <c r="H169" s="62" t="n"/>
      <c r="I169" s="31" t="n"/>
      <c r="J169" s="31" t="n"/>
      <c r="K169" s="31" t="n"/>
      <c r="L169" s="31" t="n"/>
      <c r="M169" s="1" t="n"/>
    </row>
    <row r="170">
      <c r="A170" s="1" t="n"/>
      <c r="B170" s="24" t="n">
        <v>164</v>
      </c>
      <c r="C170" s="61" t="n"/>
      <c r="D170" s="27" t="n"/>
      <c r="E170" s="27" t="n"/>
      <c r="F170" s="27" t="n"/>
      <c r="G170" s="27" t="n"/>
      <c r="H170" s="62" t="n"/>
      <c r="I170" s="31" t="n"/>
      <c r="J170" s="31" t="n"/>
      <c r="K170" s="31" t="n"/>
      <c r="L170" s="31" t="n"/>
      <c r="M170" s="1" t="n"/>
    </row>
    <row r="171">
      <c r="A171" s="1" t="n"/>
      <c r="B171" s="24" t="n">
        <v>165</v>
      </c>
      <c r="C171" s="61" t="n"/>
      <c r="D171" s="27" t="n"/>
      <c r="E171" s="27" t="n"/>
      <c r="F171" s="27" t="n"/>
      <c r="G171" s="27" t="n"/>
      <c r="H171" s="62" t="n"/>
      <c r="I171" s="31" t="n"/>
      <c r="J171" s="31" t="n"/>
      <c r="K171" s="31" t="n"/>
      <c r="L171" s="31" t="n"/>
      <c r="M171" s="1" t="n"/>
    </row>
    <row r="172">
      <c r="A172" s="1" t="n"/>
      <c r="B172" s="24" t="n">
        <v>166</v>
      </c>
      <c r="C172" s="61" t="n"/>
      <c r="D172" s="27" t="n"/>
      <c r="E172" s="27" t="n"/>
      <c r="F172" s="27" t="n"/>
      <c r="G172" s="27" t="n"/>
      <c r="H172" s="62" t="n"/>
      <c r="I172" s="31" t="n"/>
      <c r="J172" s="31" t="n"/>
      <c r="K172" s="31" t="n"/>
      <c r="L172" s="31" t="n"/>
      <c r="M172" s="1" t="n"/>
    </row>
    <row r="173">
      <c r="A173" s="1" t="n"/>
      <c r="B173" s="24" t="n">
        <v>167</v>
      </c>
      <c r="C173" s="61" t="n"/>
      <c r="D173" s="27" t="n"/>
      <c r="E173" s="27" t="n"/>
      <c r="F173" s="27" t="n"/>
      <c r="G173" s="27" t="n"/>
      <c r="H173" s="62" t="n"/>
      <c r="I173" s="31" t="n"/>
      <c r="J173" s="31" t="n"/>
      <c r="K173" s="31" t="n"/>
      <c r="L173" s="31" t="n"/>
      <c r="M173" s="1" t="n"/>
    </row>
    <row r="174">
      <c r="A174" s="1" t="n"/>
      <c r="B174" s="24" t="n">
        <v>168</v>
      </c>
      <c r="C174" s="61" t="n"/>
      <c r="D174" s="27" t="n"/>
      <c r="E174" s="27" t="n"/>
      <c r="F174" s="27" t="n"/>
      <c r="G174" s="27" t="n"/>
      <c r="H174" s="62" t="n"/>
      <c r="I174" s="31" t="n"/>
      <c r="J174" s="31" t="n"/>
      <c r="K174" s="31" t="n"/>
      <c r="L174" s="31" t="n"/>
      <c r="M174" s="1" t="n"/>
    </row>
    <row r="175">
      <c r="A175" s="1" t="n"/>
      <c r="B175" s="24" t="n">
        <v>169</v>
      </c>
      <c r="C175" s="61" t="n"/>
      <c r="D175" s="27" t="n"/>
      <c r="E175" s="27" t="n"/>
      <c r="F175" s="27" t="n"/>
      <c r="G175" s="27" t="n"/>
      <c r="H175" s="62" t="n"/>
      <c r="I175" s="31" t="n"/>
      <c r="J175" s="31" t="n"/>
      <c r="K175" s="31" t="n"/>
      <c r="L175" s="31" t="n"/>
      <c r="M175" s="1" t="n"/>
    </row>
    <row r="176">
      <c r="A176" s="1" t="n"/>
      <c r="B176" s="24" t="n">
        <v>170</v>
      </c>
      <c r="C176" s="61" t="n"/>
      <c r="D176" s="27" t="n"/>
      <c r="E176" s="27" t="n"/>
      <c r="F176" s="27" t="n"/>
      <c r="G176" s="27" t="n"/>
      <c r="H176" s="62" t="n"/>
      <c r="I176" s="31" t="n"/>
      <c r="J176" s="31" t="n"/>
      <c r="K176" s="31" t="n"/>
      <c r="L176" s="31" t="n"/>
      <c r="M176" s="1" t="n"/>
    </row>
    <row r="177">
      <c r="A177" s="1" t="n"/>
      <c r="B177" s="24" t="n">
        <v>171</v>
      </c>
      <c r="C177" s="61" t="n"/>
      <c r="D177" s="27" t="n"/>
      <c r="E177" s="27" t="n"/>
      <c r="F177" s="27" t="n"/>
      <c r="G177" s="27" t="n"/>
      <c r="H177" s="62" t="n"/>
      <c r="I177" s="31" t="n"/>
      <c r="J177" s="31" t="n"/>
      <c r="K177" s="31" t="n"/>
      <c r="L177" s="31" t="n"/>
      <c r="M177" s="1" t="n"/>
    </row>
    <row r="178">
      <c r="A178" s="1" t="n"/>
      <c r="B178" s="24" t="n">
        <v>172</v>
      </c>
      <c r="C178" s="61" t="n"/>
      <c r="D178" s="27" t="n"/>
      <c r="E178" s="27" t="n"/>
      <c r="F178" s="27" t="n"/>
      <c r="G178" s="27" t="n"/>
      <c r="H178" s="62" t="n"/>
      <c r="I178" s="31" t="n"/>
      <c r="J178" s="31" t="n"/>
      <c r="K178" s="31" t="n"/>
      <c r="L178" s="31" t="n"/>
      <c r="M178" s="1" t="n"/>
    </row>
    <row r="179">
      <c r="A179" s="1" t="n"/>
      <c r="B179" s="24" t="n">
        <v>173</v>
      </c>
      <c r="C179" s="61" t="n"/>
      <c r="D179" s="27" t="n"/>
      <c r="E179" s="27" t="n"/>
      <c r="F179" s="27" t="n"/>
      <c r="G179" s="27" t="n"/>
      <c r="H179" s="62" t="n"/>
      <c r="I179" s="31" t="n"/>
      <c r="J179" s="31" t="n"/>
      <c r="K179" s="31" t="n"/>
      <c r="L179" s="31" t="n"/>
      <c r="M179" s="1" t="n"/>
    </row>
    <row r="180">
      <c r="A180" s="1" t="n"/>
      <c r="B180" s="24" t="n">
        <v>174</v>
      </c>
      <c r="C180" s="61" t="n"/>
      <c r="D180" s="27" t="n"/>
      <c r="E180" s="27" t="n"/>
      <c r="F180" s="27" t="n"/>
      <c r="G180" s="27" t="n"/>
      <c r="H180" s="62" t="n"/>
      <c r="I180" s="31" t="n"/>
      <c r="J180" s="31" t="n"/>
      <c r="K180" s="31" t="n"/>
      <c r="L180" s="31" t="n"/>
      <c r="M180" s="1" t="n"/>
    </row>
    <row r="181">
      <c r="A181" s="1" t="n"/>
      <c r="B181" s="24" t="n">
        <v>175</v>
      </c>
      <c r="C181" s="61" t="n"/>
      <c r="D181" s="27" t="n"/>
      <c r="E181" s="27" t="n"/>
      <c r="F181" s="27" t="n"/>
      <c r="G181" s="27" t="n"/>
      <c r="H181" s="62" t="n"/>
      <c r="I181" s="31" t="n"/>
      <c r="J181" s="31" t="n"/>
      <c r="K181" s="31" t="n"/>
      <c r="L181" s="31" t="n"/>
      <c r="M181" s="1" t="n"/>
    </row>
    <row r="182">
      <c r="A182" s="1" t="n"/>
      <c r="B182" s="24" t="n">
        <v>176</v>
      </c>
      <c r="C182" s="61" t="n"/>
      <c r="D182" s="27" t="n"/>
      <c r="E182" s="27" t="n"/>
      <c r="F182" s="27" t="n"/>
      <c r="G182" s="27" t="n"/>
      <c r="H182" s="62" t="n"/>
      <c r="I182" s="31" t="n"/>
      <c r="J182" s="31" t="n"/>
      <c r="K182" s="31" t="n"/>
      <c r="L182" s="31" t="n"/>
      <c r="M182" s="1" t="n"/>
    </row>
    <row r="183">
      <c r="A183" s="1" t="n"/>
      <c r="B183" s="24" t="n">
        <v>177</v>
      </c>
      <c r="C183" s="61" t="n"/>
      <c r="D183" s="27" t="n"/>
      <c r="E183" s="27" t="n"/>
      <c r="F183" s="27" t="n"/>
      <c r="G183" s="27" t="n"/>
      <c r="H183" s="62" t="n"/>
      <c r="I183" s="31" t="n"/>
      <c r="J183" s="31" t="n"/>
      <c r="K183" s="31" t="n"/>
      <c r="L183" s="31" t="n"/>
      <c r="M183" s="1" t="n"/>
    </row>
    <row r="184">
      <c r="A184" s="1" t="n"/>
      <c r="B184" s="24" t="n">
        <v>178</v>
      </c>
      <c r="C184" s="61" t="n"/>
      <c r="D184" s="27" t="n"/>
      <c r="E184" s="27" t="n"/>
      <c r="F184" s="27" t="n"/>
      <c r="G184" s="27" t="n"/>
      <c r="H184" s="62" t="n"/>
      <c r="I184" s="31" t="n"/>
      <c r="J184" s="31" t="n"/>
      <c r="K184" s="31" t="n"/>
      <c r="L184" s="31" t="n"/>
      <c r="M184" s="1" t="n"/>
    </row>
    <row r="185">
      <c r="A185" s="1" t="n"/>
      <c r="B185" s="24" t="n">
        <v>179</v>
      </c>
      <c r="C185" s="61" t="n"/>
      <c r="D185" s="27" t="n"/>
      <c r="E185" s="27" t="n"/>
      <c r="F185" s="27" t="n"/>
      <c r="G185" s="27" t="n"/>
      <c r="H185" s="62" t="n"/>
      <c r="I185" s="31" t="n"/>
      <c r="J185" s="31" t="n"/>
      <c r="K185" s="31" t="n"/>
      <c r="L185" s="31" t="n"/>
      <c r="M185" s="1" t="n"/>
    </row>
    <row r="186">
      <c r="A186" s="1" t="n"/>
      <c r="B186" s="24" t="n">
        <v>180</v>
      </c>
      <c r="C186" s="61" t="n"/>
      <c r="D186" s="27" t="n"/>
      <c r="E186" s="27" t="n"/>
      <c r="F186" s="27" t="n"/>
      <c r="G186" s="27" t="n"/>
      <c r="H186" s="62" t="n"/>
      <c r="I186" s="31" t="n"/>
      <c r="J186" s="31" t="n"/>
      <c r="K186" s="31" t="n"/>
      <c r="L186" s="31" t="n"/>
      <c r="M186" s="1" t="n"/>
    </row>
    <row r="187">
      <c r="A187" s="1" t="n"/>
      <c r="B187" s="24" t="n">
        <v>181</v>
      </c>
      <c r="C187" s="61" t="n"/>
      <c r="D187" s="27" t="n"/>
      <c r="E187" s="27" t="n"/>
      <c r="F187" s="27" t="n"/>
      <c r="G187" s="27" t="n"/>
      <c r="H187" s="62" t="n"/>
      <c r="I187" s="31" t="n"/>
      <c r="J187" s="31" t="n"/>
      <c r="K187" s="31" t="n"/>
      <c r="L187" s="31" t="n"/>
      <c r="M187" s="1" t="n"/>
    </row>
    <row r="188">
      <c r="A188" s="1" t="n"/>
      <c r="B188" s="24" t="n">
        <v>182</v>
      </c>
      <c r="C188" s="61" t="n"/>
      <c r="D188" s="27" t="n"/>
      <c r="E188" s="27" t="n"/>
      <c r="F188" s="27" t="n"/>
      <c r="G188" s="27" t="n"/>
      <c r="H188" s="62" t="n"/>
      <c r="I188" s="31" t="n"/>
      <c r="J188" s="31" t="n"/>
      <c r="K188" s="31" t="n"/>
      <c r="L188" s="31" t="n"/>
      <c r="M188" s="1" t="n"/>
    </row>
    <row r="189">
      <c r="A189" s="1" t="n"/>
      <c r="B189" s="24" t="n">
        <v>183</v>
      </c>
      <c r="C189" s="61" t="n"/>
      <c r="D189" s="27" t="n"/>
      <c r="E189" s="27" t="n"/>
      <c r="F189" s="27" t="n"/>
      <c r="G189" s="27" t="n"/>
      <c r="H189" s="62" t="n"/>
      <c r="I189" s="31" t="n"/>
      <c r="J189" s="31" t="n"/>
      <c r="K189" s="31" t="n"/>
      <c r="L189" s="31" t="n"/>
      <c r="M189" s="1" t="n"/>
    </row>
    <row r="190">
      <c r="A190" s="1" t="n"/>
      <c r="B190" s="24" t="n">
        <v>184</v>
      </c>
      <c r="C190" s="61" t="n"/>
      <c r="D190" s="27" t="n"/>
      <c r="E190" s="27" t="n"/>
      <c r="F190" s="27" t="n"/>
      <c r="G190" s="27" t="n"/>
      <c r="H190" s="62" t="n"/>
      <c r="I190" s="31" t="n"/>
      <c r="J190" s="31" t="n"/>
      <c r="K190" s="31" t="n"/>
      <c r="L190" s="31" t="n"/>
      <c r="M190" s="1" t="n"/>
    </row>
    <row r="191">
      <c r="A191" s="1" t="n"/>
      <c r="B191" s="24" t="n">
        <v>185</v>
      </c>
      <c r="C191" s="61" t="n"/>
      <c r="D191" s="27" t="n"/>
      <c r="E191" s="27" t="n"/>
      <c r="F191" s="27" t="n"/>
      <c r="G191" s="27" t="n"/>
      <c r="H191" s="62" t="n"/>
      <c r="I191" s="31" t="n"/>
      <c r="J191" s="31" t="n"/>
      <c r="K191" s="31" t="n"/>
      <c r="L191" s="31" t="n"/>
      <c r="M191" s="1" t="n"/>
    </row>
    <row r="192">
      <c r="A192" s="1" t="n"/>
      <c r="B192" s="24" t="n">
        <v>186</v>
      </c>
      <c r="C192" s="61" t="n"/>
      <c r="D192" s="27" t="n"/>
      <c r="E192" s="27" t="n"/>
      <c r="F192" s="27" t="n"/>
      <c r="G192" s="27" t="n"/>
      <c r="H192" s="62" t="n"/>
      <c r="I192" s="31" t="n"/>
      <c r="J192" s="31" t="n"/>
      <c r="K192" s="31" t="n"/>
      <c r="L192" s="31" t="n"/>
      <c r="M192" s="1" t="n"/>
    </row>
    <row r="193">
      <c r="A193" s="1" t="n"/>
      <c r="B193" s="24" t="n">
        <v>187</v>
      </c>
      <c r="C193" s="61" t="n"/>
      <c r="D193" s="27" t="n"/>
      <c r="E193" s="27" t="n"/>
      <c r="F193" s="27" t="n"/>
      <c r="G193" s="27" t="n"/>
      <c r="H193" s="62" t="n"/>
      <c r="I193" s="31" t="n"/>
      <c r="J193" s="31" t="n"/>
      <c r="K193" s="31" t="n"/>
      <c r="L193" s="31" t="n"/>
      <c r="M193" s="1" t="n"/>
    </row>
    <row r="194">
      <c r="A194" s="1" t="n"/>
      <c r="B194" s="24" t="n">
        <v>188</v>
      </c>
      <c r="C194" s="61" t="n"/>
      <c r="D194" s="27" t="n"/>
      <c r="E194" s="27" t="n"/>
      <c r="F194" s="27" t="n"/>
      <c r="G194" s="27" t="n"/>
      <c r="H194" s="62" t="n"/>
      <c r="I194" s="31" t="n"/>
      <c r="J194" s="31" t="n"/>
      <c r="K194" s="31" t="n"/>
      <c r="L194" s="31" t="n"/>
      <c r="M194" s="1" t="n"/>
    </row>
    <row r="195">
      <c r="A195" s="1" t="n"/>
      <c r="B195" s="24" t="n">
        <v>189</v>
      </c>
      <c r="C195" s="61" t="n"/>
      <c r="D195" s="27" t="n"/>
      <c r="E195" s="27" t="n"/>
      <c r="F195" s="27" t="n"/>
      <c r="G195" s="27" t="n"/>
      <c r="H195" s="62" t="n"/>
      <c r="I195" s="31" t="n"/>
      <c r="J195" s="31" t="n"/>
      <c r="K195" s="31" t="n"/>
      <c r="L195" s="31" t="n"/>
      <c r="M195" s="1" t="n"/>
    </row>
    <row r="196">
      <c r="A196" s="1" t="n"/>
      <c r="B196" s="24" t="n">
        <v>190</v>
      </c>
      <c r="C196" s="61" t="n"/>
      <c r="D196" s="27" t="n"/>
      <c r="E196" s="27" t="n"/>
      <c r="F196" s="27" t="n"/>
      <c r="G196" s="27" t="n"/>
      <c r="H196" s="62" t="n"/>
      <c r="I196" s="31" t="n"/>
      <c r="J196" s="31" t="n"/>
      <c r="K196" s="31" t="n"/>
      <c r="L196" s="31" t="n"/>
      <c r="M196" s="1" t="n"/>
    </row>
    <row r="197">
      <c r="A197" s="1" t="n"/>
      <c r="B197" s="24" t="n">
        <v>191</v>
      </c>
      <c r="C197" s="61" t="n"/>
      <c r="D197" s="27" t="n"/>
      <c r="E197" s="27" t="n"/>
      <c r="F197" s="27" t="n"/>
      <c r="G197" s="27" t="n"/>
      <c r="H197" s="62" t="n"/>
      <c r="I197" s="31" t="n"/>
      <c r="J197" s="31" t="n"/>
      <c r="K197" s="31" t="n"/>
      <c r="L197" s="31" t="n"/>
      <c r="M197" s="1" t="n"/>
    </row>
    <row r="198">
      <c r="A198" s="1" t="n"/>
      <c r="B198" s="24" t="n">
        <v>192</v>
      </c>
      <c r="C198" s="61" t="n"/>
      <c r="D198" s="27" t="n"/>
      <c r="E198" s="27" t="n"/>
      <c r="F198" s="27" t="n"/>
      <c r="G198" s="27" t="n"/>
      <c r="H198" s="62" t="n"/>
      <c r="I198" s="31" t="n"/>
      <c r="J198" s="31" t="n"/>
      <c r="K198" s="31" t="n"/>
      <c r="L198" s="31" t="n"/>
      <c r="M198" s="1" t="n"/>
    </row>
    <row r="199">
      <c r="A199" s="1" t="n"/>
      <c r="B199" s="24" t="n">
        <v>193</v>
      </c>
      <c r="C199" s="61" t="n"/>
      <c r="D199" s="27" t="n"/>
      <c r="E199" s="27" t="n"/>
      <c r="F199" s="27" t="n"/>
      <c r="G199" s="27" t="n"/>
      <c r="H199" s="62" t="n"/>
      <c r="I199" s="31" t="n"/>
      <c r="J199" s="31" t="n"/>
      <c r="K199" s="31" t="n"/>
      <c r="L199" s="31" t="n"/>
      <c r="M199" s="1" t="n"/>
    </row>
    <row r="200">
      <c r="A200" s="1" t="n"/>
      <c r="B200" s="24" t="n">
        <v>194</v>
      </c>
      <c r="C200" s="61" t="n"/>
      <c r="D200" s="27" t="n"/>
      <c r="E200" s="27" t="n"/>
      <c r="F200" s="27" t="n"/>
      <c r="G200" s="27" t="n"/>
      <c r="H200" s="62" t="n"/>
      <c r="I200" s="31" t="n"/>
      <c r="J200" s="31" t="n"/>
      <c r="K200" s="31" t="n"/>
      <c r="L200" s="31" t="n"/>
      <c r="M200" s="1" t="n"/>
    </row>
    <row r="201">
      <c r="A201" s="1" t="n"/>
      <c r="B201" s="24" t="n">
        <v>195</v>
      </c>
      <c r="C201" s="61" t="n"/>
      <c r="D201" s="27" t="n"/>
      <c r="E201" s="27" t="n"/>
      <c r="F201" s="27" t="n"/>
      <c r="G201" s="27" t="n"/>
      <c r="H201" s="62" t="n"/>
      <c r="I201" s="31" t="n"/>
      <c r="J201" s="31" t="n"/>
      <c r="K201" s="31" t="n"/>
      <c r="L201" s="31" t="n"/>
      <c r="M201" s="1" t="n"/>
    </row>
    <row r="202">
      <c r="A202" s="1" t="n"/>
      <c r="B202" s="24" t="n">
        <v>196</v>
      </c>
      <c r="C202" s="61" t="n"/>
      <c r="D202" s="27" t="n"/>
      <c r="E202" s="27" t="n"/>
      <c r="F202" s="27" t="n"/>
      <c r="G202" s="27" t="n"/>
      <c r="H202" s="62" t="n"/>
      <c r="I202" s="31" t="n"/>
      <c r="J202" s="31" t="n"/>
      <c r="K202" s="31" t="n"/>
      <c r="L202" s="31" t="n"/>
      <c r="M202" s="1" t="n"/>
    </row>
    <row r="203">
      <c r="A203" s="1" t="n"/>
      <c r="B203" s="24" t="n">
        <v>197</v>
      </c>
      <c r="C203" s="61" t="n"/>
      <c r="D203" s="27" t="n"/>
      <c r="E203" s="27" t="n"/>
      <c r="F203" s="27" t="n"/>
      <c r="G203" s="27" t="n"/>
      <c r="H203" s="62" t="n"/>
      <c r="I203" s="31" t="n"/>
      <c r="J203" s="31" t="n"/>
      <c r="K203" s="31" t="n"/>
      <c r="L203" s="31" t="n"/>
      <c r="M203" s="1" t="n"/>
    </row>
    <row r="204">
      <c r="A204" s="1" t="n"/>
      <c r="B204" s="24" t="n">
        <v>198</v>
      </c>
      <c r="C204" s="61" t="n"/>
      <c r="D204" s="27" t="n"/>
      <c r="E204" s="27" t="n"/>
      <c r="F204" s="27" t="n"/>
      <c r="G204" s="27" t="n"/>
      <c r="H204" s="62" t="n"/>
      <c r="I204" s="31" t="n"/>
      <c r="J204" s="31" t="n"/>
      <c r="K204" s="31" t="n"/>
      <c r="L204" s="31" t="n"/>
      <c r="M204" s="1" t="n"/>
    </row>
    <row r="205">
      <c r="A205" s="1" t="n"/>
      <c r="B205" s="24" t="n">
        <v>199</v>
      </c>
      <c r="C205" s="61" t="n"/>
      <c r="D205" s="27" t="n"/>
      <c r="E205" s="27" t="n"/>
      <c r="F205" s="27" t="n"/>
      <c r="G205" s="27" t="n"/>
      <c r="H205" s="62" t="n"/>
      <c r="I205" s="31" t="n"/>
      <c r="J205" s="31" t="n"/>
      <c r="K205" s="31" t="n"/>
      <c r="L205" s="31" t="n"/>
      <c r="M205" s="1" t="n"/>
    </row>
    <row r="206">
      <c r="A206" s="1" t="n"/>
      <c r="B206" s="24" t="n">
        <v>200</v>
      </c>
      <c r="C206" s="61" t="n"/>
      <c r="D206" s="27" t="n"/>
      <c r="E206" s="27" t="n"/>
      <c r="F206" s="27" t="n"/>
      <c r="G206" s="27" t="n"/>
      <c r="H206" s="62" t="n"/>
      <c r="I206" s="31" t="n"/>
      <c r="J206" s="31" t="n"/>
      <c r="K206" s="31" t="n"/>
      <c r="L206" s="31" t="n"/>
      <c r="M206" s="1" t="n"/>
    </row>
    <row r="207">
      <c r="A207" s="1" t="n"/>
      <c r="B207" s="24" t="n">
        <v>201</v>
      </c>
      <c r="C207" s="61" t="n"/>
      <c r="D207" s="27" t="n"/>
      <c r="E207" s="27" t="n"/>
      <c r="F207" s="27" t="n"/>
      <c r="G207" s="27" t="n"/>
      <c r="H207" s="62" t="n"/>
      <c r="I207" s="31" t="n"/>
      <c r="J207" s="31" t="n"/>
      <c r="K207" s="31" t="n"/>
      <c r="L207" s="31" t="n"/>
      <c r="M207" s="1" t="n"/>
    </row>
    <row r="208">
      <c r="A208" s="1" t="n"/>
      <c r="B208" s="24" t="n">
        <v>202</v>
      </c>
      <c r="C208" s="61" t="n"/>
      <c r="D208" s="27" t="n"/>
      <c r="E208" s="27" t="n"/>
      <c r="F208" s="27" t="n"/>
      <c r="G208" s="27" t="n"/>
      <c r="H208" s="62" t="n"/>
      <c r="I208" s="31" t="n"/>
      <c r="J208" s="31" t="n"/>
      <c r="K208" s="31" t="n"/>
      <c r="L208" s="31" t="n"/>
      <c r="M208" s="1" t="n"/>
    </row>
    <row r="209">
      <c r="A209" s="1" t="n"/>
      <c r="B209" s="24" t="n">
        <v>203</v>
      </c>
      <c r="C209" s="61" t="n"/>
      <c r="D209" s="27" t="n"/>
      <c r="E209" s="27" t="n"/>
      <c r="F209" s="27" t="n"/>
      <c r="G209" s="27" t="n"/>
      <c r="H209" s="62" t="n"/>
      <c r="I209" s="31" t="n"/>
      <c r="J209" s="31" t="n"/>
      <c r="K209" s="31" t="n"/>
      <c r="L209" s="31" t="n"/>
      <c r="M209" s="1" t="n"/>
    </row>
    <row r="210">
      <c r="A210" s="1" t="n"/>
      <c r="B210" s="24" t="n">
        <v>204</v>
      </c>
      <c r="C210" s="61" t="n"/>
      <c r="D210" s="27" t="n"/>
      <c r="E210" s="27" t="n"/>
      <c r="F210" s="27" t="n"/>
      <c r="G210" s="27" t="n"/>
      <c r="H210" s="62" t="n"/>
      <c r="I210" s="31" t="n"/>
      <c r="J210" s="31" t="n"/>
      <c r="K210" s="31" t="n"/>
      <c r="L210" s="31" t="n"/>
      <c r="M210" s="1" t="n"/>
    </row>
    <row r="211">
      <c r="A211" s="1" t="n"/>
      <c r="B211" s="24" t="n">
        <v>205</v>
      </c>
      <c r="C211" s="61" t="n"/>
      <c r="D211" s="27" t="n"/>
      <c r="E211" s="27" t="n"/>
      <c r="F211" s="27" t="n"/>
      <c r="G211" s="27" t="n"/>
      <c r="H211" s="62" t="n"/>
      <c r="I211" s="31" t="n"/>
      <c r="J211" s="31" t="n"/>
      <c r="K211" s="31" t="n"/>
      <c r="L211" s="31" t="n"/>
      <c r="M211" s="1" t="n"/>
    </row>
    <row r="212">
      <c r="A212" s="1" t="n"/>
      <c r="B212" s="24" t="n">
        <v>206</v>
      </c>
      <c r="C212" s="61" t="n"/>
      <c r="D212" s="27" t="n"/>
      <c r="E212" s="27" t="n"/>
      <c r="F212" s="27" t="n"/>
      <c r="G212" s="27" t="n"/>
      <c r="H212" s="62" t="n"/>
      <c r="I212" s="31" t="n"/>
      <c r="J212" s="31" t="n"/>
      <c r="K212" s="31" t="n"/>
      <c r="L212" s="31" t="n"/>
      <c r="M212" s="1" t="n"/>
    </row>
    <row r="213">
      <c r="A213" s="1" t="n"/>
      <c r="B213" s="24" t="n">
        <v>207</v>
      </c>
      <c r="C213" s="61" t="n"/>
      <c r="D213" s="27" t="n"/>
      <c r="E213" s="27" t="n"/>
      <c r="F213" s="27" t="n"/>
      <c r="G213" s="27" t="n"/>
      <c r="H213" s="62" t="n"/>
      <c r="I213" s="31" t="n"/>
      <c r="J213" s="31" t="n"/>
      <c r="K213" s="31" t="n"/>
      <c r="L213" s="31" t="n"/>
      <c r="M213" s="1" t="n"/>
    </row>
    <row r="214">
      <c r="A214" s="1" t="n"/>
      <c r="B214" s="24" t="n">
        <v>208</v>
      </c>
      <c r="C214" s="61" t="n"/>
      <c r="D214" s="27" t="n"/>
      <c r="E214" s="27" t="n"/>
      <c r="F214" s="27" t="n"/>
      <c r="G214" s="27" t="n"/>
      <c r="H214" s="62" t="n"/>
      <c r="I214" s="31" t="n"/>
      <c r="J214" s="31" t="n"/>
      <c r="K214" s="31" t="n"/>
      <c r="L214" s="31" t="n"/>
      <c r="M214" s="1" t="n"/>
    </row>
    <row r="215">
      <c r="A215" s="1" t="n"/>
      <c r="B215" s="24" t="n">
        <v>209</v>
      </c>
      <c r="C215" s="61" t="n"/>
      <c r="D215" s="27" t="n"/>
      <c r="E215" s="27" t="n"/>
      <c r="F215" s="27" t="n"/>
      <c r="G215" s="27" t="n"/>
      <c r="H215" s="62" t="n"/>
      <c r="I215" s="31" t="n"/>
      <c r="J215" s="31" t="n"/>
      <c r="K215" s="31" t="n"/>
      <c r="L215" s="31" t="n"/>
      <c r="M215" s="1" t="n"/>
    </row>
    <row r="216">
      <c r="A216" s="1" t="n"/>
      <c r="B216" s="24" t="n">
        <v>210</v>
      </c>
      <c r="C216" s="61" t="n"/>
      <c r="D216" s="27" t="n"/>
      <c r="E216" s="27" t="n"/>
      <c r="F216" s="27" t="n"/>
      <c r="G216" s="27" t="n"/>
      <c r="H216" s="62" t="n"/>
      <c r="I216" s="31" t="n"/>
      <c r="J216" s="31" t="n"/>
      <c r="K216" s="31" t="n"/>
      <c r="L216" s="31" t="n"/>
      <c r="M216" s="1" t="n"/>
    </row>
    <row r="217">
      <c r="A217" s="1" t="n"/>
      <c r="B217" s="24" t="n">
        <v>211</v>
      </c>
      <c r="C217" s="61" t="n"/>
      <c r="D217" s="27" t="n"/>
      <c r="E217" s="27" t="n"/>
      <c r="F217" s="27" t="n"/>
      <c r="G217" s="27" t="n"/>
      <c r="H217" s="62" t="n"/>
      <c r="I217" s="31" t="n"/>
      <c r="J217" s="31" t="n"/>
      <c r="K217" s="31" t="n"/>
      <c r="L217" s="31" t="n"/>
      <c r="M217" s="1" t="n"/>
    </row>
    <row r="218">
      <c r="A218" s="1" t="n"/>
      <c r="B218" s="24" t="n">
        <v>212</v>
      </c>
      <c r="C218" s="61" t="n"/>
      <c r="D218" s="27" t="n"/>
      <c r="E218" s="27" t="n"/>
      <c r="F218" s="27" t="n"/>
      <c r="G218" s="27" t="n"/>
      <c r="H218" s="62" t="n"/>
      <c r="I218" s="31" t="n"/>
      <c r="J218" s="31" t="n"/>
      <c r="K218" s="31" t="n"/>
      <c r="L218" s="31" t="n"/>
      <c r="M218" s="1" t="n"/>
    </row>
    <row r="219">
      <c r="A219" s="1" t="n"/>
      <c r="B219" s="24" t="n">
        <v>213</v>
      </c>
      <c r="C219" s="61" t="n"/>
      <c r="D219" s="27" t="n"/>
      <c r="E219" s="27" t="n"/>
      <c r="F219" s="27" t="n"/>
      <c r="G219" s="27" t="n"/>
      <c r="H219" s="62" t="n"/>
      <c r="I219" s="31" t="n"/>
      <c r="J219" s="31" t="n"/>
      <c r="K219" s="31" t="n"/>
      <c r="L219" s="31" t="n"/>
      <c r="M219" s="1" t="n"/>
    </row>
    <row r="220">
      <c r="A220" s="1" t="n"/>
      <c r="B220" s="24" t="n">
        <v>214</v>
      </c>
      <c r="C220" s="61" t="n"/>
      <c r="D220" s="27" t="n"/>
      <c r="E220" s="27" t="n"/>
      <c r="F220" s="27" t="n"/>
      <c r="G220" s="27" t="n"/>
      <c r="H220" s="62" t="n"/>
      <c r="I220" s="31" t="n"/>
      <c r="J220" s="31" t="n"/>
      <c r="K220" s="31" t="n"/>
      <c r="L220" s="31" t="n"/>
      <c r="M220" s="1" t="n"/>
    </row>
    <row r="221">
      <c r="A221" s="1" t="n"/>
      <c r="B221" s="24" t="n">
        <v>215</v>
      </c>
      <c r="C221" s="61" t="n"/>
      <c r="D221" s="27" t="n"/>
      <c r="E221" s="27" t="n"/>
      <c r="F221" s="27" t="n"/>
      <c r="G221" s="27" t="n"/>
      <c r="H221" s="62" t="n"/>
      <c r="I221" s="31" t="n"/>
      <c r="J221" s="31" t="n"/>
      <c r="K221" s="31" t="n"/>
      <c r="L221" s="31" t="n"/>
      <c r="M221" s="1" t="n"/>
    </row>
    <row r="222">
      <c r="A222" s="1" t="n"/>
      <c r="B222" s="24" t="n">
        <v>216</v>
      </c>
      <c r="C222" s="61" t="n"/>
      <c r="D222" s="27" t="n"/>
      <c r="E222" s="27" t="n"/>
      <c r="F222" s="27" t="n"/>
      <c r="G222" s="27" t="n"/>
      <c r="H222" s="62" t="n"/>
      <c r="I222" s="31" t="n"/>
      <c r="J222" s="31" t="n"/>
      <c r="K222" s="31" t="n"/>
      <c r="L222" s="31" t="n"/>
      <c r="M222" s="1" t="n"/>
    </row>
    <row r="223">
      <c r="A223" s="1" t="n"/>
      <c r="B223" s="24" t="n">
        <v>217</v>
      </c>
      <c r="C223" s="61" t="n"/>
      <c r="D223" s="27" t="n"/>
      <c r="E223" s="27" t="n"/>
      <c r="F223" s="27" t="n"/>
      <c r="G223" s="27" t="n"/>
      <c r="H223" s="62" t="n"/>
      <c r="I223" s="31" t="n"/>
      <c r="J223" s="31" t="n"/>
      <c r="K223" s="31" t="n"/>
      <c r="L223" s="31" t="n"/>
      <c r="M223" s="1" t="n"/>
    </row>
    <row r="224">
      <c r="A224" s="1" t="n"/>
      <c r="B224" s="24" t="n">
        <v>218</v>
      </c>
      <c r="C224" s="61" t="n"/>
      <c r="D224" s="27" t="n"/>
      <c r="E224" s="27" t="n"/>
      <c r="F224" s="27" t="n"/>
      <c r="G224" s="27" t="n"/>
      <c r="H224" s="62" t="n"/>
      <c r="I224" s="31" t="n"/>
      <c r="J224" s="31" t="n"/>
      <c r="K224" s="31" t="n"/>
      <c r="L224" s="31" t="n"/>
      <c r="M224" s="1" t="n"/>
    </row>
    <row r="225">
      <c r="A225" s="1" t="n"/>
      <c r="B225" s="24" t="n">
        <v>219</v>
      </c>
      <c r="C225" s="61" t="n"/>
      <c r="D225" s="27" t="n"/>
      <c r="E225" s="27" t="n"/>
      <c r="F225" s="27" t="n"/>
      <c r="G225" s="27" t="n"/>
      <c r="H225" s="62" t="n"/>
      <c r="I225" s="31" t="n"/>
      <c r="J225" s="31" t="n"/>
      <c r="K225" s="31" t="n"/>
      <c r="L225" s="31" t="n"/>
      <c r="M225" s="1" t="n"/>
    </row>
    <row r="226">
      <c r="A226" s="1" t="n"/>
      <c r="B226" s="24" t="n">
        <v>220</v>
      </c>
      <c r="C226" s="61" t="n"/>
      <c r="D226" s="27" t="n"/>
      <c r="E226" s="27" t="n"/>
      <c r="F226" s="27" t="n"/>
      <c r="G226" s="27" t="n"/>
      <c r="H226" s="62" t="n"/>
      <c r="I226" s="31" t="n"/>
      <c r="J226" s="31" t="n"/>
      <c r="K226" s="31" t="n"/>
      <c r="L226" s="31" t="n"/>
      <c r="M226" s="1" t="n"/>
    </row>
    <row r="227">
      <c r="A227" s="1" t="n"/>
      <c r="B227" s="24" t="n">
        <v>221</v>
      </c>
      <c r="C227" s="61" t="n"/>
      <c r="D227" s="27" t="n"/>
      <c r="E227" s="27" t="n"/>
      <c r="F227" s="27" t="n"/>
      <c r="G227" s="27" t="n"/>
      <c r="H227" s="62" t="n"/>
      <c r="I227" s="31" t="n"/>
      <c r="J227" s="31" t="n"/>
      <c r="K227" s="31" t="n"/>
      <c r="L227" s="31" t="n"/>
      <c r="M227" s="1" t="n"/>
    </row>
    <row r="228">
      <c r="A228" s="1" t="n"/>
      <c r="B228" s="24" t="n">
        <v>222</v>
      </c>
      <c r="C228" s="61" t="n"/>
      <c r="D228" s="27" t="n"/>
      <c r="E228" s="27" t="n"/>
      <c r="F228" s="27" t="n"/>
      <c r="G228" s="27" t="n"/>
      <c r="H228" s="62" t="n"/>
      <c r="I228" s="31" t="n"/>
      <c r="J228" s="31" t="n"/>
      <c r="K228" s="31" t="n"/>
      <c r="L228" s="31" t="n"/>
      <c r="M228" s="1" t="n"/>
    </row>
    <row r="229">
      <c r="A229" s="1" t="n"/>
      <c r="B229" s="24" t="n">
        <v>223</v>
      </c>
      <c r="C229" s="61" t="n"/>
      <c r="D229" s="27" t="n"/>
      <c r="E229" s="27" t="n"/>
      <c r="F229" s="27" t="n"/>
      <c r="G229" s="27" t="n"/>
      <c r="H229" s="62" t="n"/>
      <c r="I229" s="31" t="n"/>
      <c r="J229" s="31" t="n"/>
      <c r="K229" s="31" t="n"/>
      <c r="L229" s="31" t="n"/>
      <c r="M229" s="1" t="n"/>
    </row>
    <row r="230">
      <c r="A230" s="1" t="n"/>
      <c r="B230" s="24" t="n">
        <v>224</v>
      </c>
      <c r="C230" s="61" t="n"/>
      <c r="D230" s="27" t="n"/>
      <c r="E230" s="27" t="n"/>
      <c r="F230" s="27" t="n"/>
      <c r="G230" s="27" t="n"/>
      <c r="H230" s="62" t="n"/>
      <c r="I230" s="31" t="n"/>
      <c r="J230" s="31" t="n"/>
      <c r="K230" s="31" t="n"/>
      <c r="L230" s="31" t="n"/>
      <c r="M230" s="1" t="n"/>
    </row>
    <row r="231">
      <c r="A231" s="1" t="n"/>
      <c r="B231" s="24" t="n">
        <v>225</v>
      </c>
      <c r="C231" s="61" t="n"/>
      <c r="D231" s="27" t="n"/>
      <c r="E231" s="27" t="n"/>
      <c r="F231" s="27" t="n"/>
      <c r="G231" s="27" t="n"/>
      <c r="H231" s="62" t="n"/>
      <c r="I231" s="31" t="n"/>
      <c r="J231" s="31" t="n"/>
      <c r="K231" s="31" t="n"/>
      <c r="L231" s="31" t="n"/>
      <c r="M231" s="1" t="n"/>
    </row>
    <row r="232">
      <c r="A232" s="1" t="n"/>
      <c r="B232" s="24" t="n">
        <v>226</v>
      </c>
      <c r="C232" s="61" t="n"/>
      <c r="D232" s="27" t="n"/>
      <c r="E232" s="27" t="n"/>
      <c r="F232" s="27" t="n"/>
      <c r="G232" s="27" t="n"/>
      <c r="H232" s="62" t="n"/>
      <c r="I232" s="31" t="n"/>
      <c r="J232" s="31" t="n"/>
      <c r="K232" s="31" t="n"/>
      <c r="L232" s="31" t="n"/>
      <c r="M232" s="1" t="n"/>
    </row>
    <row r="233">
      <c r="A233" s="1" t="n"/>
      <c r="B233" s="24" t="n">
        <v>227</v>
      </c>
      <c r="C233" s="61" t="n"/>
      <c r="D233" s="27" t="n"/>
      <c r="E233" s="27" t="n"/>
      <c r="F233" s="27" t="n"/>
      <c r="G233" s="27" t="n"/>
      <c r="H233" s="62" t="n"/>
      <c r="I233" s="31" t="n"/>
      <c r="J233" s="31" t="n"/>
      <c r="K233" s="31" t="n"/>
      <c r="L233" s="31" t="n"/>
      <c r="M233" s="1" t="n"/>
    </row>
    <row r="234">
      <c r="A234" s="1" t="n"/>
      <c r="B234" s="24" t="n">
        <v>228</v>
      </c>
      <c r="C234" s="61" t="n"/>
      <c r="D234" s="27" t="n"/>
      <c r="E234" s="27" t="n"/>
      <c r="F234" s="27" t="n"/>
      <c r="G234" s="27" t="n"/>
      <c r="H234" s="62" t="n"/>
      <c r="I234" s="31" t="n"/>
      <c r="J234" s="31" t="n"/>
      <c r="K234" s="31" t="n"/>
      <c r="L234" s="31" t="n"/>
      <c r="M234" s="1" t="n"/>
    </row>
    <row r="235">
      <c r="A235" s="1" t="n"/>
      <c r="B235" s="24" t="n">
        <v>229</v>
      </c>
      <c r="C235" s="61" t="n"/>
      <c r="D235" s="27" t="n"/>
      <c r="E235" s="27" t="n"/>
      <c r="F235" s="27" t="n"/>
      <c r="G235" s="27" t="n"/>
      <c r="H235" s="62" t="n"/>
      <c r="I235" s="31" t="n"/>
      <c r="J235" s="31" t="n"/>
      <c r="K235" s="31" t="n"/>
      <c r="L235" s="31" t="n"/>
      <c r="M235" s="1" t="n"/>
    </row>
    <row r="236">
      <c r="A236" s="1" t="n"/>
      <c r="B236" s="24" t="n">
        <v>230</v>
      </c>
      <c r="C236" s="61" t="n"/>
      <c r="D236" s="27" t="n"/>
      <c r="E236" s="27" t="n"/>
      <c r="F236" s="27" t="n"/>
      <c r="G236" s="27" t="n"/>
      <c r="H236" s="62" t="n"/>
      <c r="I236" s="31" t="n"/>
      <c r="J236" s="31" t="n"/>
      <c r="K236" s="31" t="n"/>
      <c r="L236" s="31" t="n"/>
      <c r="M236" s="1" t="n"/>
    </row>
    <row r="237">
      <c r="A237" s="1" t="n"/>
      <c r="B237" s="24" t="n">
        <v>231</v>
      </c>
      <c r="C237" s="61" t="n"/>
      <c r="D237" s="27" t="n"/>
      <c r="E237" s="27" t="n"/>
      <c r="F237" s="27" t="n"/>
      <c r="G237" s="27" t="n"/>
      <c r="H237" s="62" t="n"/>
      <c r="I237" s="31" t="n"/>
      <c r="J237" s="31" t="n"/>
      <c r="K237" s="31" t="n"/>
      <c r="L237" s="31" t="n"/>
      <c r="M237" s="1" t="n"/>
    </row>
    <row r="238">
      <c r="A238" s="1" t="n"/>
      <c r="B238" s="24" t="n">
        <v>232</v>
      </c>
      <c r="C238" s="61" t="n"/>
      <c r="D238" s="27" t="n"/>
      <c r="E238" s="27" t="n"/>
      <c r="F238" s="27" t="n"/>
      <c r="G238" s="27" t="n"/>
      <c r="H238" s="62" t="n"/>
      <c r="I238" s="31" t="n"/>
      <c r="J238" s="31" t="n"/>
      <c r="K238" s="31" t="n"/>
      <c r="L238" s="31" t="n"/>
      <c r="M238" s="1" t="n"/>
    </row>
    <row r="239">
      <c r="A239" s="1" t="n"/>
      <c r="B239" s="24" t="n">
        <v>233</v>
      </c>
      <c r="C239" s="61" t="n"/>
      <c r="D239" s="27" t="n"/>
      <c r="E239" s="27" t="n"/>
      <c r="F239" s="27" t="n"/>
      <c r="G239" s="27" t="n"/>
      <c r="H239" s="62" t="n"/>
      <c r="I239" s="31" t="n"/>
      <c r="J239" s="31" t="n"/>
      <c r="K239" s="31" t="n"/>
      <c r="L239" s="31" t="n"/>
      <c r="M239" s="1" t="n"/>
    </row>
    <row r="240">
      <c r="A240" s="1" t="n"/>
      <c r="B240" s="24" t="n">
        <v>234</v>
      </c>
      <c r="C240" s="61" t="n"/>
      <c r="D240" s="27" t="n"/>
      <c r="E240" s="27" t="n"/>
      <c r="F240" s="27" t="n"/>
      <c r="G240" s="27" t="n"/>
      <c r="H240" s="62" t="n"/>
      <c r="I240" s="31" t="n"/>
      <c r="J240" s="31" t="n"/>
      <c r="K240" s="31" t="n"/>
      <c r="L240" s="31" t="n"/>
      <c r="M240" s="1" t="n"/>
    </row>
    <row r="241">
      <c r="A241" s="1" t="n"/>
      <c r="B241" s="24" t="n">
        <v>235</v>
      </c>
      <c r="C241" s="61" t="n"/>
      <c r="D241" s="27" t="n"/>
      <c r="E241" s="27" t="n"/>
      <c r="F241" s="27" t="n"/>
      <c r="G241" s="27" t="n"/>
      <c r="H241" s="62" t="n"/>
      <c r="I241" s="31" t="n"/>
      <c r="J241" s="31" t="n"/>
      <c r="K241" s="31" t="n"/>
      <c r="L241" s="31" t="n"/>
      <c r="M241" s="1" t="n"/>
    </row>
    <row r="242">
      <c r="A242" s="1" t="n"/>
      <c r="B242" s="24" t="n">
        <v>236</v>
      </c>
      <c r="C242" s="61" t="n"/>
      <c r="D242" s="27" t="n"/>
      <c r="E242" s="27" t="n"/>
      <c r="F242" s="27" t="n"/>
      <c r="G242" s="27" t="n"/>
      <c r="H242" s="62" t="n"/>
      <c r="I242" s="31" t="n"/>
      <c r="J242" s="31" t="n"/>
      <c r="K242" s="31" t="n"/>
      <c r="L242" s="31" t="n"/>
      <c r="M242" s="1" t="n"/>
    </row>
    <row r="243">
      <c r="A243" s="1" t="n"/>
      <c r="B243" s="24" t="n">
        <v>237</v>
      </c>
      <c r="C243" s="61" t="n"/>
      <c r="D243" s="27" t="n"/>
      <c r="E243" s="27" t="n"/>
      <c r="F243" s="27" t="n"/>
      <c r="G243" s="27" t="n"/>
      <c r="H243" s="62" t="n"/>
      <c r="I243" s="31" t="n"/>
      <c r="J243" s="31" t="n"/>
      <c r="K243" s="31" t="n"/>
      <c r="L243" s="31" t="n"/>
      <c r="M243" s="1" t="n"/>
    </row>
    <row r="244">
      <c r="A244" s="1" t="n"/>
      <c r="B244" s="24" t="n">
        <v>238</v>
      </c>
      <c r="C244" s="61" t="n"/>
      <c r="D244" s="27" t="n"/>
      <c r="E244" s="27" t="n"/>
      <c r="F244" s="27" t="n"/>
      <c r="G244" s="27" t="n"/>
      <c r="H244" s="62" t="n"/>
      <c r="I244" s="31" t="n"/>
      <c r="J244" s="31" t="n"/>
      <c r="K244" s="31" t="n"/>
      <c r="L244" s="31" t="n"/>
      <c r="M244" s="1" t="n"/>
    </row>
    <row r="245">
      <c r="A245" s="1" t="n"/>
      <c r="B245" s="24" t="n">
        <v>239</v>
      </c>
      <c r="C245" s="61" t="n"/>
      <c r="D245" s="27" t="n"/>
      <c r="E245" s="27" t="n"/>
      <c r="F245" s="27" t="n"/>
      <c r="G245" s="27" t="n"/>
      <c r="H245" s="62" t="n"/>
      <c r="I245" s="31" t="n"/>
      <c r="J245" s="31" t="n"/>
      <c r="K245" s="31" t="n"/>
      <c r="L245" s="31" t="n"/>
      <c r="M245" s="1" t="n"/>
    </row>
    <row r="246">
      <c r="A246" s="1" t="n"/>
      <c r="B246" s="24" t="n">
        <v>240</v>
      </c>
      <c r="C246" s="61" t="n"/>
      <c r="D246" s="27" t="n"/>
      <c r="E246" s="27" t="n"/>
      <c r="F246" s="27" t="n"/>
      <c r="G246" s="27" t="n"/>
      <c r="H246" s="62" t="n"/>
      <c r="I246" s="31" t="n"/>
      <c r="J246" s="31" t="n"/>
      <c r="K246" s="31" t="n"/>
      <c r="L246" s="31" t="n"/>
      <c r="M246" s="1" t="n"/>
    </row>
    <row r="247">
      <c r="A247" s="1" t="n"/>
      <c r="B247" s="24" t="n">
        <v>241</v>
      </c>
      <c r="C247" s="61" t="n"/>
      <c r="D247" s="27" t="n"/>
      <c r="E247" s="27" t="n"/>
      <c r="F247" s="27" t="n"/>
      <c r="G247" s="27" t="n"/>
      <c r="H247" s="62" t="n"/>
      <c r="I247" s="31" t="n"/>
      <c r="J247" s="31" t="n"/>
      <c r="K247" s="31" t="n"/>
      <c r="L247" s="31" t="n"/>
      <c r="M247" s="1" t="n"/>
    </row>
    <row r="248">
      <c r="A248" s="1" t="n"/>
      <c r="B248" s="24" t="n">
        <v>242</v>
      </c>
      <c r="C248" s="61" t="n"/>
      <c r="D248" s="27" t="n"/>
      <c r="E248" s="27" t="n"/>
      <c r="F248" s="27" t="n"/>
      <c r="G248" s="27" t="n"/>
      <c r="H248" s="62" t="n"/>
      <c r="I248" s="31" t="n"/>
      <c r="J248" s="31" t="n"/>
      <c r="K248" s="31" t="n"/>
      <c r="L248" s="31" t="n"/>
      <c r="M248" s="1" t="n"/>
    </row>
    <row r="249">
      <c r="A249" s="1" t="n"/>
      <c r="B249" s="24" t="n">
        <v>243</v>
      </c>
      <c r="C249" s="61" t="n"/>
      <c r="D249" s="27" t="n"/>
      <c r="E249" s="27" t="n"/>
      <c r="F249" s="27" t="n"/>
      <c r="G249" s="27" t="n"/>
      <c r="H249" s="62" t="n"/>
      <c r="I249" s="31" t="n"/>
      <c r="J249" s="31" t="n"/>
      <c r="K249" s="31" t="n"/>
      <c r="L249" s="31" t="n"/>
      <c r="M249" s="1" t="n"/>
    </row>
    <row r="250">
      <c r="A250" s="1" t="n"/>
      <c r="B250" s="24" t="n">
        <v>244</v>
      </c>
      <c r="C250" s="61" t="n"/>
      <c r="D250" s="27" t="n"/>
      <c r="E250" s="27" t="n"/>
      <c r="F250" s="27" t="n"/>
      <c r="G250" s="27" t="n"/>
      <c r="H250" s="62" t="n"/>
      <c r="I250" s="31" t="n"/>
      <c r="J250" s="31" t="n"/>
      <c r="K250" s="31" t="n"/>
      <c r="L250" s="31" t="n"/>
      <c r="M250" s="1" t="n"/>
    </row>
    <row r="251">
      <c r="A251" s="1" t="n"/>
      <c r="B251" s="24" t="n">
        <v>245</v>
      </c>
      <c r="C251" s="61" t="n"/>
      <c r="D251" s="27" t="n"/>
      <c r="E251" s="27" t="n"/>
      <c r="F251" s="27" t="n"/>
      <c r="G251" s="27" t="n"/>
      <c r="H251" s="62" t="n"/>
      <c r="I251" s="31" t="n"/>
      <c r="J251" s="31" t="n"/>
      <c r="K251" s="31" t="n"/>
      <c r="L251" s="31" t="n"/>
      <c r="M251" s="1" t="n"/>
    </row>
    <row r="252">
      <c r="A252" s="1" t="n"/>
      <c r="B252" s="24" t="n">
        <v>246</v>
      </c>
      <c r="C252" s="61" t="n"/>
      <c r="D252" s="27" t="n"/>
      <c r="E252" s="27" t="n"/>
      <c r="F252" s="27" t="n"/>
      <c r="G252" s="27" t="n"/>
      <c r="H252" s="62" t="n"/>
      <c r="I252" s="31" t="n"/>
      <c r="J252" s="31" t="n"/>
      <c r="K252" s="31" t="n"/>
      <c r="L252" s="31" t="n"/>
      <c r="M252" s="1" t="n"/>
    </row>
    <row r="253">
      <c r="A253" s="1" t="n"/>
      <c r="B253" s="24" t="n">
        <v>247</v>
      </c>
      <c r="C253" s="61" t="n"/>
      <c r="D253" s="27" t="n"/>
      <c r="E253" s="27" t="n"/>
      <c r="F253" s="27" t="n"/>
      <c r="G253" s="27" t="n"/>
      <c r="H253" s="62" t="n"/>
      <c r="I253" s="31" t="n"/>
      <c r="J253" s="31" t="n"/>
      <c r="K253" s="31" t="n"/>
      <c r="L253" s="31" t="n"/>
      <c r="M253" s="1" t="n"/>
    </row>
    <row r="254">
      <c r="A254" s="1" t="n"/>
      <c r="B254" s="24" t="n">
        <v>248</v>
      </c>
      <c r="C254" s="61" t="n"/>
      <c r="D254" s="27" t="n"/>
      <c r="E254" s="27" t="n"/>
      <c r="F254" s="27" t="n"/>
      <c r="G254" s="27" t="n"/>
      <c r="H254" s="62" t="n"/>
      <c r="I254" s="31" t="n"/>
      <c r="J254" s="31" t="n"/>
      <c r="K254" s="31" t="n"/>
      <c r="L254" s="31" t="n"/>
      <c r="M254" s="1" t="n"/>
    </row>
    <row r="255">
      <c r="A255" s="1" t="n"/>
      <c r="B255" s="24" t="n">
        <v>249</v>
      </c>
      <c r="C255" s="61" t="n"/>
      <c r="D255" s="27" t="n"/>
      <c r="E255" s="27" t="n"/>
      <c r="F255" s="27" t="n"/>
      <c r="G255" s="27" t="n"/>
      <c r="H255" s="62" t="n"/>
      <c r="I255" s="31" t="n"/>
      <c r="J255" s="31" t="n"/>
      <c r="K255" s="31" t="n"/>
      <c r="L255" s="31" t="n"/>
      <c r="M255" s="1" t="n"/>
    </row>
    <row r="256">
      <c r="A256" s="1" t="n"/>
      <c r="B256" s="24" t="n">
        <v>250</v>
      </c>
      <c r="C256" s="61" t="n"/>
      <c r="D256" s="27" t="n"/>
      <c r="E256" s="27" t="n"/>
      <c r="F256" s="27" t="n"/>
      <c r="G256" s="27" t="n"/>
      <c r="H256" s="62" t="n"/>
      <c r="I256" s="31" t="n"/>
      <c r="J256" s="31" t="n"/>
      <c r="K256" s="31" t="n"/>
      <c r="L256" s="31" t="n"/>
      <c r="M256" s="1" t="n"/>
    </row>
    <row r="257">
      <c r="A257" s="1" t="n"/>
      <c r="B257" s="24" t="n">
        <v>251</v>
      </c>
      <c r="C257" s="61" t="n"/>
      <c r="D257" s="27" t="n"/>
      <c r="E257" s="27" t="n"/>
      <c r="F257" s="27" t="n"/>
      <c r="G257" s="27" t="n"/>
      <c r="H257" s="62" t="n"/>
      <c r="I257" s="31" t="n"/>
      <c r="J257" s="31" t="n"/>
      <c r="K257" s="31" t="n"/>
      <c r="L257" s="31" t="n"/>
      <c r="M257" s="1" t="n"/>
    </row>
    <row r="258">
      <c r="A258" s="1" t="n"/>
      <c r="B258" s="24" t="n">
        <v>252</v>
      </c>
      <c r="C258" s="61" t="n"/>
      <c r="D258" s="27" t="n"/>
      <c r="E258" s="27" t="n"/>
      <c r="F258" s="27" t="n"/>
      <c r="G258" s="27" t="n"/>
      <c r="H258" s="62" t="n"/>
      <c r="I258" s="31" t="n"/>
      <c r="J258" s="31" t="n"/>
      <c r="K258" s="31" t="n"/>
      <c r="L258" s="31" t="n"/>
      <c r="M258" s="1" t="n"/>
    </row>
    <row r="259">
      <c r="A259" s="1" t="n"/>
      <c r="B259" s="24" t="n">
        <v>253</v>
      </c>
      <c r="C259" s="61" t="n"/>
      <c r="D259" s="27" t="n"/>
      <c r="E259" s="27" t="n"/>
      <c r="F259" s="27" t="n"/>
      <c r="G259" s="27" t="n"/>
      <c r="H259" s="62" t="n"/>
      <c r="I259" s="31" t="n"/>
      <c r="J259" s="31" t="n"/>
      <c r="K259" s="31" t="n"/>
      <c r="L259" s="31" t="n"/>
      <c r="M259" s="1" t="n"/>
    </row>
    <row r="260">
      <c r="A260" s="1" t="n"/>
      <c r="B260" s="24" t="n">
        <v>254</v>
      </c>
      <c r="C260" s="61" t="n"/>
      <c r="D260" s="27" t="n"/>
      <c r="E260" s="27" t="n"/>
      <c r="F260" s="27" t="n"/>
      <c r="G260" s="27" t="n"/>
      <c r="H260" s="62" t="n"/>
      <c r="I260" s="31" t="n"/>
      <c r="J260" s="31" t="n"/>
      <c r="K260" s="31" t="n"/>
      <c r="L260" s="31" t="n"/>
      <c r="M260" s="1" t="n"/>
    </row>
    <row r="261">
      <c r="A261" s="1" t="n"/>
      <c r="B261" s="24" t="n">
        <v>255</v>
      </c>
      <c r="C261" s="61" t="n"/>
      <c r="D261" s="27" t="n"/>
      <c r="E261" s="27" t="n"/>
      <c r="F261" s="27" t="n"/>
      <c r="G261" s="27" t="n"/>
      <c r="H261" s="62" t="n"/>
      <c r="I261" s="31" t="n"/>
      <c r="J261" s="31" t="n"/>
      <c r="K261" s="31" t="n"/>
      <c r="L261" s="31" t="n"/>
      <c r="M261" s="1" t="n"/>
    </row>
    <row r="262">
      <c r="A262" s="1" t="n"/>
      <c r="B262" s="24" t="n">
        <v>256</v>
      </c>
      <c r="C262" s="61" t="n"/>
      <c r="D262" s="27" t="n"/>
      <c r="E262" s="27" t="n"/>
      <c r="F262" s="27" t="n"/>
      <c r="G262" s="27" t="n"/>
      <c r="H262" s="62" t="n"/>
      <c r="I262" s="31" t="n"/>
      <c r="J262" s="31" t="n"/>
      <c r="K262" s="31" t="n"/>
      <c r="L262" s="31" t="n"/>
      <c r="M262" s="1" t="n"/>
    </row>
    <row r="263">
      <c r="A263" s="1" t="n"/>
      <c r="B263" s="24" t="n">
        <v>257</v>
      </c>
      <c r="C263" s="61" t="n"/>
      <c r="D263" s="27" t="n"/>
      <c r="E263" s="27" t="n"/>
      <c r="F263" s="27" t="n"/>
      <c r="G263" s="27" t="n"/>
      <c r="H263" s="62" t="n"/>
      <c r="I263" s="31" t="n"/>
      <c r="J263" s="31" t="n"/>
      <c r="K263" s="31" t="n"/>
      <c r="L263" s="31" t="n"/>
      <c r="M263" s="1" t="n"/>
    </row>
    <row r="264">
      <c r="A264" s="1" t="n"/>
      <c r="B264" s="24" t="n">
        <v>258</v>
      </c>
      <c r="C264" s="61" t="n"/>
      <c r="D264" s="27" t="n"/>
      <c r="E264" s="27" t="n"/>
      <c r="F264" s="27" t="n"/>
      <c r="G264" s="27" t="n"/>
      <c r="H264" s="62" t="n"/>
      <c r="I264" s="31" t="n"/>
      <c r="J264" s="31" t="n"/>
      <c r="K264" s="31" t="n"/>
      <c r="L264" s="31" t="n"/>
      <c r="M264" s="1" t="n"/>
    </row>
    <row r="265">
      <c r="A265" s="1" t="n"/>
      <c r="B265" s="24" t="n">
        <v>259</v>
      </c>
      <c r="C265" s="61" t="n"/>
      <c r="D265" s="27" t="n"/>
      <c r="E265" s="27" t="n"/>
      <c r="F265" s="27" t="n"/>
      <c r="G265" s="27" t="n"/>
      <c r="H265" s="62" t="n"/>
      <c r="I265" s="31" t="n"/>
      <c r="J265" s="31" t="n"/>
      <c r="K265" s="31" t="n"/>
      <c r="L265" s="31" t="n"/>
      <c r="M265" s="1" t="n"/>
    </row>
    <row r="266">
      <c r="A266" s="1" t="n"/>
      <c r="B266" s="24" t="n">
        <v>260</v>
      </c>
      <c r="C266" s="61" t="n"/>
      <c r="D266" s="27" t="n"/>
      <c r="E266" s="27" t="n"/>
      <c r="F266" s="27" t="n"/>
      <c r="G266" s="27" t="n"/>
      <c r="H266" s="62" t="n"/>
      <c r="I266" s="31" t="n"/>
      <c r="J266" s="31" t="n"/>
      <c r="K266" s="31" t="n"/>
      <c r="L266" s="31" t="n"/>
      <c r="M266" s="1" t="n"/>
    </row>
    <row r="267">
      <c r="A267" s="1" t="n"/>
      <c r="B267" s="24" t="n">
        <v>261</v>
      </c>
      <c r="C267" s="61" t="n"/>
      <c r="D267" s="27" t="n"/>
      <c r="E267" s="27" t="n"/>
      <c r="F267" s="27" t="n"/>
      <c r="G267" s="27" t="n"/>
      <c r="H267" s="62" t="n"/>
      <c r="I267" s="31" t="n"/>
      <c r="J267" s="31" t="n"/>
      <c r="K267" s="31" t="n"/>
      <c r="L267" s="31" t="n"/>
      <c r="M267" s="1" t="n"/>
    </row>
    <row r="268">
      <c r="A268" s="1" t="n"/>
      <c r="B268" s="24" t="n">
        <v>262</v>
      </c>
      <c r="C268" s="61" t="n"/>
      <c r="D268" s="27" t="n"/>
      <c r="E268" s="27" t="n"/>
      <c r="F268" s="27" t="n"/>
      <c r="G268" s="27" t="n"/>
      <c r="H268" s="62" t="n"/>
      <c r="I268" s="31" t="n"/>
      <c r="J268" s="31" t="n"/>
      <c r="K268" s="31" t="n"/>
      <c r="L268" s="31" t="n"/>
      <c r="M268" s="1" t="n"/>
    </row>
    <row r="269">
      <c r="A269" s="1" t="n"/>
      <c r="B269" s="24" t="n">
        <v>263</v>
      </c>
      <c r="C269" s="61" t="n"/>
      <c r="D269" s="27" t="n"/>
      <c r="E269" s="27" t="n"/>
      <c r="F269" s="27" t="n"/>
      <c r="G269" s="27" t="n"/>
      <c r="H269" s="62" t="n"/>
      <c r="I269" s="31" t="n"/>
      <c r="J269" s="31" t="n"/>
      <c r="K269" s="31" t="n"/>
      <c r="L269" s="31" t="n"/>
      <c r="M269" s="1" t="n"/>
    </row>
    <row r="270">
      <c r="A270" s="1" t="n"/>
      <c r="B270" s="24" t="n">
        <v>264</v>
      </c>
      <c r="C270" s="61" t="n"/>
      <c r="D270" s="27" t="n"/>
      <c r="E270" s="27" t="n"/>
      <c r="F270" s="27" t="n"/>
      <c r="G270" s="27" t="n"/>
      <c r="H270" s="62" t="n"/>
      <c r="I270" s="31" t="n"/>
      <c r="J270" s="31" t="n"/>
      <c r="K270" s="31" t="n"/>
      <c r="L270" s="31" t="n"/>
      <c r="M270" s="1" t="n"/>
    </row>
    <row r="271">
      <c r="A271" s="1" t="n"/>
      <c r="B271" s="24" t="n">
        <v>265</v>
      </c>
      <c r="C271" s="61" t="n"/>
      <c r="D271" s="27" t="n"/>
      <c r="E271" s="27" t="n"/>
      <c r="F271" s="27" t="n"/>
      <c r="G271" s="27" t="n"/>
      <c r="H271" s="62" t="n"/>
      <c r="I271" s="31" t="n"/>
      <c r="J271" s="31" t="n"/>
      <c r="K271" s="31" t="n"/>
      <c r="L271" s="31" t="n"/>
      <c r="M271" s="1" t="n"/>
    </row>
    <row r="272">
      <c r="A272" s="1" t="n"/>
      <c r="B272" s="24" t="n">
        <v>266</v>
      </c>
      <c r="C272" s="61" t="n"/>
      <c r="D272" s="27" t="n"/>
      <c r="E272" s="27" t="n"/>
      <c r="F272" s="27" t="n"/>
      <c r="G272" s="27" t="n"/>
      <c r="H272" s="62" t="n"/>
      <c r="I272" s="31" t="n"/>
      <c r="J272" s="31" t="n"/>
      <c r="K272" s="31" t="n"/>
      <c r="L272" s="31" t="n"/>
      <c r="M272" s="1" t="n"/>
    </row>
    <row r="273">
      <c r="A273" s="1" t="n"/>
      <c r="B273" s="24" t="n">
        <v>267</v>
      </c>
      <c r="C273" s="61" t="n"/>
      <c r="D273" s="27" t="n"/>
      <c r="E273" s="27" t="n"/>
      <c r="F273" s="27" t="n"/>
      <c r="G273" s="27" t="n"/>
      <c r="H273" s="62" t="n"/>
      <c r="I273" s="31" t="n"/>
      <c r="J273" s="31" t="n"/>
      <c r="K273" s="31" t="n"/>
      <c r="L273" s="31" t="n"/>
      <c r="M273" s="1" t="n"/>
    </row>
    <row r="274">
      <c r="A274" s="1" t="n"/>
      <c r="B274" s="24" t="n">
        <v>268</v>
      </c>
      <c r="C274" s="61" t="n"/>
      <c r="D274" s="27" t="n"/>
      <c r="E274" s="27" t="n"/>
      <c r="F274" s="27" t="n"/>
      <c r="G274" s="27" t="n"/>
      <c r="H274" s="62" t="n"/>
      <c r="I274" s="31" t="n"/>
      <c r="J274" s="31" t="n"/>
      <c r="K274" s="31" t="n"/>
      <c r="L274" s="31" t="n"/>
      <c r="M274" s="1" t="n"/>
    </row>
    <row r="275">
      <c r="A275" s="1" t="n"/>
      <c r="B275" s="24" t="n">
        <v>269</v>
      </c>
      <c r="C275" s="61" t="n"/>
      <c r="D275" s="27" t="n"/>
      <c r="E275" s="27" t="n"/>
      <c r="F275" s="27" t="n"/>
      <c r="G275" s="27" t="n"/>
      <c r="H275" s="62" t="n"/>
      <c r="I275" s="31" t="n"/>
      <c r="J275" s="31" t="n"/>
      <c r="K275" s="31" t="n"/>
      <c r="L275" s="31" t="n"/>
      <c r="M275" s="1" t="n"/>
    </row>
    <row r="276">
      <c r="A276" s="1" t="n"/>
      <c r="B276" s="24" t="n">
        <v>270</v>
      </c>
      <c r="C276" s="61" t="n"/>
      <c r="D276" s="27" t="n"/>
      <c r="E276" s="27" t="n"/>
      <c r="F276" s="27" t="n"/>
      <c r="G276" s="27" t="n"/>
      <c r="H276" s="62" t="n"/>
      <c r="I276" s="31" t="n"/>
      <c r="J276" s="31" t="n"/>
      <c r="K276" s="31" t="n"/>
      <c r="L276" s="31" t="n"/>
      <c r="M276" s="1" t="n"/>
    </row>
    <row r="277">
      <c r="A277" s="1" t="n"/>
      <c r="B277" s="24" t="n">
        <v>271</v>
      </c>
      <c r="C277" s="61" t="n"/>
      <c r="D277" s="27" t="n"/>
      <c r="E277" s="27" t="n"/>
      <c r="F277" s="27" t="n"/>
      <c r="G277" s="27" t="n"/>
      <c r="H277" s="62" t="n"/>
      <c r="I277" s="31" t="n"/>
      <c r="J277" s="31" t="n"/>
      <c r="K277" s="31" t="n"/>
      <c r="L277" s="31" t="n"/>
      <c r="M277" s="1" t="n"/>
    </row>
    <row r="278">
      <c r="A278" s="1" t="n"/>
      <c r="B278" s="24" t="n">
        <v>272</v>
      </c>
      <c r="C278" s="61" t="n"/>
      <c r="D278" s="27" t="n"/>
      <c r="E278" s="27" t="n"/>
      <c r="F278" s="27" t="n"/>
      <c r="G278" s="27" t="n"/>
      <c r="H278" s="62" t="n"/>
      <c r="I278" s="31" t="n"/>
      <c r="J278" s="31" t="n"/>
      <c r="K278" s="31" t="n"/>
      <c r="L278" s="31" t="n"/>
      <c r="M278" s="1" t="n"/>
    </row>
    <row r="279">
      <c r="A279" s="1" t="n"/>
      <c r="B279" s="24" t="n">
        <v>273</v>
      </c>
      <c r="C279" s="61" t="n"/>
      <c r="D279" s="27" t="n"/>
      <c r="E279" s="27" t="n"/>
      <c r="F279" s="27" t="n"/>
      <c r="G279" s="27" t="n"/>
      <c r="H279" s="62" t="n"/>
      <c r="I279" s="31" t="n"/>
      <c r="J279" s="31" t="n"/>
      <c r="K279" s="31" t="n"/>
      <c r="L279" s="31" t="n"/>
      <c r="M279" s="1" t="n"/>
    </row>
    <row r="280">
      <c r="A280" s="1" t="n"/>
      <c r="B280" s="24" t="n">
        <v>274</v>
      </c>
      <c r="C280" s="61" t="n"/>
      <c r="D280" s="27" t="n"/>
      <c r="E280" s="27" t="n"/>
      <c r="F280" s="27" t="n"/>
      <c r="G280" s="27" t="n"/>
      <c r="H280" s="62" t="n"/>
      <c r="I280" s="31" t="n"/>
      <c r="J280" s="31" t="n"/>
      <c r="K280" s="31" t="n"/>
      <c r="L280" s="31" t="n"/>
      <c r="M280" s="1" t="n"/>
    </row>
    <row r="281">
      <c r="A281" s="1" t="n"/>
      <c r="B281" s="24" t="n">
        <v>275</v>
      </c>
      <c r="C281" s="61" t="n"/>
      <c r="D281" s="27" t="n"/>
      <c r="E281" s="27" t="n"/>
      <c r="F281" s="27" t="n"/>
      <c r="G281" s="27" t="n"/>
      <c r="H281" s="62" t="n"/>
      <c r="I281" s="31" t="n"/>
      <c r="J281" s="31" t="n"/>
      <c r="K281" s="31" t="n"/>
      <c r="L281" s="31" t="n"/>
      <c r="M281" s="1" t="n"/>
    </row>
    <row r="282">
      <c r="A282" s="1" t="n"/>
      <c r="B282" s="24" t="n">
        <v>276</v>
      </c>
      <c r="C282" s="61" t="n"/>
      <c r="D282" s="27" t="n"/>
      <c r="E282" s="27" t="n"/>
      <c r="F282" s="27" t="n"/>
      <c r="G282" s="27" t="n"/>
      <c r="H282" s="62" t="n"/>
      <c r="I282" s="31" t="n"/>
      <c r="J282" s="31" t="n"/>
      <c r="K282" s="31" t="n"/>
      <c r="L282" s="31" t="n"/>
      <c r="M282" s="1" t="n"/>
    </row>
    <row r="283">
      <c r="A283" s="1" t="n"/>
      <c r="B283" s="24" t="n">
        <v>277</v>
      </c>
      <c r="C283" s="61" t="n"/>
      <c r="D283" s="27" t="n"/>
      <c r="E283" s="27" t="n"/>
      <c r="F283" s="27" t="n"/>
      <c r="G283" s="27" t="n"/>
      <c r="H283" s="62" t="n"/>
      <c r="I283" s="31" t="n"/>
      <c r="J283" s="31" t="n"/>
      <c r="K283" s="31" t="n"/>
      <c r="L283" s="31" t="n"/>
      <c r="M283" s="1" t="n"/>
    </row>
    <row r="284">
      <c r="A284" s="1" t="n"/>
      <c r="B284" s="24" t="n">
        <v>278</v>
      </c>
      <c r="C284" s="61" t="n"/>
      <c r="D284" s="27" t="n"/>
      <c r="E284" s="27" t="n"/>
      <c r="F284" s="27" t="n"/>
      <c r="G284" s="27" t="n"/>
      <c r="H284" s="62" t="n"/>
      <c r="I284" s="31" t="n"/>
      <c r="J284" s="31" t="n"/>
      <c r="K284" s="31" t="n"/>
      <c r="L284" s="31" t="n"/>
      <c r="M284" s="1" t="n"/>
    </row>
    <row r="285">
      <c r="A285" s="1" t="n"/>
      <c r="B285" s="24" t="n">
        <v>279</v>
      </c>
      <c r="C285" s="61" t="n"/>
      <c r="D285" s="27" t="n"/>
      <c r="E285" s="27" t="n"/>
      <c r="F285" s="27" t="n"/>
      <c r="G285" s="27" t="n"/>
      <c r="H285" s="62" t="n"/>
      <c r="I285" s="31" t="n"/>
      <c r="J285" s="31" t="n"/>
      <c r="K285" s="31" t="n"/>
      <c r="L285" s="31" t="n"/>
      <c r="M285" s="1" t="n"/>
    </row>
    <row r="286">
      <c r="A286" s="1" t="n"/>
      <c r="B286" s="24" t="n">
        <v>280</v>
      </c>
      <c r="C286" s="61" t="n"/>
      <c r="D286" s="27" t="n"/>
      <c r="E286" s="27" t="n"/>
      <c r="F286" s="27" t="n"/>
      <c r="G286" s="27" t="n"/>
      <c r="H286" s="62" t="n"/>
      <c r="I286" s="31" t="n"/>
      <c r="J286" s="31" t="n"/>
      <c r="K286" s="31" t="n"/>
      <c r="L286" s="31" t="n"/>
      <c r="M286" s="1" t="n"/>
    </row>
    <row r="287">
      <c r="A287" s="1" t="n"/>
      <c r="B287" s="24" t="n">
        <v>281</v>
      </c>
      <c r="C287" s="61" t="n"/>
      <c r="D287" s="27" t="n"/>
      <c r="E287" s="27" t="n"/>
      <c r="F287" s="27" t="n"/>
      <c r="G287" s="27" t="n"/>
      <c r="H287" s="62" t="n"/>
      <c r="I287" s="31" t="n"/>
      <c r="J287" s="31" t="n"/>
      <c r="K287" s="31" t="n"/>
      <c r="L287" s="31" t="n"/>
      <c r="M287" s="1" t="n"/>
    </row>
    <row r="288">
      <c r="A288" s="1" t="n"/>
      <c r="B288" s="24" t="n">
        <v>282</v>
      </c>
      <c r="C288" s="61" t="n"/>
      <c r="D288" s="27" t="n"/>
      <c r="E288" s="27" t="n"/>
      <c r="F288" s="27" t="n"/>
      <c r="G288" s="27" t="n"/>
      <c r="H288" s="62" t="n"/>
      <c r="I288" s="31" t="n"/>
      <c r="J288" s="31" t="n"/>
      <c r="K288" s="31" t="n"/>
      <c r="L288" s="31" t="n"/>
      <c r="M288" s="1" t="n"/>
    </row>
    <row r="289">
      <c r="A289" s="1" t="n"/>
      <c r="B289" s="24" t="n">
        <v>283</v>
      </c>
      <c r="C289" s="61" t="n"/>
      <c r="D289" s="27" t="n"/>
      <c r="E289" s="27" t="n"/>
      <c r="F289" s="27" t="n"/>
      <c r="G289" s="27" t="n"/>
      <c r="H289" s="62" t="n"/>
      <c r="I289" s="31" t="n"/>
      <c r="J289" s="31" t="n"/>
      <c r="K289" s="31" t="n"/>
      <c r="L289" s="31" t="n"/>
      <c r="M289" s="1" t="n"/>
    </row>
    <row r="290">
      <c r="A290" s="1" t="n"/>
      <c r="B290" s="24" t="n">
        <v>284</v>
      </c>
      <c r="C290" s="61" t="n"/>
      <c r="D290" s="27" t="n"/>
      <c r="E290" s="27" t="n"/>
      <c r="F290" s="27" t="n"/>
      <c r="G290" s="27" t="n"/>
      <c r="H290" s="62" t="n"/>
      <c r="I290" s="31" t="n"/>
      <c r="J290" s="31" t="n"/>
      <c r="K290" s="31" t="n"/>
      <c r="L290" s="31" t="n"/>
      <c r="M290" s="1" t="n"/>
    </row>
    <row r="291">
      <c r="A291" s="1" t="n"/>
      <c r="B291" s="24" t="n">
        <v>285</v>
      </c>
      <c r="C291" s="61" t="n"/>
      <c r="D291" s="27" t="n"/>
      <c r="E291" s="27" t="n"/>
      <c r="F291" s="27" t="n"/>
      <c r="G291" s="27" t="n"/>
      <c r="H291" s="62" t="n"/>
      <c r="I291" s="31" t="n"/>
      <c r="J291" s="31" t="n"/>
      <c r="K291" s="31" t="n"/>
      <c r="L291" s="31" t="n"/>
      <c r="M291" s="1" t="n"/>
    </row>
    <row r="292">
      <c r="A292" s="1" t="n"/>
      <c r="B292" s="24" t="n">
        <v>286</v>
      </c>
      <c r="C292" s="61" t="n"/>
      <c r="D292" s="27" t="n"/>
      <c r="E292" s="27" t="n"/>
      <c r="F292" s="27" t="n"/>
      <c r="G292" s="27" t="n"/>
      <c r="H292" s="62" t="n"/>
      <c r="I292" s="31" t="n"/>
      <c r="J292" s="31" t="n"/>
      <c r="K292" s="31" t="n"/>
      <c r="L292" s="31" t="n"/>
      <c r="M292" s="1" t="n"/>
    </row>
    <row r="293">
      <c r="A293" s="1" t="n"/>
      <c r="B293" s="24" t="n">
        <v>287</v>
      </c>
      <c r="C293" s="61" t="n"/>
      <c r="D293" s="27" t="n"/>
      <c r="E293" s="27" t="n"/>
      <c r="F293" s="27" t="n"/>
      <c r="G293" s="27" t="n"/>
      <c r="H293" s="62" t="n"/>
      <c r="I293" s="31" t="n"/>
      <c r="J293" s="31" t="n"/>
      <c r="K293" s="31" t="n"/>
      <c r="L293" s="31" t="n"/>
      <c r="M293" s="1" t="n"/>
    </row>
    <row r="294">
      <c r="A294" s="1" t="n"/>
      <c r="B294" s="24" t="n">
        <v>288</v>
      </c>
      <c r="C294" s="61" t="n"/>
      <c r="D294" s="27" t="n"/>
      <c r="E294" s="27" t="n"/>
      <c r="F294" s="27" t="n"/>
      <c r="G294" s="27" t="n"/>
      <c r="H294" s="62" t="n"/>
      <c r="I294" s="31" t="n"/>
      <c r="J294" s="31" t="n"/>
      <c r="K294" s="31" t="n"/>
      <c r="L294" s="31" t="n"/>
      <c r="M294" s="1" t="n"/>
    </row>
    <row r="295">
      <c r="A295" s="1" t="n"/>
      <c r="B295" s="24" t="n">
        <v>289</v>
      </c>
      <c r="C295" s="61" t="n"/>
      <c r="D295" s="27" t="n"/>
      <c r="E295" s="27" t="n"/>
      <c r="F295" s="27" t="n"/>
      <c r="G295" s="27" t="n"/>
      <c r="H295" s="62" t="n"/>
      <c r="I295" s="31" t="n"/>
      <c r="J295" s="31" t="n"/>
      <c r="K295" s="31" t="n"/>
      <c r="L295" s="31" t="n"/>
      <c r="M295" s="1" t="n"/>
    </row>
    <row r="296">
      <c r="A296" s="1" t="n"/>
      <c r="B296" s="24" t="n">
        <v>290</v>
      </c>
      <c r="C296" s="61" t="n"/>
      <c r="D296" s="27" t="n"/>
      <c r="E296" s="27" t="n"/>
      <c r="F296" s="27" t="n"/>
      <c r="G296" s="27" t="n"/>
      <c r="H296" s="62" t="n"/>
      <c r="I296" s="31" t="n"/>
      <c r="J296" s="31" t="n"/>
      <c r="K296" s="31" t="n"/>
      <c r="L296" s="31" t="n"/>
      <c r="M296" s="1" t="n"/>
    </row>
    <row r="297">
      <c r="A297" s="1" t="n"/>
      <c r="B297" s="24" t="n">
        <v>291</v>
      </c>
      <c r="C297" s="61" t="n"/>
      <c r="D297" s="27" t="n"/>
      <c r="E297" s="27" t="n"/>
      <c r="F297" s="27" t="n"/>
      <c r="G297" s="27" t="n"/>
      <c r="H297" s="62" t="n"/>
      <c r="I297" s="31" t="n"/>
      <c r="J297" s="31" t="n"/>
      <c r="K297" s="31" t="n"/>
      <c r="L297" s="31" t="n"/>
      <c r="M297" s="1" t="n"/>
    </row>
    <row r="298">
      <c r="A298" s="1" t="n"/>
      <c r="B298" s="24" t="n">
        <v>292</v>
      </c>
      <c r="C298" s="61" t="n"/>
      <c r="D298" s="27" t="n"/>
      <c r="E298" s="27" t="n"/>
      <c r="F298" s="27" t="n"/>
      <c r="G298" s="27" t="n"/>
      <c r="H298" s="62" t="n"/>
      <c r="I298" s="31" t="n"/>
      <c r="J298" s="31" t="n"/>
      <c r="K298" s="31" t="n"/>
      <c r="L298" s="31" t="n"/>
      <c r="M298" s="1" t="n"/>
    </row>
    <row r="299">
      <c r="A299" s="1" t="n"/>
      <c r="B299" s="24" t="n">
        <v>293</v>
      </c>
      <c r="C299" s="61" t="n"/>
      <c r="D299" s="27" t="n"/>
      <c r="E299" s="27" t="n"/>
      <c r="F299" s="27" t="n"/>
      <c r="G299" s="27" t="n"/>
      <c r="H299" s="62" t="n"/>
      <c r="I299" s="31" t="n"/>
      <c r="J299" s="31" t="n"/>
      <c r="K299" s="31" t="n"/>
      <c r="L299" s="31" t="n"/>
      <c r="M299" s="1" t="n"/>
    </row>
    <row r="300">
      <c r="A300" s="1" t="n"/>
      <c r="B300" s="24" t="n">
        <v>294</v>
      </c>
      <c r="C300" s="61" t="n"/>
      <c r="D300" s="27" t="n"/>
      <c r="E300" s="27" t="n"/>
      <c r="F300" s="27" t="n"/>
      <c r="G300" s="27" t="n"/>
      <c r="H300" s="62" t="n"/>
      <c r="I300" s="31" t="n"/>
      <c r="J300" s="31" t="n"/>
      <c r="K300" s="31" t="n"/>
      <c r="L300" s="31" t="n"/>
      <c r="M300" s="1" t="n"/>
    </row>
    <row r="301">
      <c r="A301" s="1" t="n"/>
      <c r="B301" s="24" t="n">
        <v>295</v>
      </c>
      <c r="C301" s="61" t="n"/>
      <c r="D301" s="27" t="n"/>
      <c r="E301" s="27" t="n"/>
      <c r="F301" s="27" t="n"/>
      <c r="G301" s="27" t="n"/>
      <c r="H301" s="62" t="n"/>
      <c r="I301" s="31" t="n"/>
      <c r="J301" s="31" t="n"/>
      <c r="K301" s="31" t="n"/>
      <c r="L301" s="31" t="n"/>
      <c r="M301" s="1" t="n"/>
    </row>
    <row r="302">
      <c r="A302" s="1" t="n"/>
      <c r="B302" s="24" t="n">
        <v>296</v>
      </c>
      <c r="C302" s="61" t="n"/>
      <c r="D302" s="27" t="n"/>
      <c r="E302" s="27" t="n"/>
      <c r="F302" s="27" t="n"/>
      <c r="G302" s="27" t="n"/>
      <c r="H302" s="62" t="n"/>
      <c r="I302" s="31" t="n"/>
      <c r="J302" s="31" t="n"/>
      <c r="K302" s="31" t="n"/>
      <c r="L302" s="31" t="n"/>
      <c r="M302" s="1" t="n"/>
    </row>
    <row r="303">
      <c r="A303" s="1" t="n"/>
      <c r="B303" s="24" t="n">
        <v>297</v>
      </c>
      <c r="C303" s="61" t="n"/>
      <c r="D303" s="27" t="n"/>
      <c r="E303" s="27" t="n"/>
      <c r="F303" s="27" t="n"/>
      <c r="G303" s="27" t="n"/>
      <c r="H303" s="62" t="n"/>
      <c r="I303" s="31" t="n"/>
      <c r="J303" s="31" t="n"/>
      <c r="K303" s="31" t="n"/>
      <c r="L303" s="31" t="n"/>
      <c r="M303" s="1" t="n"/>
    </row>
    <row r="304">
      <c r="A304" s="1" t="n"/>
      <c r="B304" s="24" t="n">
        <v>298</v>
      </c>
      <c r="C304" s="61" t="n"/>
      <c r="D304" s="27" t="n"/>
      <c r="E304" s="27" t="n"/>
      <c r="F304" s="27" t="n"/>
      <c r="G304" s="27" t="n"/>
      <c r="H304" s="62" t="n"/>
      <c r="I304" s="31" t="n"/>
      <c r="J304" s="31" t="n"/>
      <c r="K304" s="31" t="n"/>
      <c r="L304" s="31" t="n"/>
      <c r="M304" s="1" t="n"/>
    </row>
    <row r="305">
      <c r="A305" s="1" t="n"/>
      <c r="B305" s="24" t="n">
        <v>299</v>
      </c>
      <c r="C305" s="61" t="n"/>
      <c r="D305" s="27" t="n"/>
      <c r="E305" s="27" t="n"/>
      <c r="F305" s="27" t="n"/>
      <c r="G305" s="27" t="n"/>
      <c r="H305" s="62" t="n"/>
      <c r="I305" s="31" t="n"/>
      <c r="J305" s="31" t="n"/>
      <c r="K305" s="31" t="n"/>
      <c r="L305" s="31" t="n"/>
      <c r="M305" s="1" t="n"/>
    </row>
    <row r="306">
      <c r="A306" s="1" t="n"/>
      <c r="B306" s="24" t="n">
        <v>300</v>
      </c>
      <c r="C306" s="61" t="n"/>
      <c r="D306" s="27" t="n"/>
      <c r="E306" s="27" t="n"/>
      <c r="F306" s="27" t="n"/>
      <c r="G306" s="27" t="n"/>
      <c r="H306" s="62" t="n"/>
      <c r="I306" s="31" t="n"/>
      <c r="J306" s="31" t="n"/>
      <c r="K306" s="31" t="n"/>
      <c r="L306" s="31" t="n"/>
      <c r="M306" s="1" t="n"/>
    </row>
    <row r="307">
      <c r="A307" s="1" t="n"/>
      <c r="B307" s="24" t="n">
        <v>301</v>
      </c>
      <c r="C307" s="61" t="n"/>
      <c r="D307" s="27" t="n"/>
      <c r="E307" s="27" t="n"/>
      <c r="F307" s="27" t="n"/>
      <c r="G307" s="27" t="n"/>
      <c r="H307" s="62" t="n"/>
      <c r="I307" s="31" t="n"/>
      <c r="J307" s="31" t="n"/>
      <c r="K307" s="31" t="n"/>
      <c r="L307" s="31" t="n"/>
      <c r="M307" s="1" t="n"/>
    </row>
    <row r="308">
      <c r="A308" s="1" t="n"/>
      <c r="B308" s="24" t="n">
        <v>302</v>
      </c>
      <c r="C308" s="61" t="n"/>
      <c r="D308" s="27" t="n"/>
      <c r="E308" s="27" t="n"/>
      <c r="F308" s="27" t="n"/>
      <c r="G308" s="27" t="n"/>
      <c r="H308" s="62" t="n"/>
      <c r="I308" s="31" t="n"/>
      <c r="J308" s="31" t="n"/>
      <c r="K308" s="31" t="n"/>
      <c r="L308" s="31" t="n"/>
      <c r="M308" s="1" t="n"/>
    </row>
    <row r="309">
      <c r="A309" s="1" t="n"/>
      <c r="B309" s="24" t="n">
        <v>303</v>
      </c>
      <c r="C309" s="61" t="n"/>
      <c r="D309" s="27" t="n"/>
      <c r="E309" s="27" t="n"/>
      <c r="F309" s="27" t="n"/>
      <c r="G309" s="27" t="n"/>
      <c r="H309" s="62" t="n"/>
      <c r="I309" s="31" t="n"/>
      <c r="J309" s="31" t="n"/>
      <c r="K309" s="31" t="n"/>
      <c r="L309" s="31" t="n"/>
      <c r="M309" s="1" t="n"/>
    </row>
    <row r="310">
      <c r="A310" s="1" t="n"/>
      <c r="B310" s="24" t="n">
        <v>304</v>
      </c>
      <c r="C310" s="61" t="n"/>
      <c r="D310" s="27" t="n"/>
      <c r="E310" s="27" t="n"/>
      <c r="F310" s="27" t="n"/>
      <c r="G310" s="27" t="n"/>
      <c r="H310" s="62" t="n"/>
      <c r="I310" s="31" t="n"/>
      <c r="J310" s="31" t="n"/>
      <c r="K310" s="31" t="n"/>
      <c r="L310" s="31" t="n"/>
      <c r="M310" s="1" t="n"/>
    </row>
    <row r="311">
      <c r="A311" s="1" t="n"/>
      <c r="B311" s="24" t="n">
        <v>305</v>
      </c>
      <c r="C311" s="61" t="n"/>
      <c r="D311" s="27" t="n"/>
      <c r="E311" s="27" t="n"/>
      <c r="F311" s="27" t="n"/>
      <c r="G311" s="27" t="n"/>
      <c r="H311" s="62" t="n"/>
      <c r="I311" s="31" t="n"/>
      <c r="J311" s="31" t="n"/>
      <c r="K311" s="31" t="n"/>
      <c r="L311" s="31" t="n"/>
      <c r="M311" s="1" t="n"/>
    </row>
    <row r="312">
      <c r="A312" s="1" t="n"/>
      <c r="B312" s="24" t="n">
        <v>306</v>
      </c>
      <c r="C312" s="61" t="n"/>
      <c r="D312" s="27" t="n"/>
      <c r="E312" s="27" t="n"/>
      <c r="F312" s="27" t="n"/>
      <c r="G312" s="27" t="n"/>
      <c r="H312" s="62" t="n"/>
      <c r="I312" s="31" t="n"/>
      <c r="J312" s="31" t="n"/>
      <c r="K312" s="31" t="n"/>
      <c r="L312" s="31" t="n"/>
      <c r="M312" s="1" t="n"/>
    </row>
    <row r="313">
      <c r="A313" s="1" t="n"/>
      <c r="B313" s="24" t="n">
        <v>307</v>
      </c>
      <c r="C313" s="61" t="n"/>
      <c r="D313" s="27" t="n"/>
      <c r="E313" s="27" t="n"/>
      <c r="F313" s="27" t="n"/>
      <c r="G313" s="27" t="n"/>
      <c r="H313" s="62" t="n"/>
      <c r="I313" s="31" t="n"/>
      <c r="J313" s="31" t="n"/>
      <c r="K313" s="31" t="n"/>
      <c r="L313" s="31" t="n"/>
      <c r="M313" s="1" t="n"/>
    </row>
    <row r="314">
      <c r="A314" s="1" t="n"/>
      <c r="B314" s="24" t="n">
        <v>308</v>
      </c>
      <c r="C314" s="61" t="n"/>
      <c r="D314" s="27" t="n"/>
      <c r="E314" s="27" t="n"/>
      <c r="F314" s="27" t="n"/>
      <c r="G314" s="27" t="n"/>
      <c r="H314" s="62" t="n"/>
      <c r="I314" s="31" t="n"/>
      <c r="J314" s="31" t="n"/>
      <c r="K314" s="31" t="n"/>
      <c r="L314" s="31" t="n"/>
      <c r="M314" s="1" t="n"/>
    </row>
    <row r="315">
      <c r="A315" s="1" t="n"/>
      <c r="B315" s="24" t="n">
        <v>309</v>
      </c>
      <c r="C315" s="61" t="n"/>
      <c r="D315" s="27" t="n"/>
      <c r="E315" s="27" t="n"/>
      <c r="F315" s="27" t="n"/>
      <c r="G315" s="27" t="n"/>
      <c r="H315" s="62" t="n"/>
      <c r="I315" s="31" t="n"/>
      <c r="J315" s="31" t="n"/>
      <c r="K315" s="31" t="n"/>
      <c r="L315" s="31" t="n"/>
      <c r="M315" s="1" t="n"/>
    </row>
    <row r="316">
      <c r="A316" s="1" t="n"/>
      <c r="B316" s="24" t="n">
        <v>310</v>
      </c>
      <c r="C316" s="61" t="n"/>
      <c r="D316" s="27" t="n"/>
      <c r="E316" s="27" t="n"/>
      <c r="F316" s="27" t="n"/>
      <c r="G316" s="27" t="n"/>
      <c r="H316" s="62" t="n"/>
      <c r="I316" s="31" t="n"/>
      <c r="J316" s="31" t="n"/>
      <c r="K316" s="31" t="n"/>
      <c r="L316" s="31" t="n"/>
      <c r="M316" s="1" t="n"/>
    </row>
    <row r="317">
      <c r="A317" s="1" t="n"/>
      <c r="B317" s="24" t="n">
        <v>311</v>
      </c>
      <c r="C317" s="61" t="n"/>
      <c r="D317" s="27" t="n"/>
      <c r="E317" s="27" t="n"/>
      <c r="F317" s="27" t="n"/>
      <c r="G317" s="27" t="n"/>
      <c r="H317" s="62" t="n"/>
      <c r="I317" s="31" t="n"/>
      <c r="J317" s="31" t="n"/>
      <c r="K317" s="31" t="n"/>
      <c r="L317" s="31" t="n"/>
      <c r="M317" s="1" t="n"/>
    </row>
    <row r="318">
      <c r="A318" s="1" t="n"/>
      <c r="B318" s="24" t="n">
        <v>312</v>
      </c>
      <c r="C318" s="61" t="n"/>
      <c r="D318" s="27" t="n"/>
      <c r="E318" s="27" t="n"/>
      <c r="F318" s="27" t="n"/>
      <c r="G318" s="27" t="n"/>
      <c r="H318" s="62" t="n"/>
      <c r="I318" s="31" t="n"/>
      <c r="J318" s="31" t="n"/>
      <c r="K318" s="31" t="n"/>
      <c r="L318" s="31" t="n"/>
      <c r="M318" s="1" t="n"/>
    </row>
    <row r="319">
      <c r="A319" s="1" t="n"/>
      <c r="B319" s="24" t="n">
        <v>313</v>
      </c>
      <c r="C319" s="61" t="n"/>
      <c r="D319" s="27" t="n"/>
      <c r="E319" s="27" t="n"/>
      <c r="F319" s="27" t="n"/>
      <c r="G319" s="27" t="n"/>
      <c r="H319" s="62" t="n"/>
      <c r="I319" s="31" t="n"/>
      <c r="J319" s="31" t="n"/>
      <c r="K319" s="31" t="n"/>
      <c r="L319" s="31" t="n"/>
      <c r="M319" s="1" t="n"/>
    </row>
    <row r="320">
      <c r="A320" s="1" t="n"/>
      <c r="B320" s="24" t="n">
        <v>314</v>
      </c>
      <c r="C320" s="61" t="n"/>
      <c r="D320" s="27" t="n"/>
      <c r="E320" s="27" t="n"/>
      <c r="F320" s="27" t="n"/>
      <c r="G320" s="27" t="n"/>
      <c r="H320" s="62" t="n"/>
      <c r="I320" s="31" t="n"/>
      <c r="J320" s="31" t="n"/>
      <c r="K320" s="31" t="n"/>
      <c r="L320" s="31" t="n"/>
      <c r="M320" s="1" t="n"/>
    </row>
    <row r="321">
      <c r="A321" s="1" t="n"/>
      <c r="B321" s="24" t="n">
        <v>315</v>
      </c>
      <c r="C321" s="61" t="n"/>
      <c r="D321" s="27" t="n"/>
      <c r="E321" s="27" t="n"/>
      <c r="F321" s="27" t="n"/>
      <c r="G321" s="27" t="n"/>
      <c r="H321" s="62" t="n"/>
      <c r="I321" s="31" t="n"/>
      <c r="J321" s="31" t="n"/>
      <c r="K321" s="31" t="n"/>
      <c r="L321" s="31" t="n"/>
      <c r="M321" s="1" t="n"/>
    </row>
    <row r="322">
      <c r="A322" s="1" t="n"/>
      <c r="B322" s="24" t="n">
        <v>316</v>
      </c>
      <c r="C322" s="61" t="n"/>
      <c r="D322" s="27" t="n"/>
      <c r="E322" s="27" t="n"/>
      <c r="F322" s="27" t="n"/>
      <c r="G322" s="27" t="n"/>
      <c r="H322" s="62" t="n"/>
      <c r="I322" s="31" t="n"/>
      <c r="J322" s="31" t="n"/>
      <c r="K322" s="31" t="n"/>
      <c r="L322" s="31" t="n"/>
      <c r="M322" s="1" t="n"/>
    </row>
    <row r="323">
      <c r="A323" s="1" t="n"/>
      <c r="B323" s="24" t="n">
        <v>317</v>
      </c>
      <c r="C323" s="61" t="n"/>
      <c r="D323" s="27" t="n"/>
      <c r="E323" s="27" t="n"/>
      <c r="F323" s="27" t="n"/>
      <c r="G323" s="27" t="n"/>
      <c r="H323" s="62" t="n"/>
      <c r="I323" s="31" t="n"/>
      <c r="J323" s="31" t="n"/>
      <c r="K323" s="31" t="n"/>
      <c r="L323" s="31" t="n"/>
      <c r="M323" s="1" t="n"/>
    </row>
    <row r="324">
      <c r="A324" s="1" t="n"/>
      <c r="B324" s="24" t="n">
        <v>318</v>
      </c>
      <c r="C324" s="61" t="n"/>
      <c r="D324" s="27" t="n"/>
      <c r="E324" s="27" t="n"/>
      <c r="F324" s="27" t="n"/>
      <c r="G324" s="27" t="n"/>
      <c r="H324" s="62" t="n"/>
      <c r="I324" s="31" t="n"/>
      <c r="J324" s="31" t="n"/>
      <c r="K324" s="31" t="n"/>
      <c r="L324" s="31" t="n"/>
      <c r="M324" s="1" t="n"/>
    </row>
    <row r="325">
      <c r="A325" s="1" t="n"/>
      <c r="B325" s="24" t="n">
        <v>319</v>
      </c>
      <c r="C325" s="61" t="n"/>
      <c r="D325" s="27" t="n"/>
      <c r="E325" s="27" t="n"/>
      <c r="F325" s="27" t="n"/>
      <c r="G325" s="27" t="n"/>
      <c r="H325" s="62" t="n"/>
      <c r="I325" s="31" t="n"/>
      <c r="J325" s="31" t="n"/>
      <c r="K325" s="31" t="n"/>
      <c r="L325" s="31" t="n"/>
      <c r="M325" s="1" t="n"/>
    </row>
    <row r="326">
      <c r="A326" s="1" t="n"/>
      <c r="B326" s="24" t="n">
        <v>320</v>
      </c>
      <c r="C326" s="61" t="n"/>
      <c r="D326" s="27" t="n"/>
      <c r="E326" s="27" t="n"/>
      <c r="F326" s="27" t="n"/>
      <c r="G326" s="27" t="n"/>
      <c r="H326" s="62" t="n"/>
      <c r="I326" s="31" t="n"/>
      <c r="J326" s="31" t="n"/>
      <c r="K326" s="31" t="n"/>
      <c r="L326" s="31" t="n"/>
      <c r="M326" s="1" t="n"/>
    </row>
    <row r="327">
      <c r="A327" s="1" t="n"/>
      <c r="B327" s="24" t="n">
        <v>321</v>
      </c>
      <c r="C327" s="61" t="n"/>
      <c r="D327" s="27" t="n"/>
      <c r="E327" s="27" t="n"/>
      <c r="F327" s="27" t="n"/>
      <c r="G327" s="27" t="n"/>
      <c r="H327" s="62" t="n"/>
      <c r="I327" s="31" t="n"/>
      <c r="J327" s="31" t="n"/>
      <c r="K327" s="31" t="n"/>
      <c r="L327" s="31" t="n"/>
      <c r="M327" s="1" t="n"/>
    </row>
    <row r="328">
      <c r="A328" s="1" t="n"/>
      <c r="B328" s="24" t="n">
        <v>322</v>
      </c>
      <c r="C328" s="61" t="n"/>
      <c r="D328" s="27" t="n"/>
      <c r="E328" s="27" t="n"/>
      <c r="F328" s="27" t="n"/>
      <c r="G328" s="27" t="n"/>
      <c r="H328" s="62" t="n"/>
      <c r="I328" s="31" t="n"/>
      <c r="J328" s="31" t="n"/>
      <c r="K328" s="31" t="n"/>
      <c r="L328" s="31" t="n"/>
      <c r="M328" s="1" t="n"/>
    </row>
    <row r="329">
      <c r="A329" s="1" t="n"/>
      <c r="B329" s="24" t="n">
        <v>323</v>
      </c>
      <c r="C329" s="61" t="n"/>
      <c r="D329" s="27" t="n"/>
      <c r="E329" s="27" t="n"/>
      <c r="F329" s="27" t="n"/>
      <c r="G329" s="27" t="n"/>
      <c r="H329" s="62" t="n"/>
      <c r="I329" s="31" t="n"/>
      <c r="J329" s="31" t="n"/>
      <c r="K329" s="31" t="n"/>
      <c r="L329" s="31" t="n"/>
      <c r="M329" s="1" t="n"/>
    </row>
    <row r="330">
      <c r="A330" s="1" t="n"/>
      <c r="B330" s="24" t="n">
        <v>324</v>
      </c>
      <c r="C330" s="61" t="n"/>
      <c r="D330" s="27" t="n"/>
      <c r="E330" s="27" t="n"/>
      <c r="F330" s="27" t="n"/>
      <c r="G330" s="27" t="n"/>
      <c r="H330" s="62" t="n"/>
      <c r="I330" s="31" t="n"/>
      <c r="J330" s="31" t="n"/>
      <c r="K330" s="31" t="n"/>
      <c r="L330" s="31" t="n"/>
      <c r="M330" s="1" t="n"/>
    </row>
    <row r="331">
      <c r="A331" s="1" t="n"/>
      <c r="B331" s="24" t="n">
        <v>325</v>
      </c>
      <c r="C331" s="61" t="n"/>
      <c r="D331" s="27" t="n"/>
      <c r="E331" s="27" t="n"/>
      <c r="F331" s="27" t="n"/>
      <c r="G331" s="27" t="n"/>
      <c r="H331" s="62" t="n"/>
      <c r="I331" s="31" t="n"/>
      <c r="J331" s="31" t="n"/>
      <c r="K331" s="31" t="n"/>
      <c r="L331" s="31" t="n"/>
      <c r="M331" s="1" t="n"/>
    </row>
    <row r="332">
      <c r="A332" s="1" t="n"/>
      <c r="B332" s="24" t="n">
        <v>326</v>
      </c>
      <c r="C332" s="61" t="n"/>
      <c r="D332" s="27" t="n"/>
      <c r="E332" s="27" t="n"/>
      <c r="F332" s="27" t="n"/>
      <c r="G332" s="27" t="n"/>
      <c r="H332" s="62" t="n"/>
      <c r="I332" s="31" t="n"/>
      <c r="J332" s="31" t="n"/>
      <c r="K332" s="31" t="n"/>
      <c r="L332" s="31" t="n"/>
      <c r="M332" s="1" t="n"/>
    </row>
    <row r="333">
      <c r="A333" s="1" t="n"/>
      <c r="B333" s="24" t="n">
        <v>327</v>
      </c>
      <c r="C333" s="61" t="n"/>
      <c r="D333" s="27" t="n"/>
      <c r="E333" s="27" t="n"/>
      <c r="F333" s="27" t="n"/>
      <c r="G333" s="27" t="n"/>
      <c r="H333" s="62" t="n"/>
      <c r="I333" s="31" t="n"/>
      <c r="J333" s="31" t="n"/>
      <c r="K333" s="31" t="n"/>
      <c r="L333" s="31" t="n"/>
      <c r="M333" s="1" t="n"/>
    </row>
    <row r="334">
      <c r="A334" s="1" t="n"/>
      <c r="B334" s="24" t="n">
        <v>328</v>
      </c>
      <c r="C334" s="61" t="n"/>
      <c r="D334" s="27" t="n"/>
      <c r="E334" s="27" t="n"/>
      <c r="F334" s="27" t="n"/>
      <c r="G334" s="27" t="n"/>
      <c r="H334" s="62" t="n"/>
      <c r="I334" s="31" t="n"/>
      <c r="J334" s="31" t="n"/>
      <c r="K334" s="31" t="n"/>
      <c r="L334" s="31" t="n"/>
      <c r="M334" s="1" t="n"/>
    </row>
    <row r="335">
      <c r="A335" s="1" t="n"/>
      <c r="B335" s="24" t="n">
        <v>329</v>
      </c>
      <c r="C335" s="61" t="n"/>
      <c r="D335" s="27" t="n"/>
      <c r="E335" s="27" t="n"/>
      <c r="F335" s="27" t="n"/>
      <c r="G335" s="27" t="n"/>
      <c r="H335" s="62" t="n"/>
      <c r="I335" s="31" t="n"/>
      <c r="J335" s="31" t="n"/>
      <c r="K335" s="31" t="n"/>
      <c r="L335" s="31" t="n"/>
      <c r="M335" s="1" t="n"/>
    </row>
    <row r="336">
      <c r="A336" s="1" t="n"/>
      <c r="B336" s="24" t="n">
        <v>330</v>
      </c>
      <c r="C336" s="61" t="n"/>
      <c r="D336" s="27" t="n"/>
      <c r="E336" s="27" t="n"/>
      <c r="F336" s="27" t="n"/>
      <c r="G336" s="27" t="n"/>
      <c r="H336" s="62" t="n"/>
      <c r="I336" s="31" t="n"/>
      <c r="J336" s="31" t="n"/>
      <c r="K336" s="31" t="n"/>
      <c r="L336" s="31" t="n"/>
      <c r="M336" s="1" t="n"/>
    </row>
    <row r="337">
      <c r="A337" s="1" t="n"/>
      <c r="B337" s="24" t="n">
        <v>331</v>
      </c>
      <c r="C337" s="61" t="n"/>
      <c r="D337" s="27" t="n"/>
      <c r="E337" s="27" t="n"/>
      <c r="F337" s="27" t="n"/>
      <c r="G337" s="27" t="n"/>
      <c r="H337" s="62" t="n"/>
      <c r="I337" s="31" t="n"/>
      <c r="J337" s="31" t="n"/>
      <c r="K337" s="31" t="n"/>
      <c r="L337" s="31" t="n"/>
      <c r="M337" s="1" t="n"/>
    </row>
    <row r="338">
      <c r="A338" s="1" t="n"/>
      <c r="B338" s="24" t="n">
        <v>332</v>
      </c>
      <c r="C338" s="61" t="n"/>
      <c r="D338" s="27" t="n"/>
      <c r="E338" s="27" t="n"/>
      <c r="F338" s="27" t="n"/>
      <c r="G338" s="27" t="n"/>
      <c r="H338" s="62" t="n"/>
      <c r="I338" s="31" t="n"/>
      <c r="J338" s="31" t="n"/>
      <c r="K338" s="31" t="n"/>
      <c r="L338" s="31" t="n"/>
      <c r="M338" s="1" t="n"/>
    </row>
    <row r="339">
      <c r="A339" s="1" t="n"/>
      <c r="B339" s="24" t="n">
        <v>333</v>
      </c>
      <c r="C339" s="61" t="n"/>
      <c r="D339" s="27" t="n"/>
      <c r="E339" s="27" t="n"/>
      <c r="F339" s="27" t="n"/>
      <c r="G339" s="27" t="n"/>
      <c r="H339" s="62" t="n"/>
      <c r="I339" s="31" t="n"/>
      <c r="J339" s="31" t="n"/>
      <c r="K339" s="31" t="n"/>
      <c r="L339" s="31" t="n"/>
      <c r="M339" s="1" t="n"/>
    </row>
    <row r="340">
      <c r="A340" s="1" t="n"/>
      <c r="B340" s="24" t="n">
        <v>334</v>
      </c>
      <c r="C340" s="61" t="n"/>
      <c r="D340" s="27" t="n"/>
      <c r="E340" s="27" t="n"/>
      <c r="F340" s="27" t="n"/>
      <c r="G340" s="27" t="n"/>
      <c r="H340" s="62" t="n"/>
      <c r="I340" s="31" t="n"/>
      <c r="J340" s="31" t="n"/>
      <c r="K340" s="31" t="n"/>
      <c r="L340" s="31" t="n"/>
      <c r="M340" s="1" t="n"/>
    </row>
    <row r="341">
      <c r="A341" s="1" t="n"/>
      <c r="B341" s="24" t="n">
        <v>335</v>
      </c>
      <c r="C341" s="61" t="n"/>
      <c r="D341" s="27" t="n"/>
      <c r="E341" s="27" t="n"/>
      <c r="F341" s="27" t="n"/>
      <c r="G341" s="27" t="n"/>
      <c r="H341" s="62" t="n"/>
      <c r="I341" s="31" t="n"/>
      <c r="J341" s="31" t="n"/>
      <c r="K341" s="31" t="n"/>
      <c r="L341" s="31" t="n"/>
      <c r="M341" s="1" t="n"/>
    </row>
    <row r="342">
      <c r="A342" s="1" t="n"/>
      <c r="B342" s="24" t="n">
        <v>336</v>
      </c>
      <c r="C342" s="61" t="n"/>
      <c r="D342" s="27" t="n"/>
      <c r="E342" s="27" t="n"/>
      <c r="F342" s="27" t="n"/>
      <c r="G342" s="27" t="n"/>
      <c r="H342" s="62" t="n"/>
      <c r="I342" s="31" t="n"/>
      <c r="J342" s="31" t="n"/>
      <c r="K342" s="31" t="n"/>
      <c r="L342" s="31" t="n"/>
      <c r="M342" s="1" t="n"/>
    </row>
    <row r="343">
      <c r="A343" s="1" t="n"/>
      <c r="B343" s="24" t="n">
        <v>337</v>
      </c>
      <c r="C343" s="61" t="n"/>
      <c r="D343" s="27" t="n"/>
      <c r="E343" s="27" t="n"/>
      <c r="F343" s="27" t="n"/>
      <c r="G343" s="27" t="n"/>
      <c r="H343" s="62" t="n"/>
      <c r="I343" s="31" t="n"/>
      <c r="J343" s="31" t="n"/>
      <c r="K343" s="31" t="n"/>
      <c r="L343" s="31" t="n"/>
      <c r="M343" s="1" t="n"/>
    </row>
    <row r="344">
      <c r="A344" s="1" t="n"/>
      <c r="B344" s="24" t="n">
        <v>338</v>
      </c>
      <c r="C344" s="61" t="n"/>
      <c r="D344" s="27" t="n"/>
      <c r="E344" s="27" t="n"/>
      <c r="F344" s="27" t="n"/>
      <c r="G344" s="27" t="n"/>
      <c r="H344" s="62" t="n"/>
      <c r="I344" s="31" t="n"/>
      <c r="J344" s="31" t="n"/>
      <c r="K344" s="31" t="n"/>
      <c r="L344" s="31" t="n"/>
      <c r="M344" s="1" t="n"/>
    </row>
    <row r="345">
      <c r="A345" s="1" t="n"/>
      <c r="B345" s="24" t="n">
        <v>339</v>
      </c>
      <c r="C345" s="61" t="n"/>
      <c r="D345" s="27" t="n"/>
      <c r="E345" s="27" t="n"/>
      <c r="F345" s="27" t="n"/>
      <c r="G345" s="27" t="n"/>
      <c r="H345" s="62" t="n"/>
      <c r="I345" s="31" t="n"/>
      <c r="J345" s="31" t="n"/>
      <c r="K345" s="31" t="n"/>
      <c r="L345" s="31" t="n"/>
      <c r="M345" s="1" t="n"/>
    </row>
    <row r="346">
      <c r="A346" s="1" t="n"/>
      <c r="B346" s="24" t="n">
        <v>340</v>
      </c>
      <c r="C346" s="61" t="n"/>
      <c r="D346" s="27" t="n"/>
      <c r="E346" s="27" t="n"/>
      <c r="F346" s="27" t="n"/>
      <c r="G346" s="27" t="n"/>
      <c r="H346" s="62" t="n"/>
      <c r="I346" s="31" t="n"/>
      <c r="J346" s="31" t="n"/>
      <c r="K346" s="31" t="n"/>
      <c r="L346" s="31" t="n"/>
      <c r="M346" s="1" t="n"/>
    </row>
    <row r="347">
      <c r="A347" s="1" t="n"/>
      <c r="B347" s="24" t="n">
        <v>341</v>
      </c>
      <c r="C347" s="61" t="n"/>
      <c r="D347" s="27" t="n"/>
      <c r="E347" s="27" t="n"/>
      <c r="F347" s="27" t="n"/>
      <c r="G347" s="27" t="n"/>
      <c r="H347" s="62" t="n"/>
      <c r="I347" s="31" t="n"/>
      <c r="J347" s="31" t="n"/>
      <c r="K347" s="31" t="n"/>
      <c r="L347" s="31" t="n"/>
      <c r="M347" s="1" t="n"/>
    </row>
    <row r="348">
      <c r="A348" s="1" t="n"/>
      <c r="B348" s="24" t="n">
        <v>342</v>
      </c>
      <c r="C348" s="61" t="n"/>
      <c r="D348" s="27" t="n"/>
      <c r="E348" s="27" t="n"/>
      <c r="F348" s="27" t="n"/>
      <c r="G348" s="27" t="n"/>
      <c r="H348" s="62" t="n"/>
      <c r="I348" s="31" t="n"/>
      <c r="J348" s="31" t="n"/>
      <c r="K348" s="31" t="n"/>
      <c r="L348" s="31" t="n"/>
      <c r="M348" s="1" t="n"/>
    </row>
    <row r="349">
      <c r="A349" s="1" t="n"/>
      <c r="B349" s="24" t="n">
        <v>343</v>
      </c>
      <c r="C349" s="61" t="n"/>
      <c r="D349" s="27" t="n"/>
      <c r="E349" s="27" t="n"/>
      <c r="F349" s="27" t="n"/>
      <c r="G349" s="27" t="n"/>
      <c r="H349" s="62" t="n"/>
      <c r="I349" s="31" t="n"/>
      <c r="J349" s="31" t="n"/>
      <c r="K349" s="31" t="n"/>
      <c r="L349" s="31" t="n"/>
      <c r="M349" s="1" t="n"/>
    </row>
    <row r="350">
      <c r="A350" s="1" t="n"/>
      <c r="B350" s="24" t="n">
        <v>344</v>
      </c>
      <c r="C350" s="61" t="n"/>
      <c r="D350" s="27" t="n"/>
      <c r="E350" s="27" t="n"/>
      <c r="F350" s="27" t="n"/>
      <c r="G350" s="27" t="n"/>
      <c r="H350" s="62" t="n"/>
      <c r="I350" s="31" t="n"/>
      <c r="J350" s="31" t="n"/>
      <c r="K350" s="31" t="n"/>
      <c r="L350" s="31" t="n"/>
      <c r="M350" s="1" t="n"/>
    </row>
    <row r="351">
      <c r="A351" s="1" t="n"/>
      <c r="B351" s="24" t="n">
        <v>345</v>
      </c>
      <c r="C351" s="61" t="n"/>
      <c r="D351" s="27" t="n"/>
      <c r="E351" s="27" t="n"/>
      <c r="F351" s="27" t="n"/>
      <c r="G351" s="27" t="n"/>
      <c r="H351" s="62" t="n"/>
      <c r="I351" s="31" t="n"/>
      <c r="J351" s="31" t="n"/>
      <c r="K351" s="31" t="n"/>
      <c r="L351" s="31" t="n"/>
      <c r="M351" s="1" t="n"/>
    </row>
    <row r="352">
      <c r="A352" s="1" t="n"/>
      <c r="B352" s="24" t="n">
        <v>346</v>
      </c>
      <c r="C352" s="61" t="n"/>
      <c r="D352" s="27" t="n"/>
      <c r="E352" s="27" t="n"/>
      <c r="F352" s="27" t="n"/>
      <c r="G352" s="27" t="n"/>
      <c r="H352" s="62" t="n"/>
      <c r="I352" s="31" t="n"/>
      <c r="J352" s="31" t="n"/>
      <c r="K352" s="31" t="n"/>
      <c r="L352" s="31" t="n"/>
      <c r="M352" s="1" t="n"/>
    </row>
    <row r="353">
      <c r="A353" s="1" t="n"/>
      <c r="B353" s="24" t="n">
        <v>347</v>
      </c>
      <c r="C353" s="61" t="n"/>
      <c r="D353" s="27" t="n"/>
      <c r="E353" s="27" t="n"/>
      <c r="F353" s="27" t="n"/>
      <c r="G353" s="27" t="n"/>
      <c r="H353" s="62" t="n"/>
      <c r="I353" s="31" t="n"/>
      <c r="J353" s="31" t="n"/>
      <c r="K353" s="31" t="n"/>
      <c r="L353" s="31" t="n"/>
      <c r="M353" s="1" t="n"/>
    </row>
    <row r="354">
      <c r="A354" s="1" t="n"/>
      <c r="B354" s="24" t="n">
        <v>348</v>
      </c>
      <c r="C354" s="61" t="n"/>
      <c r="D354" s="27" t="n"/>
      <c r="E354" s="27" t="n"/>
      <c r="F354" s="27" t="n"/>
      <c r="G354" s="27" t="n"/>
      <c r="H354" s="62" t="n"/>
      <c r="I354" s="31" t="n"/>
      <c r="J354" s="31" t="n"/>
      <c r="K354" s="31" t="n"/>
      <c r="L354" s="31" t="n"/>
      <c r="M354" s="1" t="n"/>
    </row>
    <row r="355">
      <c r="A355" s="1" t="n"/>
      <c r="B355" s="24" t="n">
        <v>349</v>
      </c>
      <c r="C355" s="61" t="n"/>
      <c r="D355" s="27" t="n"/>
      <c r="E355" s="27" t="n"/>
      <c r="F355" s="27" t="n"/>
      <c r="G355" s="27" t="n"/>
      <c r="H355" s="62" t="n"/>
      <c r="I355" s="31" t="n"/>
      <c r="J355" s="31" t="n"/>
      <c r="K355" s="31" t="n"/>
      <c r="L355" s="31" t="n"/>
      <c r="M355" s="1" t="n"/>
    </row>
    <row r="356">
      <c r="A356" s="1" t="n"/>
      <c r="B356" s="24" t="n">
        <v>350</v>
      </c>
      <c r="C356" s="61" t="n"/>
      <c r="D356" s="27" t="n"/>
      <c r="E356" s="27" t="n"/>
      <c r="F356" s="27" t="n"/>
      <c r="G356" s="27" t="n"/>
      <c r="H356" s="62" t="n"/>
      <c r="I356" s="31" t="n"/>
      <c r="J356" s="31" t="n"/>
      <c r="K356" s="31" t="n"/>
      <c r="L356" s="31" t="n"/>
      <c r="M356" s="1" t="n"/>
    </row>
    <row r="357">
      <c r="A357" s="1" t="n"/>
      <c r="B357" s="24" t="n">
        <v>351</v>
      </c>
      <c r="C357" s="61" t="n"/>
      <c r="D357" s="27" t="n"/>
      <c r="E357" s="27" t="n"/>
      <c r="F357" s="27" t="n"/>
      <c r="G357" s="27" t="n"/>
      <c r="H357" s="62" t="n"/>
      <c r="I357" s="31" t="n"/>
      <c r="J357" s="31" t="n"/>
      <c r="K357" s="31" t="n"/>
      <c r="L357" s="31" t="n"/>
      <c r="M357" s="1" t="n"/>
    </row>
    <row r="358">
      <c r="A358" s="1" t="n"/>
      <c r="B358" s="24" t="n">
        <v>352</v>
      </c>
      <c r="C358" s="61" t="n"/>
      <c r="D358" s="27" t="n"/>
      <c r="E358" s="27" t="n"/>
      <c r="F358" s="27" t="n"/>
      <c r="G358" s="27" t="n"/>
      <c r="H358" s="62" t="n"/>
      <c r="I358" s="31" t="n"/>
      <c r="J358" s="31" t="n"/>
      <c r="K358" s="31" t="n"/>
      <c r="L358" s="31" t="n"/>
      <c r="M358" s="1" t="n"/>
    </row>
    <row r="359">
      <c r="A359" s="1" t="n"/>
      <c r="B359" s="24" t="n">
        <v>353</v>
      </c>
      <c r="C359" s="61" t="n"/>
      <c r="D359" s="27" t="n"/>
      <c r="E359" s="27" t="n"/>
      <c r="F359" s="27" t="n"/>
      <c r="G359" s="27" t="n"/>
      <c r="H359" s="62" t="n"/>
      <c r="I359" s="31" t="n"/>
      <c r="J359" s="31" t="n"/>
      <c r="K359" s="31" t="n"/>
      <c r="L359" s="31" t="n"/>
      <c r="M359" s="1" t="n"/>
    </row>
    <row r="360">
      <c r="A360" s="1" t="n"/>
      <c r="B360" s="24" t="n">
        <v>354</v>
      </c>
      <c r="C360" s="61" t="n"/>
      <c r="D360" s="27" t="n"/>
      <c r="E360" s="27" t="n"/>
      <c r="F360" s="27" t="n"/>
      <c r="G360" s="27" t="n"/>
      <c r="H360" s="62" t="n"/>
      <c r="I360" s="31" t="n"/>
      <c r="J360" s="31" t="n"/>
      <c r="K360" s="31" t="n"/>
      <c r="L360" s="31" t="n"/>
      <c r="M360" s="1" t="n"/>
    </row>
    <row r="361">
      <c r="A361" s="1" t="n"/>
      <c r="B361" s="24" t="n">
        <v>355</v>
      </c>
      <c r="C361" s="61" t="n"/>
      <c r="D361" s="27" t="n"/>
      <c r="E361" s="27" t="n"/>
      <c r="F361" s="27" t="n"/>
      <c r="G361" s="27" t="n"/>
      <c r="H361" s="62" t="n"/>
      <c r="I361" s="31" t="n"/>
      <c r="J361" s="31" t="n"/>
      <c r="K361" s="31" t="n"/>
      <c r="L361" s="31" t="n"/>
      <c r="M361" s="1" t="n"/>
    </row>
    <row r="362">
      <c r="A362" s="1" t="n"/>
      <c r="B362" s="24" t="n">
        <v>356</v>
      </c>
      <c r="C362" s="61" t="n"/>
      <c r="D362" s="27" t="n"/>
      <c r="E362" s="27" t="n"/>
      <c r="F362" s="27" t="n"/>
      <c r="G362" s="27" t="n"/>
      <c r="H362" s="62" t="n"/>
      <c r="I362" s="31" t="n"/>
      <c r="J362" s="31" t="n"/>
      <c r="K362" s="31" t="n"/>
      <c r="L362" s="31" t="n"/>
      <c r="M362" s="1" t="n"/>
    </row>
    <row r="363">
      <c r="A363" s="1" t="n"/>
      <c r="B363" s="24" t="n">
        <v>357</v>
      </c>
      <c r="C363" s="61" t="n"/>
      <c r="D363" s="27" t="n"/>
      <c r="E363" s="27" t="n"/>
      <c r="F363" s="27" t="n"/>
      <c r="G363" s="27" t="n"/>
      <c r="H363" s="62" t="n"/>
      <c r="I363" s="31" t="n"/>
      <c r="J363" s="31" t="n"/>
      <c r="K363" s="31" t="n"/>
      <c r="L363" s="31" t="n"/>
      <c r="M363" s="1" t="n"/>
    </row>
    <row r="364">
      <c r="A364" s="1" t="n"/>
      <c r="B364" s="24" t="n">
        <v>358</v>
      </c>
      <c r="C364" s="61" t="n"/>
      <c r="D364" s="27" t="n"/>
      <c r="E364" s="27" t="n"/>
      <c r="F364" s="27" t="n"/>
      <c r="G364" s="27" t="n"/>
      <c r="H364" s="62" t="n"/>
      <c r="I364" s="31" t="n"/>
      <c r="J364" s="31" t="n"/>
      <c r="K364" s="31" t="n"/>
      <c r="L364" s="31" t="n"/>
      <c r="M364" s="1" t="n"/>
    </row>
    <row r="365">
      <c r="A365" s="1" t="n"/>
      <c r="B365" s="24" t="n">
        <v>359</v>
      </c>
      <c r="C365" s="61" t="n"/>
      <c r="D365" s="27" t="n"/>
      <c r="E365" s="27" t="n"/>
      <c r="F365" s="27" t="n"/>
      <c r="G365" s="27" t="n"/>
      <c r="H365" s="62" t="n"/>
      <c r="I365" s="31" t="n"/>
      <c r="J365" s="31" t="n"/>
      <c r="K365" s="31" t="n"/>
      <c r="L365" s="31" t="n"/>
      <c r="M365" s="1" t="n"/>
    </row>
    <row r="366">
      <c r="A366" s="1" t="n"/>
      <c r="B366" s="24" t="n">
        <v>360</v>
      </c>
      <c r="C366" s="61" t="n"/>
      <c r="D366" s="27" t="n"/>
      <c r="E366" s="27" t="n"/>
      <c r="F366" s="27" t="n"/>
      <c r="G366" s="27" t="n"/>
      <c r="H366" s="62" t="n"/>
      <c r="I366" s="31" t="n"/>
      <c r="J366" s="31" t="n"/>
      <c r="K366" s="31" t="n"/>
      <c r="L366" s="31" t="n"/>
      <c r="M366" s="1" t="n"/>
    </row>
    <row r="367">
      <c r="A367" s="1" t="n"/>
      <c r="B367" s="24" t="n">
        <v>361</v>
      </c>
      <c r="C367" s="61" t="n"/>
      <c r="D367" s="27" t="n"/>
      <c r="E367" s="27" t="n"/>
      <c r="F367" s="27" t="n"/>
      <c r="G367" s="27" t="n"/>
      <c r="H367" s="62" t="n"/>
      <c r="I367" s="31" t="n"/>
      <c r="J367" s="31" t="n"/>
      <c r="K367" s="31" t="n"/>
      <c r="L367" s="31" t="n"/>
      <c r="M367" s="1" t="n"/>
    </row>
    <row r="368">
      <c r="A368" s="1" t="n"/>
      <c r="B368" s="24" t="n">
        <v>362</v>
      </c>
      <c r="C368" s="61" t="n"/>
      <c r="D368" s="27" t="n"/>
      <c r="E368" s="27" t="n"/>
      <c r="F368" s="27" t="n"/>
      <c r="G368" s="27" t="n"/>
      <c r="H368" s="62" t="n"/>
      <c r="I368" s="31" t="n"/>
      <c r="J368" s="31" t="n"/>
      <c r="K368" s="31" t="n"/>
      <c r="L368" s="31" t="n"/>
      <c r="M368" s="1" t="n"/>
    </row>
    <row r="369">
      <c r="A369" s="1" t="n"/>
      <c r="B369" s="24" t="n">
        <v>363</v>
      </c>
      <c r="C369" s="61" t="n"/>
      <c r="D369" s="27" t="n"/>
      <c r="E369" s="27" t="n"/>
      <c r="F369" s="27" t="n"/>
      <c r="G369" s="27" t="n"/>
      <c r="H369" s="62" t="n"/>
      <c r="I369" s="31" t="n"/>
      <c r="J369" s="31" t="n"/>
      <c r="K369" s="31" t="n"/>
      <c r="L369" s="31" t="n"/>
      <c r="M369" s="1" t="n"/>
    </row>
    <row r="370">
      <c r="A370" s="1" t="n"/>
      <c r="B370" s="24" t="n">
        <v>364</v>
      </c>
      <c r="C370" s="61" t="n"/>
      <c r="D370" s="27" t="n"/>
      <c r="E370" s="27" t="n"/>
      <c r="F370" s="27" t="n"/>
      <c r="G370" s="27" t="n"/>
      <c r="H370" s="62" t="n"/>
      <c r="I370" s="31" t="n"/>
      <c r="J370" s="31" t="n"/>
      <c r="K370" s="31" t="n"/>
      <c r="L370" s="31" t="n"/>
      <c r="M370" s="1" t="n"/>
    </row>
    <row r="371">
      <c r="A371" s="1" t="n"/>
      <c r="B371" s="24" t="n">
        <v>365</v>
      </c>
      <c r="C371" s="61" t="n"/>
      <c r="D371" s="27" t="n"/>
      <c r="E371" s="27" t="n"/>
      <c r="F371" s="27" t="n"/>
      <c r="G371" s="27" t="n"/>
      <c r="H371" s="62" t="n"/>
      <c r="I371" s="31" t="n"/>
      <c r="J371" s="31" t="n"/>
      <c r="K371" s="31" t="n"/>
      <c r="L371" s="31" t="n"/>
      <c r="M371" s="1" t="n"/>
    </row>
    <row r="372">
      <c r="A372" s="1" t="n"/>
      <c r="B372" s="24" t="n">
        <v>366</v>
      </c>
      <c r="C372" s="61" t="n"/>
      <c r="D372" s="27" t="n"/>
      <c r="E372" s="27" t="n"/>
      <c r="F372" s="27" t="n"/>
      <c r="G372" s="27" t="n"/>
      <c r="H372" s="62" t="n"/>
      <c r="I372" s="31" t="n"/>
      <c r="J372" s="31" t="n"/>
      <c r="K372" s="31" t="n"/>
      <c r="L372" s="31" t="n"/>
      <c r="M372" s="1" t="n"/>
    </row>
    <row r="373">
      <c r="A373" s="1" t="n"/>
      <c r="B373" s="24" t="n">
        <v>367</v>
      </c>
      <c r="C373" s="61" t="n"/>
      <c r="D373" s="27" t="n"/>
      <c r="E373" s="27" t="n"/>
      <c r="F373" s="27" t="n"/>
      <c r="G373" s="27" t="n"/>
      <c r="H373" s="62" t="n"/>
      <c r="I373" s="31" t="n"/>
      <c r="J373" s="31" t="n"/>
      <c r="K373" s="31" t="n"/>
      <c r="L373" s="31" t="n"/>
      <c r="M373" s="1" t="n"/>
    </row>
    <row r="374">
      <c r="A374" s="1" t="n"/>
      <c r="B374" s="24" t="n">
        <v>368</v>
      </c>
      <c r="C374" s="61" t="n"/>
      <c r="D374" s="27" t="n"/>
      <c r="E374" s="27" t="n"/>
      <c r="F374" s="27" t="n"/>
      <c r="G374" s="27" t="n"/>
      <c r="H374" s="62" t="n"/>
      <c r="I374" s="31" t="n"/>
      <c r="J374" s="31" t="n"/>
      <c r="K374" s="31" t="n"/>
      <c r="L374" s="31" t="n"/>
      <c r="M374" s="1" t="n"/>
    </row>
    <row r="375">
      <c r="A375" s="1" t="n"/>
      <c r="B375" s="24" t="n">
        <v>369</v>
      </c>
      <c r="C375" s="61" t="n"/>
      <c r="D375" s="27" t="n"/>
      <c r="E375" s="27" t="n"/>
      <c r="F375" s="27" t="n"/>
      <c r="G375" s="27" t="n"/>
      <c r="H375" s="62" t="n"/>
      <c r="I375" s="31" t="n"/>
      <c r="J375" s="31" t="n"/>
      <c r="K375" s="31" t="n"/>
      <c r="L375" s="31" t="n"/>
      <c r="M375" s="1" t="n"/>
    </row>
    <row r="376">
      <c r="A376" s="1" t="n"/>
      <c r="B376" s="24" t="n">
        <v>370</v>
      </c>
      <c r="C376" s="61" t="n"/>
      <c r="D376" s="27" t="n"/>
      <c r="E376" s="27" t="n"/>
      <c r="F376" s="27" t="n"/>
      <c r="G376" s="27" t="n"/>
      <c r="H376" s="62" t="n"/>
      <c r="I376" s="31" t="n"/>
      <c r="J376" s="31" t="n"/>
      <c r="K376" s="31" t="n"/>
      <c r="L376" s="31" t="n"/>
      <c r="M376" s="1" t="n"/>
    </row>
    <row r="377">
      <c r="A377" s="1" t="n"/>
      <c r="B377" s="24" t="n">
        <v>371</v>
      </c>
      <c r="C377" s="61" t="n"/>
      <c r="D377" s="27" t="n"/>
      <c r="E377" s="27" t="n"/>
      <c r="F377" s="27" t="n"/>
      <c r="G377" s="27" t="n"/>
      <c r="H377" s="62" t="n"/>
      <c r="I377" s="31" t="n"/>
      <c r="J377" s="31" t="n"/>
      <c r="K377" s="31" t="n"/>
      <c r="L377" s="31" t="n"/>
      <c r="M377" s="1" t="n"/>
    </row>
    <row r="378">
      <c r="A378" s="1" t="n"/>
      <c r="B378" s="24" t="n">
        <v>372</v>
      </c>
      <c r="C378" s="61" t="n"/>
      <c r="D378" s="27" t="n"/>
      <c r="E378" s="27" t="n"/>
      <c r="F378" s="27" t="n"/>
      <c r="G378" s="27" t="n"/>
      <c r="H378" s="62" t="n"/>
      <c r="I378" s="31" t="n"/>
      <c r="J378" s="31" t="n"/>
      <c r="K378" s="31" t="n"/>
      <c r="L378" s="31" t="n"/>
      <c r="M378" s="1" t="n"/>
    </row>
    <row r="379">
      <c r="A379" s="1" t="n"/>
      <c r="B379" s="24" t="n">
        <v>373</v>
      </c>
      <c r="C379" s="61" t="n"/>
      <c r="D379" s="27" t="n"/>
      <c r="E379" s="27" t="n"/>
      <c r="F379" s="27" t="n"/>
      <c r="G379" s="27" t="n"/>
      <c r="H379" s="62" t="n"/>
      <c r="I379" s="31" t="n"/>
      <c r="J379" s="31" t="n"/>
      <c r="K379" s="31" t="n"/>
      <c r="L379" s="31" t="n"/>
      <c r="M379" s="1" t="n"/>
    </row>
    <row r="380">
      <c r="A380" s="1" t="n"/>
      <c r="B380" s="24" t="n">
        <v>374</v>
      </c>
      <c r="C380" s="61" t="n"/>
      <c r="D380" s="27" t="n"/>
      <c r="E380" s="27" t="n"/>
      <c r="F380" s="27" t="n"/>
      <c r="G380" s="27" t="n"/>
      <c r="H380" s="62" t="n"/>
      <c r="I380" s="31" t="n"/>
      <c r="J380" s="31" t="n"/>
      <c r="K380" s="31" t="n"/>
      <c r="L380" s="31" t="n"/>
      <c r="M380" s="1" t="n"/>
    </row>
    <row r="381">
      <c r="A381" s="1" t="n"/>
      <c r="B381" s="24" t="n">
        <v>375</v>
      </c>
      <c r="C381" s="61" t="n"/>
      <c r="D381" s="27" t="n"/>
      <c r="E381" s="27" t="n"/>
      <c r="F381" s="27" t="n"/>
      <c r="G381" s="27" t="n"/>
      <c r="H381" s="62" t="n"/>
      <c r="I381" s="31" t="n"/>
      <c r="J381" s="31" t="n"/>
      <c r="K381" s="31" t="n"/>
      <c r="L381" s="31" t="n"/>
      <c r="M381" s="1" t="n"/>
    </row>
    <row r="382">
      <c r="A382" s="1" t="n"/>
      <c r="B382" s="24" t="n">
        <v>376</v>
      </c>
      <c r="C382" s="61" t="n"/>
      <c r="D382" s="27" t="n"/>
      <c r="E382" s="27" t="n"/>
      <c r="F382" s="27" t="n"/>
      <c r="G382" s="27" t="n"/>
      <c r="H382" s="62" t="n"/>
      <c r="I382" s="31" t="n"/>
      <c r="J382" s="31" t="n"/>
      <c r="K382" s="31" t="n"/>
      <c r="L382" s="31" t="n"/>
      <c r="M382" s="1" t="n"/>
    </row>
    <row r="383">
      <c r="A383" s="1" t="n"/>
      <c r="B383" s="24" t="n">
        <v>377</v>
      </c>
      <c r="C383" s="61" t="n"/>
      <c r="D383" s="27" t="n"/>
      <c r="E383" s="27" t="n"/>
      <c r="F383" s="27" t="n"/>
      <c r="G383" s="27" t="n"/>
      <c r="H383" s="62" t="n"/>
      <c r="I383" s="31" t="n"/>
      <c r="J383" s="31" t="n"/>
      <c r="K383" s="31" t="n"/>
      <c r="L383" s="31" t="n"/>
      <c r="M383" s="1" t="n"/>
    </row>
    <row r="384">
      <c r="A384" s="1" t="n"/>
      <c r="B384" s="24" t="n">
        <v>378</v>
      </c>
      <c r="C384" s="61" t="n"/>
      <c r="D384" s="27" t="n"/>
      <c r="E384" s="27" t="n"/>
      <c r="F384" s="27" t="n"/>
      <c r="G384" s="27" t="n"/>
      <c r="H384" s="62" t="n"/>
      <c r="I384" s="31" t="n"/>
      <c r="J384" s="31" t="n"/>
      <c r="K384" s="31" t="n"/>
      <c r="L384" s="31" t="n"/>
      <c r="M384" s="1" t="n"/>
    </row>
    <row r="385">
      <c r="A385" s="1" t="n"/>
      <c r="B385" s="24" t="n">
        <v>379</v>
      </c>
      <c r="C385" s="61" t="n"/>
      <c r="D385" s="27" t="n"/>
      <c r="E385" s="27" t="n"/>
      <c r="F385" s="27" t="n"/>
      <c r="G385" s="27" t="n"/>
      <c r="H385" s="62" t="n"/>
      <c r="I385" s="31" t="n"/>
      <c r="J385" s="31" t="n"/>
      <c r="K385" s="31" t="n"/>
      <c r="L385" s="31" t="n"/>
      <c r="M385" s="1" t="n"/>
    </row>
    <row r="386">
      <c r="A386" s="1" t="n"/>
      <c r="B386" s="24" t="n">
        <v>380</v>
      </c>
      <c r="C386" s="61" t="n"/>
      <c r="D386" s="27" t="n"/>
      <c r="E386" s="27" t="n"/>
      <c r="F386" s="27" t="n"/>
      <c r="G386" s="27" t="n"/>
      <c r="H386" s="62" t="n"/>
      <c r="I386" s="31" t="n"/>
      <c r="J386" s="31" t="n"/>
      <c r="K386" s="31" t="n"/>
      <c r="L386" s="31" t="n"/>
      <c r="M386" s="1" t="n"/>
    </row>
    <row r="387">
      <c r="A387" s="1" t="n"/>
      <c r="B387" s="24" t="n">
        <v>381</v>
      </c>
      <c r="C387" s="61" t="n"/>
      <c r="D387" s="27" t="n"/>
      <c r="E387" s="27" t="n"/>
      <c r="F387" s="27" t="n"/>
      <c r="G387" s="27" t="n"/>
      <c r="H387" s="62" t="n"/>
      <c r="I387" s="31" t="n"/>
      <c r="J387" s="31" t="n"/>
      <c r="K387" s="31" t="n"/>
      <c r="L387" s="31" t="n"/>
      <c r="M387" s="1" t="n"/>
    </row>
    <row r="388">
      <c r="A388" s="1" t="n"/>
      <c r="B388" s="24" t="n">
        <v>382</v>
      </c>
      <c r="C388" s="61" t="n"/>
      <c r="D388" s="27" t="n"/>
      <c r="E388" s="27" t="n"/>
      <c r="F388" s="27" t="n"/>
      <c r="G388" s="27" t="n"/>
      <c r="H388" s="62" t="n"/>
      <c r="I388" s="31" t="n"/>
      <c r="J388" s="31" t="n"/>
      <c r="K388" s="31" t="n"/>
      <c r="L388" s="31" t="n"/>
      <c r="M388" s="1" t="n"/>
    </row>
    <row r="389">
      <c r="A389" s="1" t="n"/>
      <c r="B389" s="24" t="n">
        <v>383</v>
      </c>
      <c r="C389" s="61" t="n"/>
      <c r="D389" s="27" t="n"/>
      <c r="E389" s="27" t="n"/>
      <c r="F389" s="27" t="n"/>
      <c r="G389" s="27" t="n"/>
      <c r="H389" s="62" t="n"/>
      <c r="I389" s="31" t="n"/>
      <c r="J389" s="31" t="n"/>
      <c r="K389" s="31" t="n"/>
      <c r="L389" s="31" t="n"/>
      <c r="M389" s="1" t="n"/>
    </row>
    <row r="390">
      <c r="A390" s="1" t="n"/>
      <c r="B390" s="24" t="n">
        <v>384</v>
      </c>
      <c r="C390" s="61" t="n"/>
      <c r="D390" s="27" t="n"/>
      <c r="E390" s="27" t="n"/>
      <c r="F390" s="27" t="n"/>
      <c r="G390" s="27" t="n"/>
      <c r="H390" s="62" t="n"/>
      <c r="I390" s="31" t="n"/>
      <c r="J390" s="31" t="n"/>
      <c r="K390" s="31" t="n"/>
      <c r="L390" s="31" t="n"/>
      <c r="M390" s="1" t="n"/>
    </row>
    <row r="391">
      <c r="A391" s="1" t="n"/>
      <c r="B391" s="24" t="n">
        <v>385</v>
      </c>
      <c r="C391" s="61" t="n"/>
      <c r="D391" s="27" t="n"/>
      <c r="E391" s="27" t="n"/>
      <c r="F391" s="27" t="n"/>
      <c r="G391" s="27" t="n"/>
      <c r="H391" s="62" t="n"/>
      <c r="I391" s="31" t="n"/>
      <c r="J391" s="31" t="n"/>
      <c r="K391" s="31" t="n"/>
      <c r="L391" s="31" t="n"/>
      <c r="M391" s="1" t="n"/>
    </row>
    <row r="392">
      <c r="A392" s="1" t="n"/>
      <c r="B392" s="24" t="n">
        <v>386</v>
      </c>
      <c r="C392" s="61" t="n"/>
      <c r="D392" s="27" t="n"/>
      <c r="E392" s="27" t="n"/>
      <c r="F392" s="27" t="n"/>
      <c r="G392" s="27" t="n"/>
      <c r="H392" s="62" t="n"/>
      <c r="I392" s="31" t="n"/>
      <c r="J392" s="31" t="n"/>
      <c r="K392" s="31" t="n"/>
      <c r="L392" s="31" t="n"/>
      <c r="M392" s="1" t="n"/>
    </row>
    <row r="393">
      <c r="A393" s="1" t="n"/>
      <c r="B393" s="24" t="n">
        <v>387</v>
      </c>
      <c r="C393" s="61" t="n"/>
      <c r="D393" s="27" t="n"/>
      <c r="E393" s="27" t="n"/>
      <c r="F393" s="27" t="n"/>
      <c r="G393" s="27" t="n"/>
      <c r="H393" s="62" t="n"/>
      <c r="I393" s="31" t="n"/>
      <c r="J393" s="31" t="n"/>
      <c r="K393" s="31" t="n"/>
      <c r="L393" s="31" t="n"/>
      <c r="M393" s="1" t="n"/>
    </row>
    <row r="394">
      <c r="A394" s="1" t="n"/>
      <c r="B394" s="24" t="n">
        <v>388</v>
      </c>
      <c r="C394" s="61" t="n"/>
      <c r="D394" s="27" t="n"/>
      <c r="E394" s="27" t="n"/>
      <c r="F394" s="27" t="n"/>
      <c r="G394" s="27" t="n"/>
      <c r="H394" s="62" t="n"/>
      <c r="I394" s="31" t="n"/>
      <c r="J394" s="31" t="n"/>
      <c r="K394" s="31" t="n"/>
      <c r="L394" s="31" t="n"/>
      <c r="M394" s="1" t="n"/>
    </row>
    <row r="395">
      <c r="A395" s="1" t="n"/>
      <c r="B395" s="24" t="n">
        <v>389</v>
      </c>
      <c r="C395" s="61" t="n"/>
      <c r="D395" s="27" t="n"/>
      <c r="E395" s="27" t="n"/>
      <c r="F395" s="27" t="n"/>
      <c r="G395" s="27" t="n"/>
      <c r="H395" s="62" t="n"/>
      <c r="I395" s="31" t="n"/>
      <c r="J395" s="31" t="n"/>
      <c r="K395" s="31" t="n"/>
      <c r="L395" s="31" t="n"/>
      <c r="M395" s="1" t="n"/>
    </row>
    <row r="396">
      <c r="A396" s="1" t="n"/>
      <c r="B396" s="24" t="n">
        <v>390</v>
      </c>
      <c r="C396" s="61" t="n"/>
      <c r="D396" s="27" t="n"/>
      <c r="E396" s="27" t="n"/>
      <c r="F396" s="27" t="n"/>
      <c r="G396" s="27" t="n"/>
      <c r="H396" s="62" t="n"/>
      <c r="I396" s="31" t="n"/>
      <c r="J396" s="31" t="n"/>
      <c r="K396" s="31" t="n"/>
      <c r="L396" s="31" t="n"/>
      <c r="M396" s="1" t="n"/>
    </row>
    <row r="397">
      <c r="A397" s="1" t="n"/>
      <c r="B397" s="24" t="n">
        <v>391</v>
      </c>
      <c r="C397" s="61" t="n"/>
      <c r="D397" s="27" t="n"/>
      <c r="E397" s="27" t="n"/>
      <c r="F397" s="27" t="n"/>
      <c r="G397" s="27" t="n"/>
      <c r="H397" s="62" t="n"/>
      <c r="I397" s="31" t="n"/>
      <c r="J397" s="31" t="n"/>
      <c r="K397" s="31" t="n"/>
      <c r="L397" s="31" t="n"/>
      <c r="M397" s="1" t="n"/>
    </row>
    <row r="398">
      <c r="A398" s="1" t="n"/>
      <c r="B398" s="24" t="n">
        <v>392</v>
      </c>
      <c r="C398" s="61" t="n"/>
      <c r="D398" s="27" t="n"/>
      <c r="E398" s="27" t="n"/>
      <c r="F398" s="27" t="n"/>
      <c r="G398" s="27" t="n"/>
      <c r="H398" s="62" t="n"/>
      <c r="I398" s="31" t="n"/>
      <c r="J398" s="31" t="n"/>
      <c r="K398" s="31" t="n"/>
      <c r="L398" s="31" t="n"/>
      <c r="M398" s="1" t="n"/>
    </row>
    <row r="399">
      <c r="A399" s="1" t="n"/>
      <c r="B399" s="24" t="n">
        <v>393</v>
      </c>
      <c r="C399" s="61" t="n"/>
      <c r="D399" s="27" t="n"/>
      <c r="E399" s="27" t="n"/>
      <c r="F399" s="27" t="n"/>
      <c r="G399" s="27" t="n"/>
      <c r="H399" s="62" t="n"/>
      <c r="I399" s="31" t="n"/>
      <c r="J399" s="31" t="n"/>
      <c r="K399" s="31" t="n"/>
      <c r="L399" s="31" t="n"/>
      <c r="M399" s="1" t="n"/>
    </row>
    <row r="400">
      <c r="A400" s="1" t="n"/>
      <c r="B400" s="24" t="n">
        <v>394</v>
      </c>
      <c r="C400" s="61" t="n"/>
      <c r="D400" s="27" t="n"/>
      <c r="E400" s="27" t="n"/>
      <c r="F400" s="27" t="n"/>
      <c r="G400" s="27" t="n"/>
      <c r="H400" s="62" t="n"/>
      <c r="I400" s="31" t="n"/>
      <c r="J400" s="31" t="n"/>
      <c r="K400" s="31" t="n"/>
      <c r="L400" s="31" t="n"/>
      <c r="M400" s="1" t="n"/>
    </row>
    <row r="401">
      <c r="A401" s="1" t="n"/>
      <c r="B401" s="24" t="n">
        <v>395</v>
      </c>
      <c r="C401" s="61" t="n"/>
      <c r="D401" s="27" t="n"/>
      <c r="E401" s="27" t="n"/>
      <c r="F401" s="27" t="n"/>
      <c r="G401" s="27" t="n"/>
      <c r="H401" s="62" t="n"/>
      <c r="I401" s="31" t="n"/>
      <c r="J401" s="31" t="n"/>
      <c r="K401" s="31" t="n"/>
      <c r="L401" s="31" t="n"/>
      <c r="M401" s="1" t="n"/>
    </row>
    <row r="402">
      <c r="A402" s="1" t="n"/>
      <c r="B402" s="24" t="n">
        <v>396</v>
      </c>
      <c r="C402" s="61" t="n"/>
      <c r="D402" s="27" t="n"/>
      <c r="E402" s="27" t="n"/>
      <c r="F402" s="27" t="n"/>
      <c r="G402" s="27" t="n"/>
      <c r="H402" s="62" t="n"/>
      <c r="I402" s="31" t="n"/>
      <c r="J402" s="31" t="n"/>
      <c r="K402" s="31" t="n"/>
      <c r="L402" s="31" t="n"/>
      <c r="M402" s="1" t="n"/>
    </row>
    <row r="403">
      <c r="A403" s="1" t="n"/>
      <c r="B403" s="24" t="n">
        <v>397</v>
      </c>
      <c r="C403" s="61" t="n"/>
      <c r="D403" s="27" t="n"/>
      <c r="E403" s="27" t="n"/>
      <c r="F403" s="27" t="n"/>
      <c r="G403" s="27" t="n"/>
      <c r="H403" s="62" t="n"/>
      <c r="I403" s="31" t="n"/>
      <c r="J403" s="31" t="n"/>
      <c r="K403" s="31" t="n"/>
      <c r="L403" s="31" t="n"/>
      <c r="M403" s="1" t="n"/>
    </row>
    <row r="404">
      <c r="A404" s="1" t="n"/>
      <c r="B404" s="24" t="n">
        <v>398</v>
      </c>
      <c r="C404" s="61" t="n"/>
      <c r="D404" s="27" t="n"/>
      <c r="E404" s="27" t="n"/>
      <c r="F404" s="27" t="n"/>
      <c r="G404" s="27" t="n"/>
      <c r="H404" s="62" t="n"/>
      <c r="I404" s="31" t="n"/>
      <c r="J404" s="31" t="n"/>
      <c r="K404" s="31" t="n"/>
      <c r="L404" s="31" t="n"/>
      <c r="M404" s="1" t="n"/>
    </row>
    <row r="405">
      <c r="A405" s="1" t="n"/>
      <c r="B405" s="24" t="n">
        <v>399</v>
      </c>
      <c r="C405" s="61" t="n"/>
      <c r="D405" s="27" t="n"/>
      <c r="E405" s="27" t="n"/>
      <c r="F405" s="27" t="n"/>
      <c r="G405" s="27" t="n"/>
      <c r="H405" s="62" t="n"/>
      <c r="I405" s="31" t="n"/>
      <c r="J405" s="31" t="n"/>
      <c r="K405" s="31" t="n"/>
      <c r="L405" s="31" t="n"/>
      <c r="M405" s="1" t="n"/>
    </row>
    <row r="406">
      <c r="A406" s="1" t="n"/>
      <c r="B406" s="24" t="n">
        <v>400</v>
      </c>
      <c r="C406" s="61" t="n"/>
      <c r="D406" s="27" t="n"/>
      <c r="E406" s="27" t="n"/>
      <c r="F406" s="27" t="n"/>
      <c r="G406" s="27" t="n"/>
      <c r="H406" s="62" t="n"/>
      <c r="I406" s="31" t="n"/>
      <c r="J406" s="31" t="n"/>
      <c r="K406" s="31" t="n"/>
      <c r="L406" s="31" t="n"/>
      <c r="M406" s="1" t="n"/>
    </row>
    <row r="407">
      <c r="A407" s="1" t="n"/>
      <c r="B407" s="24" t="n">
        <v>401</v>
      </c>
      <c r="C407" s="61" t="n"/>
      <c r="D407" s="27" t="n"/>
      <c r="E407" s="27" t="n"/>
      <c r="F407" s="27" t="n"/>
      <c r="G407" s="27" t="n"/>
      <c r="H407" s="62" t="n"/>
      <c r="I407" s="31" t="n"/>
      <c r="J407" s="31" t="n"/>
      <c r="K407" s="31" t="n"/>
      <c r="L407" s="31" t="n"/>
      <c r="M407" s="1" t="n"/>
    </row>
    <row r="408">
      <c r="A408" s="1" t="n"/>
      <c r="B408" s="24" t="n">
        <v>402</v>
      </c>
      <c r="C408" s="61" t="n"/>
      <c r="D408" s="27" t="n"/>
      <c r="E408" s="27" t="n"/>
      <c r="F408" s="27" t="n"/>
      <c r="G408" s="27" t="n"/>
      <c r="H408" s="62" t="n"/>
      <c r="I408" s="31" t="n"/>
      <c r="J408" s="31" t="n"/>
      <c r="K408" s="31" t="n"/>
      <c r="L408" s="31" t="n"/>
      <c r="M408" s="1" t="n"/>
    </row>
    <row r="409">
      <c r="A409" s="1" t="n"/>
      <c r="B409" s="24" t="n">
        <v>403</v>
      </c>
      <c r="C409" s="61" t="n"/>
      <c r="D409" s="27" t="n"/>
      <c r="E409" s="27" t="n"/>
      <c r="F409" s="27" t="n"/>
      <c r="G409" s="27" t="n"/>
      <c r="H409" s="62" t="n"/>
      <c r="I409" s="31" t="n"/>
      <c r="J409" s="31" t="n"/>
      <c r="K409" s="31" t="n"/>
      <c r="L409" s="31" t="n"/>
      <c r="M409" s="1" t="n"/>
    </row>
    <row r="410">
      <c r="A410" s="1" t="n"/>
      <c r="B410" s="24" t="n">
        <v>404</v>
      </c>
      <c r="C410" s="61" t="n"/>
      <c r="D410" s="27" t="n"/>
      <c r="E410" s="27" t="n"/>
      <c r="F410" s="27" t="n"/>
      <c r="G410" s="27" t="n"/>
      <c r="H410" s="62" t="n"/>
      <c r="I410" s="31" t="n"/>
      <c r="J410" s="31" t="n"/>
      <c r="K410" s="31" t="n"/>
      <c r="L410" s="31" t="n"/>
      <c r="M410" s="1" t="n"/>
    </row>
    <row r="411">
      <c r="A411" s="1" t="n"/>
      <c r="B411" s="24" t="n">
        <v>405</v>
      </c>
      <c r="C411" s="61" t="n"/>
      <c r="D411" s="27" t="n"/>
      <c r="E411" s="27" t="n"/>
      <c r="F411" s="27" t="n"/>
      <c r="G411" s="27" t="n"/>
      <c r="H411" s="62" t="n"/>
      <c r="I411" s="31" t="n"/>
      <c r="J411" s="31" t="n"/>
      <c r="K411" s="31" t="n"/>
      <c r="L411" s="31" t="n"/>
      <c r="M411" s="1" t="n"/>
    </row>
    <row r="412">
      <c r="A412" s="1" t="n"/>
      <c r="B412" s="24" t="n">
        <v>406</v>
      </c>
      <c r="C412" s="61" t="n"/>
      <c r="D412" s="27" t="n"/>
      <c r="E412" s="27" t="n"/>
      <c r="F412" s="27" t="n"/>
      <c r="G412" s="27" t="n"/>
      <c r="H412" s="62" t="n"/>
      <c r="I412" s="31" t="n"/>
      <c r="J412" s="31" t="n"/>
      <c r="K412" s="31" t="n"/>
      <c r="L412" s="31" t="n"/>
      <c r="M412" s="1" t="n"/>
    </row>
    <row r="413">
      <c r="A413" s="1" t="n"/>
      <c r="B413" s="24" t="n">
        <v>407</v>
      </c>
      <c r="C413" s="61" t="n"/>
      <c r="D413" s="27" t="n"/>
      <c r="E413" s="27" t="n"/>
      <c r="F413" s="27" t="n"/>
      <c r="G413" s="27" t="n"/>
      <c r="H413" s="62" t="n"/>
      <c r="I413" s="31" t="n"/>
      <c r="J413" s="31" t="n"/>
      <c r="K413" s="31" t="n"/>
      <c r="L413" s="31" t="n"/>
      <c r="M413" s="1" t="n"/>
    </row>
    <row r="414">
      <c r="A414" s="1" t="n"/>
      <c r="B414" s="24" t="n">
        <v>408</v>
      </c>
      <c r="C414" s="61" t="n"/>
      <c r="D414" s="27" t="n"/>
      <c r="E414" s="27" t="n"/>
      <c r="F414" s="27" t="n"/>
      <c r="G414" s="27" t="n"/>
      <c r="H414" s="62" t="n"/>
      <c r="I414" s="31" t="n"/>
      <c r="J414" s="31" t="n"/>
      <c r="K414" s="31" t="n"/>
      <c r="L414" s="31" t="n"/>
      <c r="M414" s="1" t="n"/>
    </row>
    <row r="415">
      <c r="A415" s="1" t="n"/>
      <c r="B415" s="24" t="n">
        <v>409</v>
      </c>
      <c r="C415" s="61" t="n"/>
      <c r="D415" s="27" t="n"/>
      <c r="E415" s="27" t="n"/>
      <c r="F415" s="27" t="n"/>
      <c r="G415" s="27" t="n"/>
      <c r="H415" s="62" t="n"/>
      <c r="I415" s="31" t="n"/>
      <c r="J415" s="31" t="n"/>
      <c r="K415" s="31" t="n"/>
      <c r="L415" s="31" t="n"/>
      <c r="M415" s="1" t="n"/>
    </row>
    <row r="416">
      <c r="A416" s="1" t="n"/>
      <c r="B416" s="24" t="n">
        <v>410</v>
      </c>
      <c r="C416" s="61" t="n"/>
      <c r="D416" s="27" t="n"/>
      <c r="E416" s="27" t="n"/>
      <c r="F416" s="27" t="n"/>
      <c r="G416" s="27" t="n"/>
      <c r="H416" s="62" t="n"/>
      <c r="I416" s="31" t="n"/>
      <c r="J416" s="31" t="n"/>
      <c r="K416" s="31" t="n"/>
      <c r="L416" s="31" t="n"/>
      <c r="M416" s="1" t="n"/>
    </row>
    <row r="417">
      <c r="A417" s="1" t="n"/>
      <c r="B417" s="24" t="n">
        <v>411</v>
      </c>
      <c r="C417" s="61" t="n"/>
      <c r="D417" s="27" t="n"/>
      <c r="E417" s="27" t="n"/>
      <c r="F417" s="27" t="n"/>
      <c r="G417" s="27" t="n"/>
      <c r="H417" s="62" t="n"/>
      <c r="I417" s="31" t="n"/>
      <c r="J417" s="31" t="n"/>
      <c r="K417" s="31" t="n"/>
      <c r="L417" s="31" t="n"/>
      <c r="M417" s="1" t="n"/>
    </row>
    <row r="418">
      <c r="A418" s="1" t="n"/>
      <c r="B418" s="24" t="n">
        <v>412</v>
      </c>
      <c r="C418" s="61" t="n"/>
      <c r="D418" s="27" t="n"/>
      <c r="E418" s="27" t="n"/>
      <c r="F418" s="27" t="n"/>
      <c r="G418" s="27" t="n"/>
      <c r="H418" s="62" t="n"/>
      <c r="I418" s="31" t="n"/>
      <c r="J418" s="31" t="n"/>
      <c r="K418" s="31" t="n"/>
      <c r="L418" s="31" t="n"/>
      <c r="M418" s="1" t="n"/>
    </row>
    <row r="419">
      <c r="A419" s="1" t="n"/>
      <c r="B419" s="24" t="n">
        <v>413</v>
      </c>
      <c r="C419" s="61" t="n"/>
      <c r="D419" s="27" t="n"/>
      <c r="E419" s="27" t="n"/>
      <c r="F419" s="27" t="n"/>
      <c r="G419" s="27" t="n"/>
      <c r="H419" s="62" t="n"/>
      <c r="I419" s="31" t="n"/>
      <c r="J419" s="31" t="n"/>
      <c r="K419" s="31" t="n"/>
      <c r="L419" s="31" t="n"/>
      <c r="M419" s="1" t="n"/>
    </row>
    <row r="420">
      <c r="A420" s="1" t="n"/>
      <c r="B420" s="24" t="n">
        <v>414</v>
      </c>
      <c r="C420" s="61" t="n"/>
      <c r="D420" s="27" t="n"/>
      <c r="E420" s="27" t="n"/>
      <c r="F420" s="27" t="n"/>
      <c r="G420" s="27" t="n"/>
      <c r="H420" s="62" t="n"/>
      <c r="I420" s="31" t="n"/>
      <c r="J420" s="31" t="n"/>
      <c r="K420" s="31" t="n"/>
      <c r="L420" s="31" t="n"/>
      <c r="M420" s="1" t="n"/>
    </row>
    <row r="421">
      <c r="A421" s="1" t="n"/>
      <c r="B421" s="24" t="n">
        <v>415</v>
      </c>
      <c r="C421" s="61" t="n"/>
      <c r="D421" s="27" t="n"/>
      <c r="E421" s="27" t="n"/>
      <c r="F421" s="27" t="n"/>
      <c r="G421" s="27" t="n"/>
      <c r="H421" s="62" t="n"/>
      <c r="I421" s="31" t="n"/>
      <c r="J421" s="31" t="n"/>
      <c r="K421" s="31" t="n"/>
      <c r="L421" s="31" t="n"/>
      <c r="M421" s="1" t="n"/>
    </row>
    <row r="422">
      <c r="A422" s="1" t="n"/>
      <c r="B422" s="24" t="n">
        <v>416</v>
      </c>
      <c r="C422" s="61" t="n"/>
      <c r="D422" s="27" t="n"/>
      <c r="E422" s="27" t="n"/>
      <c r="F422" s="27" t="n"/>
      <c r="G422" s="27" t="n"/>
      <c r="H422" s="62" t="n"/>
      <c r="I422" s="31" t="n"/>
      <c r="J422" s="31" t="n"/>
      <c r="K422" s="31" t="n"/>
      <c r="L422" s="31" t="n"/>
      <c r="M422" s="1" t="n"/>
    </row>
    <row r="423">
      <c r="A423" s="1" t="n"/>
      <c r="B423" s="24" t="n">
        <v>417</v>
      </c>
      <c r="C423" s="61" t="n"/>
      <c r="D423" s="27" t="n"/>
      <c r="E423" s="27" t="n"/>
      <c r="F423" s="27" t="n"/>
      <c r="G423" s="27" t="n"/>
      <c r="H423" s="62" t="n"/>
      <c r="I423" s="31" t="n"/>
      <c r="J423" s="31" t="n"/>
      <c r="K423" s="31" t="n"/>
      <c r="L423" s="31" t="n"/>
      <c r="M423" s="1" t="n"/>
    </row>
    <row r="424">
      <c r="A424" s="1" t="n"/>
      <c r="B424" s="24" t="n">
        <v>418</v>
      </c>
      <c r="C424" s="61" t="n"/>
      <c r="D424" s="27" t="n"/>
      <c r="E424" s="27" t="n"/>
      <c r="F424" s="27" t="n"/>
      <c r="G424" s="27" t="n"/>
      <c r="H424" s="62" t="n"/>
      <c r="I424" s="31" t="n"/>
      <c r="J424" s="31" t="n"/>
      <c r="K424" s="31" t="n"/>
      <c r="L424" s="31" t="n"/>
      <c r="M424" s="1" t="n"/>
    </row>
    <row r="425">
      <c r="A425" s="1" t="n"/>
      <c r="B425" s="24" t="n">
        <v>419</v>
      </c>
      <c r="C425" s="61" t="n"/>
      <c r="D425" s="27" t="n"/>
      <c r="E425" s="27" t="n"/>
      <c r="F425" s="27" t="n"/>
      <c r="G425" s="27" t="n"/>
      <c r="H425" s="62" t="n"/>
      <c r="I425" s="31" t="n"/>
      <c r="J425" s="31" t="n"/>
      <c r="K425" s="31" t="n"/>
      <c r="L425" s="31" t="n"/>
      <c r="M425" s="1" t="n"/>
    </row>
    <row r="426">
      <c r="A426" s="1" t="n"/>
      <c r="B426" s="24" t="n">
        <v>420</v>
      </c>
      <c r="C426" s="61" t="n"/>
      <c r="D426" s="27" t="n"/>
      <c r="E426" s="27" t="n"/>
      <c r="F426" s="27" t="n"/>
      <c r="G426" s="27" t="n"/>
      <c r="H426" s="62" t="n"/>
      <c r="I426" s="31" t="n"/>
      <c r="J426" s="31" t="n"/>
      <c r="K426" s="31" t="n"/>
      <c r="L426" s="31" t="n"/>
      <c r="M426" s="1" t="n"/>
    </row>
    <row r="427">
      <c r="A427" s="1" t="n"/>
      <c r="B427" s="24" t="n">
        <v>421</v>
      </c>
      <c r="C427" s="61" t="n"/>
      <c r="D427" s="27" t="n"/>
      <c r="E427" s="27" t="n"/>
      <c r="F427" s="27" t="n"/>
      <c r="G427" s="27" t="n"/>
      <c r="H427" s="62" t="n"/>
      <c r="I427" s="31" t="n"/>
      <c r="J427" s="31" t="n"/>
      <c r="K427" s="31" t="n"/>
      <c r="L427" s="31" t="n"/>
      <c r="M427" s="1" t="n"/>
    </row>
    <row r="428">
      <c r="A428" s="1" t="n"/>
      <c r="B428" s="24" t="n">
        <v>422</v>
      </c>
      <c r="C428" s="61" t="n"/>
      <c r="D428" s="27" t="n"/>
      <c r="E428" s="27" t="n"/>
      <c r="F428" s="27" t="n"/>
      <c r="G428" s="27" t="n"/>
      <c r="H428" s="62" t="n"/>
      <c r="I428" s="31" t="n"/>
      <c r="J428" s="31" t="n"/>
      <c r="K428" s="31" t="n"/>
      <c r="L428" s="31" t="n"/>
      <c r="M428" s="1" t="n"/>
    </row>
    <row r="429">
      <c r="A429" s="1" t="n"/>
      <c r="B429" s="24" t="n">
        <v>423</v>
      </c>
      <c r="C429" s="61" t="n"/>
      <c r="D429" s="27" t="n"/>
      <c r="E429" s="27" t="n"/>
      <c r="F429" s="27" t="n"/>
      <c r="G429" s="27" t="n"/>
      <c r="H429" s="62" t="n"/>
      <c r="I429" s="31" t="n"/>
      <c r="J429" s="31" t="n"/>
      <c r="K429" s="31" t="n"/>
      <c r="L429" s="31" t="n"/>
      <c r="M429" s="1" t="n"/>
    </row>
    <row r="430">
      <c r="A430" s="1" t="n"/>
      <c r="B430" s="24" t="n">
        <v>424</v>
      </c>
      <c r="C430" s="61" t="n"/>
      <c r="D430" s="27" t="n"/>
      <c r="E430" s="27" t="n"/>
      <c r="F430" s="27" t="n"/>
      <c r="G430" s="27" t="n"/>
      <c r="H430" s="62" t="n"/>
      <c r="I430" s="31" t="n"/>
      <c r="J430" s="31" t="n"/>
      <c r="K430" s="31" t="n"/>
      <c r="L430" s="31" t="n"/>
      <c r="M430" s="1" t="n"/>
    </row>
    <row r="431">
      <c r="A431" s="1" t="n"/>
      <c r="B431" s="24" t="n">
        <v>425</v>
      </c>
      <c r="C431" s="61" t="n"/>
      <c r="D431" s="27" t="n"/>
      <c r="E431" s="27" t="n"/>
      <c r="F431" s="27" t="n"/>
      <c r="G431" s="27" t="n"/>
      <c r="H431" s="62" t="n"/>
      <c r="I431" s="31" t="n"/>
      <c r="J431" s="31" t="n"/>
      <c r="K431" s="31" t="n"/>
      <c r="L431" s="31" t="n"/>
      <c r="M431" s="1" t="n"/>
    </row>
    <row r="432">
      <c r="A432" s="1" t="n"/>
      <c r="B432" s="24" t="n">
        <v>426</v>
      </c>
      <c r="C432" s="61" t="n"/>
      <c r="D432" s="27" t="n"/>
      <c r="E432" s="27" t="n"/>
      <c r="F432" s="27" t="n"/>
      <c r="G432" s="27" t="n"/>
      <c r="H432" s="62" t="n"/>
      <c r="I432" s="31" t="n"/>
      <c r="J432" s="31" t="n"/>
      <c r="K432" s="31" t="n"/>
      <c r="L432" s="31" t="n"/>
      <c r="M432" s="1" t="n"/>
    </row>
    <row r="433">
      <c r="A433" s="1" t="n"/>
      <c r="B433" s="24" t="n">
        <v>427</v>
      </c>
      <c r="C433" s="61" t="n"/>
      <c r="D433" s="27" t="n"/>
      <c r="E433" s="27" t="n"/>
      <c r="F433" s="27" t="n"/>
      <c r="G433" s="27" t="n"/>
      <c r="H433" s="62" t="n"/>
      <c r="I433" s="31" t="n"/>
      <c r="J433" s="31" t="n"/>
      <c r="K433" s="31" t="n"/>
      <c r="L433" s="31" t="n"/>
      <c r="M433" s="1" t="n"/>
    </row>
    <row r="434">
      <c r="A434" s="1" t="n"/>
      <c r="B434" s="24" t="n">
        <v>428</v>
      </c>
      <c r="C434" s="61" t="n"/>
      <c r="D434" s="27" t="n"/>
      <c r="E434" s="27" t="n"/>
      <c r="F434" s="27" t="n"/>
      <c r="G434" s="27" t="n"/>
      <c r="H434" s="62" t="n"/>
      <c r="I434" s="31" t="n"/>
      <c r="J434" s="31" t="n"/>
      <c r="K434" s="31" t="n"/>
      <c r="L434" s="31" t="n"/>
      <c r="M434" s="1" t="n"/>
    </row>
    <row r="435">
      <c r="A435" s="1" t="n"/>
      <c r="B435" s="24" t="n">
        <v>429</v>
      </c>
      <c r="C435" s="61" t="n"/>
      <c r="D435" s="27" t="n"/>
      <c r="E435" s="27" t="n"/>
      <c r="F435" s="27" t="n"/>
      <c r="G435" s="27" t="n"/>
      <c r="H435" s="62" t="n"/>
      <c r="I435" s="31" t="n"/>
      <c r="J435" s="31" t="n"/>
      <c r="K435" s="31" t="n"/>
      <c r="L435" s="31" t="n"/>
      <c r="M435" s="1" t="n"/>
    </row>
    <row r="436">
      <c r="A436" s="1" t="n"/>
      <c r="B436" s="24" t="n">
        <v>430</v>
      </c>
      <c r="C436" s="61" t="n"/>
      <c r="D436" s="27" t="n"/>
      <c r="E436" s="27" t="n"/>
      <c r="F436" s="27" t="n"/>
      <c r="G436" s="27" t="n"/>
      <c r="H436" s="62" t="n"/>
      <c r="I436" s="31" t="n"/>
      <c r="J436" s="31" t="n"/>
      <c r="K436" s="31" t="n"/>
      <c r="L436" s="31" t="n"/>
      <c r="M436" s="1" t="n"/>
    </row>
    <row r="437">
      <c r="A437" s="1" t="n"/>
      <c r="B437" s="24" t="n">
        <v>431</v>
      </c>
      <c r="C437" s="61" t="n"/>
      <c r="D437" s="27" t="n"/>
      <c r="E437" s="27" t="n"/>
      <c r="F437" s="27" t="n"/>
      <c r="G437" s="27" t="n"/>
      <c r="H437" s="62" t="n"/>
      <c r="I437" s="31" t="n"/>
      <c r="J437" s="31" t="n"/>
      <c r="K437" s="31" t="n"/>
      <c r="L437" s="31" t="n"/>
      <c r="M437" s="1" t="n"/>
    </row>
    <row r="438">
      <c r="A438" s="1" t="n"/>
      <c r="B438" s="24" t="n">
        <v>432</v>
      </c>
      <c r="C438" s="61" t="n"/>
      <c r="D438" s="27" t="n"/>
      <c r="E438" s="27" t="n"/>
      <c r="F438" s="27" t="n"/>
      <c r="G438" s="27" t="n"/>
      <c r="H438" s="62" t="n"/>
      <c r="I438" s="31" t="n"/>
      <c r="J438" s="31" t="n"/>
      <c r="K438" s="31" t="n"/>
      <c r="L438" s="31" t="n"/>
      <c r="M438" s="1" t="n"/>
    </row>
    <row r="439">
      <c r="A439" s="1" t="n"/>
      <c r="B439" s="24" t="n">
        <v>433</v>
      </c>
      <c r="C439" s="61" t="n"/>
      <c r="D439" s="27" t="n"/>
      <c r="E439" s="27" t="n"/>
      <c r="F439" s="27" t="n"/>
      <c r="G439" s="27" t="n"/>
      <c r="H439" s="62" t="n"/>
      <c r="I439" s="31" t="n"/>
      <c r="J439" s="31" t="n"/>
      <c r="K439" s="31" t="n"/>
      <c r="L439" s="31" t="n"/>
      <c r="M439" s="1" t="n"/>
    </row>
    <row r="440">
      <c r="A440" s="1" t="n"/>
      <c r="B440" s="24" t="n">
        <v>434</v>
      </c>
      <c r="C440" s="61" t="n"/>
      <c r="D440" s="27" t="n"/>
      <c r="E440" s="27" t="n"/>
      <c r="F440" s="27" t="n"/>
      <c r="G440" s="27" t="n"/>
      <c r="H440" s="62" t="n"/>
      <c r="I440" s="31" t="n"/>
      <c r="J440" s="31" t="n"/>
      <c r="K440" s="31" t="n"/>
      <c r="L440" s="31" t="n"/>
      <c r="M440" s="1" t="n"/>
    </row>
    <row r="441">
      <c r="A441" s="1" t="n"/>
      <c r="B441" s="24" t="n">
        <v>435</v>
      </c>
      <c r="C441" s="61" t="n"/>
      <c r="D441" s="27" t="n"/>
      <c r="E441" s="27" t="n"/>
      <c r="F441" s="27" t="n"/>
      <c r="G441" s="27" t="n"/>
      <c r="H441" s="62" t="n"/>
      <c r="I441" s="31" t="n"/>
      <c r="J441" s="31" t="n"/>
      <c r="K441" s="31" t="n"/>
      <c r="L441" s="31" t="n"/>
      <c r="M441" s="1" t="n"/>
    </row>
    <row r="442">
      <c r="A442" s="1" t="n"/>
      <c r="B442" s="24" t="n">
        <v>436</v>
      </c>
      <c r="C442" s="61" t="n"/>
      <c r="D442" s="27" t="n"/>
      <c r="E442" s="27" t="n"/>
      <c r="F442" s="27" t="n"/>
      <c r="G442" s="27" t="n"/>
      <c r="H442" s="62" t="n"/>
      <c r="I442" s="31" t="n"/>
      <c r="J442" s="31" t="n"/>
      <c r="K442" s="31" t="n"/>
      <c r="L442" s="31" t="n"/>
      <c r="M442" s="1" t="n"/>
    </row>
    <row r="443">
      <c r="A443" s="1" t="n"/>
      <c r="B443" s="24" t="n">
        <v>437</v>
      </c>
      <c r="C443" s="61" t="n"/>
      <c r="D443" s="27" t="n"/>
      <c r="E443" s="27" t="n"/>
      <c r="F443" s="27" t="n"/>
      <c r="G443" s="27" t="n"/>
      <c r="H443" s="62" t="n"/>
      <c r="I443" s="31" t="n"/>
      <c r="J443" s="31" t="n"/>
      <c r="K443" s="31" t="n"/>
      <c r="L443" s="31" t="n"/>
      <c r="M443" s="1" t="n"/>
    </row>
    <row r="444">
      <c r="A444" s="1" t="n"/>
      <c r="B444" s="24" t="n">
        <v>438</v>
      </c>
      <c r="C444" s="61" t="n"/>
      <c r="D444" s="27" t="n"/>
      <c r="E444" s="27" t="n"/>
      <c r="F444" s="27" t="n"/>
      <c r="G444" s="27" t="n"/>
      <c r="H444" s="62" t="n"/>
      <c r="I444" s="31" t="n"/>
      <c r="J444" s="31" t="n"/>
      <c r="K444" s="31" t="n"/>
      <c r="L444" s="31" t="n"/>
      <c r="M444" s="1" t="n"/>
    </row>
    <row r="445">
      <c r="A445" s="1" t="n"/>
      <c r="B445" s="24" t="n">
        <v>439</v>
      </c>
      <c r="C445" s="61" t="n"/>
      <c r="D445" s="27" t="n"/>
      <c r="E445" s="27" t="n"/>
      <c r="F445" s="27" t="n"/>
      <c r="G445" s="27" t="n"/>
      <c r="H445" s="62" t="n"/>
      <c r="I445" s="31" t="n"/>
      <c r="J445" s="31" t="n"/>
      <c r="K445" s="31" t="n"/>
      <c r="L445" s="31" t="n"/>
      <c r="M445" s="1" t="n"/>
    </row>
    <row r="446">
      <c r="A446" s="1" t="n"/>
      <c r="B446" s="24" t="n">
        <v>440</v>
      </c>
      <c r="C446" s="61" t="n"/>
      <c r="D446" s="27" t="n"/>
      <c r="E446" s="27" t="n"/>
      <c r="F446" s="27" t="n"/>
      <c r="G446" s="27" t="n"/>
      <c r="H446" s="62" t="n"/>
      <c r="I446" s="31" t="n"/>
      <c r="J446" s="31" t="n"/>
      <c r="K446" s="31" t="n"/>
      <c r="L446" s="31" t="n"/>
      <c r="M446" s="1" t="n"/>
    </row>
    <row r="447">
      <c r="A447" s="1" t="n"/>
      <c r="B447" s="24" t="n">
        <v>441</v>
      </c>
      <c r="C447" s="61" t="n"/>
      <c r="D447" s="27" t="n"/>
      <c r="E447" s="27" t="n"/>
      <c r="F447" s="27" t="n"/>
      <c r="G447" s="27" t="n"/>
      <c r="H447" s="62" t="n"/>
      <c r="I447" s="31" t="n"/>
      <c r="J447" s="31" t="n"/>
      <c r="K447" s="31" t="n"/>
      <c r="L447" s="31" t="n"/>
      <c r="M447" s="1" t="n"/>
    </row>
    <row r="448">
      <c r="A448" s="1" t="n"/>
      <c r="B448" s="24" t="n">
        <v>442</v>
      </c>
      <c r="C448" s="61" t="n"/>
      <c r="D448" s="27" t="n"/>
      <c r="E448" s="27" t="n"/>
      <c r="F448" s="27" t="n"/>
      <c r="G448" s="27" t="n"/>
      <c r="H448" s="62" t="n"/>
      <c r="I448" s="31" t="n"/>
      <c r="J448" s="31" t="n"/>
      <c r="K448" s="31" t="n"/>
      <c r="L448" s="31" t="n"/>
      <c r="M448" s="1" t="n"/>
    </row>
    <row r="449">
      <c r="A449" s="1" t="n"/>
      <c r="B449" s="24" t="n">
        <v>443</v>
      </c>
      <c r="C449" s="61" t="n"/>
      <c r="D449" s="27" t="n"/>
      <c r="E449" s="27" t="n"/>
      <c r="F449" s="27" t="n"/>
      <c r="G449" s="27" t="n"/>
      <c r="H449" s="62" t="n"/>
      <c r="I449" s="31" t="n"/>
      <c r="J449" s="31" t="n"/>
      <c r="K449" s="31" t="n"/>
      <c r="L449" s="31" t="n"/>
      <c r="M449" s="1" t="n"/>
    </row>
    <row r="450">
      <c r="A450" s="1" t="n"/>
      <c r="B450" s="24" t="n">
        <v>444</v>
      </c>
      <c r="C450" s="61" t="n"/>
      <c r="D450" s="27" t="n"/>
      <c r="E450" s="27" t="n"/>
      <c r="F450" s="27" t="n"/>
      <c r="G450" s="27" t="n"/>
      <c r="H450" s="62" t="n"/>
      <c r="I450" s="31" t="n"/>
      <c r="J450" s="31" t="n"/>
      <c r="K450" s="31" t="n"/>
      <c r="L450" s="31" t="n"/>
      <c r="M450" s="1" t="n"/>
    </row>
    <row r="451">
      <c r="A451" s="1" t="n"/>
      <c r="B451" s="24" t="n">
        <v>445</v>
      </c>
      <c r="C451" s="61" t="n"/>
      <c r="D451" s="27" t="n"/>
      <c r="E451" s="27" t="n"/>
      <c r="F451" s="27" t="n"/>
      <c r="G451" s="27" t="n"/>
      <c r="H451" s="62" t="n"/>
      <c r="I451" s="31" t="n"/>
      <c r="J451" s="31" t="n"/>
      <c r="K451" s="31" t="n"/>
      <c r="L451" s="31" t="n"/>
      <c r="M451" s="1" t="n"/>
    </row>
    <row r="452">
      <c r="A452" s="1" t="n"/>
      <c r="B452" s="24" t="n">
        <v>446</v>
      </c>
      <c r="C452" s="61" t="n"/>
      <c r="D452" s="27" t="n"/>
      <c r="E452" s="27" t="n"/>
      <c r="F452" s="27" t="n"/>
      <c r="G452" s="27" t="n"/>
      <c r="H452" s="62" t="n"/>
      <c r="I452" s="31" t="n"/>
      <c r="J452" s="31" t="n"/>
      <c r="K452" s="31" t="n"/>
      <c r="L452" s="31" t="n"/>
      <c r="M452" s="1" t="n"/>
    </row>
    <row r="453">
      <c r="A453" s="1" t="n"/>
      <c r="B453" s="24" t="n">
        <v>447</v>
      </c>
      <c r="C453" s="61" t="n"/>
      <c r="D453" s="27" t="n"/>
      <c r="E453" s="27" t="n"/>
      <c r="F453" s="27" t="n"/>
      <c r="G453" s="27" t="n"/>
      <c r="H453" s="62" t="n"/>
      <c r="I453" s="31" t="n"/>
      <c r="J453" s="31" t="n"/>
      <c r="K453" s="31" t="n"/>
      <c r="L453" s="31" t="n"/>
      <c r="M453" s="1" t="n"/>
    </row>
    <row r="454">
      <c r="A454" s="1" t="n"/>
      <c r="B454" s="24" t="n">
        <v>448</v>
      </c>
      <c r="C454" s="61" t="n"/>
      <c r="D454" s="27" t="n"/>
      <c r="E454" s="27" t="n"/>
      <c r="F454" s="27" t="n"/>
      <c r="G454" s="27" t="n"/>
      <c r="H454" s="62" t="n"/>
      <c r="I454" s="31" t="n"/>
      <c r="J454" s="31" t="n"/>
      <c r="K454" s="31" t="n"/>
      <c r="L454" s="31" t="n"/>
      <c r="M454" s="1" t="n"/>
    </row>
    <row r="455">
      <c r="A455" s="1" t="n"/>
      <c r="B455" s="24" t="n">
        <v>449</v>
      </c>
      <c r="C455" s="61" t="n"/>
      <c r="D455" s="27" t="n"/>
      <c r="E455" s="27" t="n"/>
      <c r="F455" s="27" t="n"/>
      <c r="G455" s="27" t="n"/>
      <c r="H455" s="62" t="n"/>
      <c r="I455" s="31" t="n"/>
      <c r="J455" s="31" t="n"/>
      <c r="K455" s="31" t="n"/>
      <c r="L455" s="31" t="n"/>
      <c r="M455" s="1" t="n"/>
    </row>
    <row r="456">
      <c r="A456" s="1" t="n"/>
      <c r="B456" s="24" t="n">
        <v>450</v>
      </c>
      <c r="C456" s="61" t="n"/>
      <c r="D456" s="27" t="n"/>
      <c r="E456" s="27" t="n"/>
      <c r="F456" s="27" t="n"/>
      <c r="G456" s="27" t="n"/>
      <c r="H456" s="62" t="n"/>
      <c r="I456" s="31" t="n"/>
      <c r="J456" s="31" t="n"/>
      <c r="K456" s="31" t="n"/>
      <c r="L456" s="31" t="n"/>
      <c r="M456" s="1" t="n"/>
    </row>
    <row r="457">
      <c r="A457" s="1" t="n"/>
      <c r="B457" s="24" t="n">
        <v>451</v>
      </c>
      <c r="C457" s="61" t="n"/>
      <c r="D457" s="27" t="n"/>
      <c r="E457" s="27" t="n"/>
      <c r="F457" s="27" t="n"/>
      <c r="G457" s="27" t="n"/>
      <c r="H457" s="62" t="n"/>
      <c r="I457" s="31" t="n"/>
      <c r="J457" s="31" t="n"/>
      <c r="K457" s="31" t="n"/>
      <c r="L457" s="31" t="n"/>
      <c r="M457" s="1" t="n"/>
    </row>
    <row r="458">
      <c r="A458" s="1" t="n"/>
      <c r="B458" s="24" t="n">
        <v>452</v>
      </c>
      <c r="C458" s="61" t="n"/>
      <c r="D458" s="27" t="n"/>
      <c r="E458" s="27" t="n"/>
      <c r="F458" s="27" t="n"/>
      <c r="G458" s="27" t="n"/>
      <c r="H458" s="62" t="n"/>
      <c r="I458" s="31" t="n"/>
      <c r="J458" s="31" t="n"/>
      <c r="K458" s="31" t="n"/>
      <c r="L458" s="31" t="n"/>
      <c r="M458" s="1" t="n"/>
    </row>
    <row r="459">
      <c r="A459" s="1" t="n"/>
      <c r="B459" s="24" t="n">
        <v>453</v>
      </c>
      <c r="C459" s="61" t="n"/>
      <c r="D459" s="27" t="n"/>
      <c r="E459" s="27" t="n"/>
      <c r="F459" s="27" t="n"/>
      <c r="G459" s="27" t="n"/>
      <c r="H459" s="62" t="n"/>
      <c r="I459" s="31" t="n"/>
      <c r="J459" s="31" t="n"/>
      <c r="K459" s="31" t="n"/>
      <c r="L459" s="31" t="n"/>
      <c r="M459" s="1" t="n"/>
    </row>
    <row r="460">
      <c r="A460" s="1" t="n"/>
      <c r="B460" s="24" t="n">
        <v>454</v>
      </c>
      <c r="C460" s="61" t="n"/>
      <c r="D460" s="27" t="n"/>
      <c r="E460" s="27" t="n"/>
      <c r="F460" s="27" t="n"/>
      <c r="G460" s="27" t="n"/>
      <c r="H460" s="62" t="n"/>
      <c r="I460" s="31" t="n"/>
      <c r="J460" s="31" t="n"/>
      <c r="K460" s="31" t="n"/>
      <c r="L460" s="31" t="n"/>
      <c r="M460" s="1" t="n"/>
    </row>
    <row r="461">
      <c r="A461" s="1" t="n"/>
      <c r="B461" s="24" t="n">
        <v>455</v>
      </c>
      <c r="C461" s="61" t="n"/>
      <c r="D461" s="27" t="n"/>
      <c r="E461" s="27" t="n"/>
      <c r="F461" s="27" t="n"/>
      <c r="G461" s="27" t="n"/>
      <c r="H461" s="62" t="n"/>
      <c r="I461" s="31" t="n"/>
      <c r="J461" s="31" t="n"/>
      <c r="K461" s="31" t="n"/>
      <c r="L461" s="31" t="n"/>
      <c r="M461" s="1" t="n"/>
    </row>
    <row r="462">
      <c r="A462" s="1" t="n"/>
      <c r="B462" s="24" t="n">
        <v>456</v>
      </c>
      <c r="C462" s="61" t="n"/>
      <c r="D462" s="27" t="n"/>
      <c r="E462" s="27" t="n"/>
      <c r="F462" s="27" t="n"/>
      <c r="G462" s="27" t="n"/>
      <c r="H462" s="62" t="n"/>
      <c r="I462" s="31" t="n"/>
      <c r="J462" s="31" t="n"/>
      <c r="K462" s="31" t="n"/>
      <c r="L462" s="31" t="n"/>
      <c r="M462" s="1" t="n"/>
    </row>
    <row r="463">
      <c r="A463" s="1" t="n"/>
      <c r="B463" s="24" t="n">
        <v>457</v>
      </c>
      <c r="C463" s="61" t="n"/>
      <c r="D463" s="27" t="n"/>
      <c r="E463" s="27" t="n"/>
      <c r="F463" s="27" t="n"/>
      <c r="G463" s="27" t="n"/>
      <c r="H463" s="62" t="n"/>
      <c r="I463" s="31" t="n"/>
      <c r="J463" s="31" t="n"/>
      <c r="K463" s="31" t="n"/>
      <c r="L463" s="31" t="n"/>
      <c r="M463" s="1" t="n"/>
    </row>
    <row r="464">
      <c r="A464" s="1" t="n"/>
      <c r="B464" s="24" t="n">
        <v>458</v>
      </c>
      <c r="C464" s="61" t="n"/>
      <c r="D464" s="27" t="n"/>
      <c r="E464" s="27" t="n"/>
      <c r="F464" s="27" t="n"/>
      <c r="G464" s="27" t="n"/>
      <c r="H464" s="62" t="n"/>
      <c r="I464" s="31" t="n"/>
      <c r="J464" s="31" t="n"/>
      <c r="K464" s="31" t="n"/>
      <c r="L464" s="31" t="n"/>
      <c r="M464" s="1" t="n"/>
    </row>
    <row r="465">
      <c r="A465" s="1" t="n"/>
      <c r="B465" s="24" t="n">
        <v>459</v>
      </c>
      <c r="C465" s="61" t="n"/>
      <c r="D465" s="27" t="n"/>
      <c r="E465" s="27" t="n"/>
      <c r="F465" s="27" t="n"/>
      <c r="G465" s="27" t="n"/>
      <c r="H465" s="62" t="n"/>
      <c r="I465" s="31" t="n"/>
      <c r="J465" s="31" t="n"/>
      <c r="K465" s="31" t="n"/>
      <c r="L465" s="31" t="n"/>
      <c r="M465" s="1" t="n"/>
    </row>
    <row r="466">
      <c r="A466" s="1" t="n"/>
      <c r="B466" s="24" t="n">
        <v>460</v>
      </c>
      <c r="C466" s="61" t="n"/>
      <c r="D466" s="27" t="n"/>
      <c r="E466" s="27" t="n"/>
      <c r="F466" s="27" t="n"/>
      <c r="G466" s="27" t="n"/>
      <c r="H466" s="62" t="n"/>
      <c r="I466" s="31" t="n"/>
      <c r="J466" s="31" t="n"/>
      <c r="K466" s="31" t="n"/>
      <c r="L466" s="31" t="n"/>
      <c r="M466" s="1" t="n"/>
    </row>
    <row r="467">
      <c r="A467" s="1" t="n"/>
      <c r="B467" s="24" t="n">
        <v>461</v>
      </c>
      <c r="C467" s="61" t="n"/>
      <c r="D467" s="27" t="n"/>
      <c r="E467" s="27" t="n"/>
      <c r="F467" s="27" t="n"/>
      <c r="G467" s="27" t="n"/>
      <c r="H467" s="62" t="n"/>
      <c r="I467" s="31" t="n"/>
      <c r="J467" s="31" t="n"/>
      <c r="K467" s="31" t="n"/>
      <c r="L467" s="31" t="n"/>
      <c r="M467" s="1" t="n"/>
    </row>
    <row r="468">
      <c r="A468" s="1" t="n"/>
      <c r="B468" s="24" t="n">
        <v>462</v>
      </c>
      <c r="C468" s="61" t="n"/>
      <c r="D468" s="27" t="n"/>
      <c r="E468" s="27" t="n"/>
      <c r="F468" s="27" t="n"/>
      <c r="G468" s="27" t="n"/>
      <c r="H468" s="62" t="n"/>
      <c r="I468" s="31" t="n"/>
      <c r="J468" s="31" t="n"/>
      <c r="K468" s="31" t="n"/>
      <c r="L468" s="31" t="n"/>
      <c r="M468" s="1" t="n"/>
    </row>
    <row r="469">
      <c r="A469" s="1" t="n"/>
      <c r="B469" s="24" t="n">
        <v>463</v>
      </c>
      <c r="C469" s="61" t="n"/>
      <c r="D469" s="27" t="n"/>
      <c r="E469" s="27" t="n"/>
      <c r="F469" s="27" t="n"/>
      <c r="G469" s="27" t="n"/>
      <c r="H469" s="62" t="n"/>
      <c r="I469" s="31" t="n"/>
      <c r="J469" s="31" t="n"/>
      <c r="K469" s="31" t="n"/>
      <c r="L469" s="31" t="n"/>
      <c r="M469" s="1" t="n"/>
    </row>
    <row r="470">
      <c r="A470" s="1" t="n"/>
      <c r="B470" s="24" t="n">
        <v>464</v>
      </c>
      <c r="C470" s="61" t="n"/>
      <c r="D470" s="27" t="n"/>
      <c r="E470" s="27" t="n"/>
      <c r="F470" s="27" t="n"/>
      <c r="G470" s="27" t="n"/>
      <c r="H470" s="62" t="n"/>
      <c r="I470" s="31" t="n"/>
      <c r="J470" s="31" t="n"/>
      <c r="K470" s="31" t="n"/>
      <c r="L470" s="31" t="n"/>
      <c r="M470" s="1" t="n"/>
    </row>
    <row r="471">
      <c r="A471" s="1" t="n"/>
      <c r="B471" s="24" t="n">
        <v>465</v>
      </c>
      <c r="C471" s="61" t="n"/>
      <c r="D471" s="27" t="n"/>
      <c r="E471" s="27" t="n"/>
      <c r="F471" s="27" t="n"/>
      <c r="G471" s="27" t="n"/>
      <c r="H471" s="62" t="n"/>
      <c r="I471" s="31" t="n"/>
      <c r="J471" s="31" t="n"/>
      <c r="K471" s="31" t="n"/>
      <c r="L471" s="31" t="n"/>
      <c r="M471" s="1" t="n"/>
    </row>
    <row r="472">
      <c r="A472" s="1" t="n"/>
      <c r="B472" s="24" t="n">
        <v>466</v>
      </c>
      <c r="C472" s="61" t="n"/>
      <c r="D472" s="27" t="n"/>
      <c r="E472" s="27" t="n"/>
      <c r="F472" s="27" t="n"/>
      <c r="G472" s="27" t="n"/>
      <c r="H472" s="62" t="n"/>
      <c r="I472" s="31" t="n"/>
      <c r="J472" s="31" t="n"/>
      <c r="K472" s="31" t="n"/>
      <c r="L472" s="31" t="n"/>
      <c r="M472" s="1" t="n"/>
    </row>
    <row r="473">
      <c r="A473" s="1" t="n"/>
      <c r="B473" s="24" t="n">
        <v>467</v>
      </c>
      <c r="C473" s="61" t="n"/>
      <c r="D473" s="27" t="n"/>
      <c r="E473" s="27" t="n"/>
      <c r="F473" s="27" t="n"/>
      <c r="G473" s="27" t="n"/>
      <c r="H473" s="62" t="n"/>
      <c r="I473" s="31" t="n"/>
      <c r="J473" s="31" t="n"/>
      <c r="K473" s="31" t="n"/>
      <c r="L473" s="31" t="n"/>
      <c r="M473" s="1" t="n"/>
    </row>
    <row r="474">
      <c r="A474" s="1" t="n"/>
      <c r="B474" s="24" t="n">
        <v>468</v>
      </c>
      <c r="C474" s="61" t="n"/>
      <c r="D474" s="27" t="n"/>
      <c r="E474" s="27" t="n"/>
      <c r="F474" s="27" t="n"/>
      <c r="G474" s="27" t="n"/>
      <c r="H474" s="62" t="n"/>
      <c r="I474" s="31" t="n"/>
      <c r="J474" s="31" t="n"/>
      <c r="K474" s="31" t="n"/>
      <c r="L474" s="31" t="n"/>
      <c r="M474" s="1" t="n"/>
    </row>
    <row r="475">
      <c r="A475" s="1" t="n"/>
      <c r="B475" s="24" t="n">
        <v>469</v>
      </c>
      <c r="C475" s="61" t="n"/>
      <c r="D475" s="27" t="n"/>
      <c r="E475" s="27" t="n"/>
      <c r="F475" s="27" t="n"/>
      <c r="G475" s="27" t="n"/>
      <c r="H475" s="62" t="n"/>
      <c r="I475" s="31" t="n"/>
      <c r="J475" s="31" t="n"/>
      <c r="K475" s="31" t="n"/>
      <c r="L475" s="31" t="n"/>
      <c r="M475" s="1" t="n"/>
    </row>
    <row r="476">
      <c r="A476" s="1" t="n"/>
      <c r="B476" s="24" t="n">
        <v>470</v>
      </c>
      <c r="C476" s="61" t="n"/>
      <c r="D476" s="27" t="n"/>
      <c r="E476" s="27" t="n"/>
      <c r="F476" s="27" t="n"/>
      <c r="G476" s="27" t="n"/>
      <c r="H476" s="62" t="n"/>
      <c r="I476" s="31" t="n"/>
      <c r="J476" s="31" t="n"/>
      <c r="K476" s="31" t="n"/>
      <c r="L476" s="31" t="n"/>
      <c r="M476" s="1" t="n"/>
    </row>
    <row r="477">
      <c r="A477" s="1" t="n"/>
      <c r="B477" s="24" t="n">
        <v>471</v>
      </c>
      <c r="C477" s="61" t="n"/>
      <c r="D477" s="27" t="n"/>
      <c r="E477" s="27" t="n"/>
      <c r="F477" s="27" t="n"/>
      <c r="G477" s="27" t="n"/>
      <c r="H477" s="62" t="n"/>
      <c r="I477" s="31" t="n"/>
      <c r="J477" s="31" t="n"/>
      <c r="K477" s="31" t="n"/>
      <c r="L477" s="31" t="n"/>
      <c r="M477" s="1" t="n"/>
    </row>
    <row r="478">
      <c r="A478" s="1" t="n"/>
      <c r="B478" s="24" t="n">
        <v>472</v>
      </c>
      <c r="C478" s="61" t="n"/>
      <c r="D478" s="27" t="n"/>
      <c r="E478" s="27" t="n"/>
      <c r="F478" s="27" t="n"/>
      <c r="G478" s="27" t="n"/>
      <c r="H478" s="62" t="n"/>
      <c r="I478" s="31" t="n"/>
      <c r="J478" s="31" t="n"/>
      <c r="K478" s="31" t="n"/>
      <c r="L478" s="31" t="n"/>
      <c r="M478" s="1" t="n"/>
    </row>
    <row r="479">
      <c r="A479" s="1" t="n"/>
      <c r="B479" s="24" t="n">
        <v>473</v>
      </c>
      <c r="C479" s="61" t="n"/>
      <c r="D479" s="27" t="n"/>
      <c r="E479" s="27" t="n"/>
      <c r="F479" s="27" t="n"/>
      <c r="G479" s="27" t="n"/>
      <c r="H479" s="62" t="n"/>
      <c r="I479" s="31" t="n"/>
      <c r="J479" s="31" t="n"/>
      <c r="K479" s="31" t="n"/>
      <c r="L479" s="31" t="n"/>
      <c r="M479" s="1" t="n"/>
    </row>
    <row r="480">
      <c r="A480" s="1" t="n"/>
      <c r="B480" s="24" t="n">
        <v>474</v>
      </c>
      <c r="C480" s="61" t="n"/>
      <c r="D480" s="27" t="n"/>
      <c r="E480" s="27" t="n"/>
      <c r="F480" s="27" t="n"/>
      <c r="G480" s="27" t="n"/>
      <c r="H480" s="62" t="n"/>
      <c r="I480" s="31" t="n"/>
      <c r="J480" s="31" t="n"/>
      <c r="K480" s="31" t="n"/>
      <c r="L480" s="31" t="n"/>
      <c r="M480" s="1" t="n"/>
    </row>
    <row r="481">
      <c r="A481" s="1" t="n"/>
      <c r="B481" s="24" t="n">
        <v>475</v>
      </c>
      <c r="C481" s="61" t="n"/>
      <c r="D481" s="27" t="n"/>
      <c r="E481" s="27" t="n"/>
      <c r="F481" s="27" t="n"/>
      <c r="G481" s="27" t="n"/>
      <c r="H481" s="62" t="n"/>
      <c r="I481" s="31" t="n"/>
      <c r="J481" s="31" t="n"/>
      <c r="K481" s="31" t="n"/>
      <c r="L481" s="31" t="n"/>
      <c r="M481" s="1" t="n"/>
    </row>
    <row r="482">
      <c r="A482" s="1" t="n"/>
      <c r="B482" s="24" t="n">
        <v>476</v>
      </c>
      <c r="C482" s="61" t="n"/>
      <c r="D482" s="27" t="n"/>
      <c r="E482" s="27" t="n"/>
      <c r="F482" s="27" t="n"/>
      <c r="G482" s="27" t="n"/>
      <c r="H482" s="62" t="n"/>
      <c r="I482" s="31" t="n"/>
      <c r="J482" s="31" t="n"/>
      <c r="K482" s="31" t="n"/>
      <c r="L482" s="31" t="n"/>
      <c r="M482" s="1" t="n"/>
    </row>
    <row r="483">
      <c r="A483" s="1" t="n"/>
      <c r="B483" s="24" t="n">
        <v>477</v>
      </c>
      <c r="C483" s="61" t="n"/>
      <c r="D483" s="27" t="n"/>
      <c r="E483" s="27" t="n"/>
      <c r="F483" s="27" t="n"/>
      <c r="G483" s="27" t="n"/>
      <c r="H483" s="62" t="n"/>
      <c r="I483" s="31" t="n"/>
      <c r="J483" s="31" t="n"/>
      <c r="K483" s="31" t="n"/>
      <c r="L483" s="31" t="n"/>
      <c r="M483" s="1" t="n"/>
    </row>
    <row r="484">
      <c r="A484" s="1" t="n"/>
      <c r="B484" s="24" t="n">
        <v>478</v>
      </c>
      <c r="C484" s="61" t="n"/>
      <c r="D484" s="27" t="n"/>
      <c r="E484" s="27" t="n"/>
      <c r="F484" s="27" t="n"/>
      <c r="G484" s="27" t="n"/>
      <c r="H484" s="62" t="n"/>
      <c r="I484" s="31" t="n"/>
      <c r="J484" s="31" t="n"/>
      <c r="K484" s="31" t="n"/>
      <c r="L484" s="31" t="n"/>
      <c r="M484" s="1" t="n"/>
    </row>
    <row r="485">
      <c r="A485" s="1" t="n"/>
      <c r="B485" s="24" t="n">
        <v>479</v>
      </c>
      <c r="C485" s="61" t="n"/>
      <c r="D485" s="27" t="n"/>
      <c r="E485" s="27" t="n"/>
      <c r="F485" s="27" t="n"/>
      <c r="G485" s="27" t="n"/>
      <c r="H485" s="62" t="n"/>
      <c r="I485" s="31" t="n"/>
      <c r="J485" s="31" t="n"/>
      <c r="K485" s="31" t="n"/>
      <c r="L485" s="31" t="n"/>
      <c r="M485" s="1" t="n"/>
    </row>
    <row r="486">
      <c r="A486" s="1" t="n"/>
      <c r="B486" s="24" t="n">
        <v>480</v>
      </c>
      <c r="C486" s="61" t="n"/>
      <c r="D486" s="27" t="n"/>
      <c r="E486" s="27" t="n"/>
      <c r="F486" s="27" t="n"/>
      <c r="G486" s="27" t="n"/>
      <c r="H486" s="62" t="n"/>
      <c r="I486" s="31" t="n"/>
      <c r="J486" s="31" t="n"/>
      <c r="K486" s="31" t="n"/>
      <c r="L486" s="31" t="n"/>
      <c r="M486" s="1" t="n"/>
    </row>
    <row r="487">
      <c r="A487" s="1" t="n"/>
      <c r="B487" s="24" t="n">
        <v>481</v>
      </c>
      <c r="C487" s="61" t="n"/>
      <c r="D487" s="27" t="n"/>
      <c r="E487" s="27" t="n"/>
      <c r="F487" s="27" t="n"/>
      <c r="G487" s="27" t="n"/>
      <c r="H487" s="62" t="n"/>
      <c r="I487" s="31" t="n"/>
      <c r="J487" s="31" t="n"/>
      <c r="K487" s="31" t="n"/>
      <c r="L487" s="31" t="n"/>
      <c r="M487" s="1" t="n"/>
    </row>
    <row r="488">
      <c r="A488" s="1" t="n"/>
      <c r="B488" s="24" t="n">
        <v>482</v>
      </c>
      <c r="C488" s="61" t="n"/>
      <c r="D488" s="27" t="n"/>
      <c r="E488" s="27" t="n"/>
      <c r="F488" s="27" t="n"/>
      <c r="G488" s="27" t="n"/>
      <c r="H488" s="62" t="n"/>
      <c r="I488" s="31" t="n"/>
      <c r="J488" s="31" t="n"/>
      <c r="K488" s="31" t="n"/>
      <c r="L488" s="31" t="n"/>
      <c r="M488" s="1" t="n"/>
    </row>
    <row r="489">
      <c r="A489" s="1" t="n"/>
      <c r="B489" s="24" t="n">
        <v>483</v>
      </c>
      <c r="C489" s="61" t="n"/>
      <c r="D489" s="27" t="n"/>
      <c r="E489" s="27" t="n"/>
      <c r="F489" s="27" t="n"/>
      <c r="G489" s="27" t="n"/>
      <c r="H489" s="62" t="n"/>
      <c r="I489" s="31" t="n"/>
      <c r="J489" s="31" t="n"/>
      <c r="K489" s="31" t="n"/>
      <c r="L489" s="31" t="n"/>
      <c r="M489" s="1" t="n"/>
    </row>
    <row r="490">
      <c r="A490" s="1" t="n"/>
      <c r="B490" s="24" t="n">
        <v>484</v>
      </c>
      <c r="C490" s="61" t="n"/>
      <c r="D490" s="27" t="n"/>
      <c r="E490" s="27" t="n"/>
      <c r="F490" s="27" t="n"/>
      <c r="G490" s="27" t="n"/>
      <c r="H490" s="62" t="n"/>
      <c r="I490" s="31" t="n"/>
      <c r="J490" s="31" t="n"/>
      <c r="K490" s="31" t="n"/>
      <c r="L490" s="31" t="n"/>
      <c r="M490" s="1" t="n"/>
    </row>
    <row r="491">
      <c r="A491" s="1" t="n"/>
      <c r="B491" s="24" t="n">
        <v>485</v>
      </c>
      <c r="C491" s="61" t="n"/>
      <c r="D491" s="27" t="n"/>
      <c r="E491" s="27" t="n"/>
      <c r="F491" s="27" t="n"/>
      <c r="G491" s="27" t="n"/>
      <c r="H491" s="62" t="n"/>
      <c r="I491" s="31" t="n"/>
      <c r="J491" s="31" t="n"/>
      <c r="K491" s="31" t="n"/>
      <c r="L491" s="31" t="n"/>
      <c r="M491" s="1" t="n"/>
    </row>
    <row r="492">
      <c r="A492" s="1" t="n"/>
      <c r="B492" s="24" t="n">
        <v>486</v>
      </c>
      <c r="C492" s="61" t="n"/>
      <c r="D492" s="27" t="n"/>
      <c r="E492" s="27" t="n"/>
      <c r="F492" s="27" t="n"/>
      <c r="G492" s="27" t="n"/>
      <c r="H492" s="62" t="n"/>
      <c r="I492" s="31" t="n"/>
      <c r="J492" s="31" t="n"/>
      <c r="K492" s="31" t="n"/>
      <c r="L492" s="31" t="n"/>
      <c r="M492" s="1" t="n"/>
    </row>
    <row r="493">
      <c r="A493" s="1" t="n"/>
      <c r="B493" s="24" t="n">
        <v>487</v>
      </c>
      <c r="C493" s="61" t="n"/>
      <c r="D493" s="27" t="n"/>
      <c r="E493" s="27" t="n"/>
      <c r="F493" s="27" t="n"/>
      <c r="G493" s="27" t="n"/>
      <c r="H493" s="62" t="n"/>
      <c r="I493" s="31" t="n"/>
      <c r="J493" s="31" t="n"/>
      <c r="K493" s="31" t="n"/>
      <c r="L493" s="31" t="n"/>
      <c r="M493" s="1" t="n"/>
    </row>
    <row r="494">
      <c r="A494" s="1" t="n"/>
      <c r="B494" s="24" t="n">
        <v>488</v>
      </c>
      <c r="C494" s="61" t="n"/>
      <c r="D494" s="27" t="n"/>
      <c r="E494" s="27" t="n"/>
      <c r="F494" s="27" t="n"/>
      <c r="G494" s="27" t="n"/>
      <c r="H494" s="62" t="n"/>
      <c r="I494" s="31" t="n"/>
      <c r="J494" s="31" t="n"/>
      <c r="K494" s="31" t="n"/>
      <c r="L494" s="31" t="n"/>
      <c r="M494" s="1" t="n"/>
    </row>
    <row r="495">
      <c r="A495" s="1" t="n"/>
      <c r="B495" s="24" t="n">
        <v>489</v>
      </c>
      <c r="C495" s="61" t="n"/>
      <c r="D495" s="27" t="n"/>
      <c r="E495" s="27" t="n"/>
      <c r="F495" s="27" t="n"/>
      <c r="G495" s="27" t="n"/>
      <c r="H495" s="62" t="n"/>
      <c r="I495" s="31" t="n"/>
      <c r="J495" s="31" t="n"/>
      <c r="K495" s="31" t="n"/>
      <c r="L495" s="31" t="n"/>
      <c r="M495" s="1" t="n"/>
    </row>
    <row r="496">
      <c r="A496" s="1" t="n"/>
      <c r="B496" s="24" t="n">
        <v>490</v>
      </c>
      <c r="C496" s="61" t="n"/>
      <c r="D496" s="27" t="n"/>
      <c r="E496" s="27" t="n"/>
      <c r="F496" s="27" t="n"/>
      <c r="G496" s="27" t="n"/>
      <c r="H496" s="62" t="n"/>
      <c r="I496" s="31" t="n"/>
      <c r="J496" s="31" t="n"/>
      <c r="K496" s="31" t="n"/>
      <c r="L496" s="31" t="n"/>
      <c r="M496" s="1" t="n"/>
    </row>
    <row r="497">
      <c r="A497" s="1" t="n"/>
      <c r="B497" s="24" t="n">
        <v>491</v>
      </c>
      <c r="C497" s="61" t="n"/>
      <c r="D497" s="27" t="n"/>
      <c r="E497" s="27" t="n"/>
      <c r="F497" s="27" t="n"/>
      <c r="G497" s="27" t="n"/>
      <c r="H497" s="62" t="n"/>
      <c r="I497" s="31" t="n"/>
      <c r="J497" s="31" t="n"/>
      <c r="K497" s="31" t="n"/>
      <c r="L497" s="31" t="n"/>
      <c r="M497" s="1" t="n"/>
    </row>
    <row r="498">
      <c r="A498" s="1" t="n"/>
      <c r="B498" s="24" t="n">
        <v>492</v>
      </c>
      <c r="C498" s="61" t="n"/>
      <c r="D498" s="27" t="n"/>
      <c r="E498" s="27" t="n"/>
      <c r="F498" s="27" t="n"/>
      <c r="G498" s="27" t="n"/>
      <c r="H498" s="62" t="n"/>
      <c r="I498" s="31" t="n"/>
      <c r="J498" s="31" t="n"/>
      <c r="K498" s="31" t="n"/>
      <c r="L498" s="31" t="n"/>
      <c r="M498" s="1" t="n"/>
    </row>
    <row r="499">
      <c r="A499" s="1" t="n"/>
      <c r="B499" s="24" t="n">
        <v>493</v>
      </c>
      <c r="C499" s="61" t="n"/>
      <c r="D499" s="27" t="n"/>
      <c r="E499" s="27" t="n"/>
      <c r="F499" s="27" t="n"/>
      <c r="G499" s="27" t="n"/>
      <c r="H499" s="62" t="n"/>
      <c r="I499" s="31" t="n"/>
      <c r="J499" s="31" t="n"/>
      <c r="K499" s="31" t="n"/>
      <c r="L499" s="31" t="n"/>
      <c r="M499" s="1" t="n"/>
    </row>
    <row r="500">
      <c r="A500" s="1" t="n"/>
      <c r="B500" s="24" t="n">
        <v>494</v>
      </c>
      <c r="C500" s="61" t="n"/>
      <c r="D500" s="27" t="n"/>
      <c r="E500" s="27" t="n"/>
      <c r="F500" s="27" t="n"/>
      <c r="G500" s="27" t="n"/>
      <c r="H500" s="62" t="n"/>
      <c r="I500" s="31" t="n"/>
      <c r="J500" s="31" t="n"/>
      <c r="K500" s="31" t="n"/>
      <c r="L500" s="31" t="n"/>
      <c r="M500" s="1" t="n"/>
    </row>
    <row r="501">
      <c r="A501" s="1" t="n"/>
      <c r="B501" s="24" t="n">
        <v>495</v>
      </c>
      <c r="C501" s="61" t="n"/>
      <c r="D501" s="27" t="n"/>
      <c r="E501" s="27" t="n"/>
      <c r="F501" s="27" t="n"/>
      <c r="G501" s="27" t="n"/>
      <c r="H501" s="62" t="n"/>
      <c r="I501" s="31" t="n"/>
      <c r="J501" s="31" t="n"/>
      <c r="K501" s="31" t="n"/>
      <c r="L501" s="31" t="n"/>
      <c r="M501" s="1" t="n"/>
    </row>
    <row r="502">
      <c r="A502" s="1" t="n"/>
      <c r="B502" s="24" t="n">
        <v>496</v>
      </c>
      <c r="C502" s="61" t="n"/>
      <c r="D502" s="27" t="n"/>
      <c r="E502" s="27" t="n"/>
      <c r="F502" s="27" t="n"/>
      <c r="G502" s="27" t="n"/>
      <c r="H502" s="62" t="n"/>
      <c r="I502" s="31" t="n"/>
      <c r="J502" s="31" t="n"/>
      <c r="K502" s="31" t="n"/>
      <c r="L502" s="31" t="n"/>
      <c r="M502" s="1" t="n"/>
    </row>
    <row r="503">
      <c r="A503" s="1" t="n"/>
      <c r="B503" s="24" t="n">
        <v>497</v>
      </c>
      <c r="C503" s="61" t="n"/>
      <c r="D503" s="27" t="n"/>
      <c r="E503" s="27" t="n"/>
      <c r="F503" s="27" t="n"/>
      <c r="G503" s="27" t="n"/>
      <c r="H503" s="62" t="n"/>
      <c r="I503" s="31" t="n"/>
      <c r="J503" s="31" t="n"/>
      <c r="K503" s="31" t="n"/>
      <c r="L503" s="31" t="n"/>
      <c r="M503" s="1" t="n"/>
    </row>
    <row r="504">
      <c r="A504" s="1" t="n"/>
      <c r="B504" s="24" t="n">
        <v>498</v>
      </c>
      <c r="C504" s="61" t="n"/>
      <c r="D504" s="27" t="n"/>
      <c r="E504" s="27" t="n"/>
      <c r="F504" s="27" t="n"/>
      <c r="G504" s="27" t="n"/>
      <c r="H504" s="62" t="n"/>
      <c r="I504" s="31" t="n"/>
      <c r="J504" s="31" t="n"/>
      <c r="K504" s="31" t="n"/>
      <c r="L504" s="31" t="n"/>
      <c r="M504" s="1" t="n"/>
    </row>
    <row r="505">
      <c r="A505" s="1" t="n"/>
      <c r="B505" s="24" t="n">
        <v>499</v>
      </c>
      <c r="C505" s="61" t="n"/>
      <c r="D505" s="27" t="n"/>
      <c r="E505" s="27" t="n"/>
      <c r="F505" s="27" t="n"/>
      <c r="G505" s="27" t="n"/>
      <c r="H505" s="62" t="n"/>
      <c r="I505" s="31" t="n"/>
      <c r="J505" s="31" t="n"/>
      <c r="K505" s="31" t="n"/>
      <c r="L505" s="31" t="n"/>
      <c r="M505" s="1" t="n"/>
    </row>
    <row r="506">
      <c r="A506" s="1" t="n"/>
      <c r="B506" s="24" t="n">
        <v>500</v>
      </c>
      <c r="C506" s="61" t="n"/>
      <c r="D506" s="27" t="n"/>
      <c r="E506" s="27" t="n"/>
      <c r="F506" s="27" t="n"/>
      <c r="G506" s="27" t="n"/>
      <c r="H506" s="62" t="n"/>
      <c r="I506" s="31" t="n"/>
      <c r="J506" s="31" t="n"/>
      <c r="K506" s="31" t="n"/>
      <c r="L506" s="31" t="n"/>
      <c r="M506" s="1" t="n"/>
    </row>
    <row r="507">
      <c r="A507" s="1" t="n"/>
      <c r="B507" s="24" t="n">
        <v>501</v>
      </c>
      <c r="C507" s="61" t="n"/>
      <c r="D507" s="27" t="n"/>
      <c r="E507" s="27" t="n"/>
      <c r="F507" s="27" t="n"/>
      <c r="G507" s="27" t="n"/>
      <c r="H507" s="62" t="n"/>
      <c r="I507" s="31" t="n"/>
      <c r="J507" s="31" t="n"/>
      <c r="K507" s="31" t="n"/>
      <c r="L507" s="31" t="n"/>
      <c r="M507" s="1" t="n"/>
    </row>
    <row r="508">
      <c r="A508" s="1" t="n"/>
      <c r="B508" s="24" t="n">
        <v>502</v>
      </c>
      <c r="C508" s="61" t="n"/>
      <c r="D508" s="27" t="n"/>
      <c r="E508" s="27" t="n"/>
      <c r="F508" s="27" t="n"/>
      <c r="G508" s="27" t="n"/>
      <c r="H508" s="62" t="n"/>
      <c r="I508" s="31" t="n"/>
      <c r="J508" s="31" t="n"/>
      <c r="K508" s="31" t="n"/>
      <c r="L508" s="31" t="n"/>
      <c r="M508" s="1" t="n"/>
    </row>
    <row r="509">
      <c r="A509" s="1" t="n"/>
      <c r="B509" s="24" t="n">
        <v>503</v>
      </c>
      <c r="C509" s="61" t="n"/>
      <c r="D509" s="27" t="n"/>
      <c r="E509" s="27" t="n"/>
      <c r="F509" s="27" t="n"/>
      <c r="G509" s="27" t="n"/>
      <c r="H509" s="62" t="n"/>
      <c r="I509" s="31" t="n"/>
      <c r="J509" s="31" t="n"/>
      <c r="K509" s="31" t="n"/>
      <c r="L509" s="31" t="n"/>
      <c r="M509" s="1" t="n"/>
    </row>
    <row r="510">
      <c r="A510" s="1" t="n"/>
      <c r="B510" s="24" t="n">
        <v>504</v>
      </c>
      <c r="C510" s="61" t="n"/>
      <c r="D510" s="27" t="n"/>
      <c r="E510" s="27" t="n"/>
      <c r="F510" s="27" t="n"/>
      <c r="G510" s="27" t="n"/>
      <c r="H510" s="62" t="n"/>
      <c r="I510" s="31" t="n"/>
      <c r="J510" s="31" t="n"/>
      <c r="K510" s="31" t="n"/>
      <c r="L510" s="31" t="n"/>
      <c r="M510" s="1" t="n"/>
    </row>
    <row r="511">
      <c r="A511" s="1" t="n"/>
      <c r="B511" s="24" t="n">
        <v>505</v>
      </c>
      <c r="C511" s="61" t="n"/>
      <c r="D511" s="27" t="n"/>
      <c r="E511" s="27" t="n"/>
      <c r="F511" s="27" t="n"/>
      <c r="G511" s="27" t="n"/>
      <c r="H511" s="62" t="n"/>
      <c r="I511" s="31" t="n"/>
      <c r="J511" s="31" t="n"/>
      <c r="K511" s="31" t="n"/>
      <c r="L511" s="31" t="n"/>
      <c r="M511" s="1" t="n"/>
    </row>
    <row r="512">
      <c r="A512" s="1" t="n"/>
      <c r="B512" s="24" t="n">
        <v>506</v>
      </c>
      <c r="C512" s="61" t="n"/>
      <c r="D512" s="27" t="n"/>
      <c r="E512" s="27" t="n"/>
      <c r="F512" s="27" t="n"/>
      <c r="G512" s="27" t="n"/>
      <c r="H512" s="62" t="n"/>
      <c r="I512" s="31" t="n"/>
      <c r="J512" s="31" t="n"/>
      <c r="K512" s="31" t="n"/>
      <c r="L512" s="31" t="n"/>
      <c r="M512" s="1" t="n"/>
    </row>
    <row r="513">
      <c r="A513" s="1" t="n"/>
      <c r="B513" s="24" t="n">
        <v>507</v>
      </c>
      <c r="C513" s="61" t="n"/>
      <c r="D513" s="27" t="n"/>
      <c r="E513" s="27" t="n"/>
      <c r="F513" s="27" t="n"/>
      <c r="G513" s="27" t="n"/>
      <c r="H513" s="62" t="n"/>
      <c r="I513" s="31" t="n"/>
      <c r="J513" s="31" t="n"/>
      <c r="K513" s="31" t="n"/>
      <c r="L513" s="31" t="n"/>
      <c r="M513" s="1" t="n"/>
    </row>
    <row r="514">
      <c r="A514" s="1" t="n"/>
      <c r="B514" s="24" t="n">
        <v>508</v>
      </c>
      <c r="C514" s="61" t="n"/>
      <c r="D514" s="27" t="n"/>
      <c r="E514" s="27" t="n"/>
      <c r="F514" s="27" t="n"/>
      <c r="G514" s="27" t="n"/>
      <c r="H514" s="62" t="n"/>
      <c r="I514" s="31" t="n"/>
      <c r="J514" s="31" t="n"/>
      <c r="K514" s="31" t="n"/>
      <c r="L514" s="31" t="n"/>
      <c r="M514" s="1" t="n"/>
    </row>
    <row r="515">
      <c r="A515" s="1" t="n"/>
      <c r="B515" s="24" t="n">
        <v>509</v>
      </c>
      <c r="C515" s="61" t="n"/>
      <c r="D515" s="27" t="n"/>
      <c r="E515" s="27" t="n"/>
      <c r="F515" s="27" t="n"/>
      <c r="G515" s="27" t="n"/>
      <c r="H515" s="62" t="n"/>
      <c r="I515" s="31" t="n"/>
      <c r="J515" s="31" t="n"/>
      <c r="K515" s="31" t="n"/>
      <c r="L515" s="31" t="n"/>
      <c r="M515" s="1" t="n"/>
    </row>
    <row r="516">
      <c r="A516" s="1" t="n"/>
      <c r="B516" s="24" t="n">
        <v>510</v>
      </c>
      <c r="C516" s="61" t="n"/>
      <c r="D516" s="27" t="n"/>
      <c r="E516" s="27" t="n"/>
      <c r="F516" s="27" t="n"/>
      <c r="G516" s="27" t="n"/>
      <c r="H516" s="62" t="n"/>
      <c r="I516" s="31" t="n"/>
      <c r="J516" s="31" t="n"/>
      <c r="K516" s="31" t="n"/>
      <c r="L516" s="31" t="n"/>
      <c r="M516" s="1" t="n"/>
    </row>
    <row r="517">
      <c r="A517" s="1" t="n"/>
      <c r="B517" s="24" t="n">
        <v>511</v>
      </c>
      <c r="C517" s="61" t="n"/>
      <c r="D517" s="27" t="n"/>
      <c r="E517" s="27" t="n"/>
      <c r="F517" s="27" t="n"/>
      <c r="G517" s="27" t="n"/>
      <c r="H517" s="62" t="n"/>
      <c r="I517" s="31" t="n"/>
      <c r="J517" s="31" t="n"/>
      <c r="K517" s="31" t="n"/>
      <c r="L517" s="31" t="n"/>
      <c r="M517" s="1" t="n"/>
    </row>
    <row r="518">
      <c r="A518" s="1" t="n"/>
      <c r="B518" s="24" t="n">
        <v>512</v>
      </c>
      <c r="C518" s="61" t="n"/>
      <c r="D518" s="27" t="n"/>
      <c r="E518" s="27" t="n"/>
      <c r="F518" s="27" t="n"/>
      <c r="G518" s="27" t="n"/>
      <c r="H518" s="62" t="n"/>
      <c r="I518" s="31" t="n"/>
      <c r="J518" s="31" t="n"/>
      <c r="K518" s="31" t="n"/>
      <c r="L518" s="31" t="n"/>
      <c r="M518" s="1" t="n"/>
    </row>
    <row r="519">
      <c r="A519" s="1" t="n"/>
      <c r="B519" s="24" t="n">
        <v>513</v>
      </c>
      <c r="C519" s="61" t="n"/>
      <c r="D519" s="27" t="n"/>
      <c r="E519" s="27" t="n"/>
      <c r="F519" s="27" t="n"/>
      <c r="G519" s="27" t="n"/>
      <c r="H519" s="62" t="n"/>
      <c r="I519" s="31" t="n"/>
      <c r="J519" s="31" t="n"/>
      <c r="K519" s="31" t="n"/>
      <c r="L519" s="31" t="n"/>
      <c r="M519" s="1" t="n"/>
    </row>
    <row r="520">
      <c r="A520" s="1" t="n"/>
      <c r="B520" s="24" t="n">
        <v>514</v>
      </c>
      <c r="C520" s="61" t="n"/>
      <c r="D520" s="27" t="n"/>
      <c r="E520" s="27" t="n"/>
      <c r="F520" s="27" t="n"/>
      <c r="G520" s="27" t="n"/>
      <c r="H520" s="62" t="n"/>
      <c r="I520" s="31" t="n"/>
      <c r="J520" s="31" t="n"/>
      <c r="K520" s="31" t="n"/>
      <c r="L520" s="31" t="n"/>
      <c r="M520" s="1" t="n"/>
    </row>
    <row r="521">
      <c r="A521" s="1" t="n"/>
      <c r="B521" s="24" t="n">
        <v>515</v>
      </c>
      <c r="C521" s="61" t="n"/>
      <c r="D521" s="27" t="n"/>
      <c r="E521" s="27" t="n"/>
      <c r="F521" s="27" t="n"/>
      <c r="G521" s="27" t="n"/>
      <c r="H521" s="62" t="n"/>
      <c r="I521" s="31" t="n"/>
      <c r="J521" s="31" t="n"/>
      <c r="K521" s="31" t="n"/>
      <c r="L521" s="31" t="n"/>
      <c r="M521" s="1" t="n"/>
    </row>
    <row r="522">
      <c r="A522" s="1" t="n"/>
      <c r="B522" s="24" t="n">
        <v>516</v>
      </c>
      <c r="C522" s="61" t="n"/>
      <c r="D522" s="27" t="n"/>
      <c r="E522" s="27" t="n"/>
      <c r="F522" s="27" t="n"/>
      <c r="G522" s="27" t="n"/>
      <c r="H522" s="62" t="n"/>
      <c r="I522" s="31" t="n"/>
      <c r="J522" s="31" t="n"/>
      <c r="K522" s="31" t="n"/>
      <c r="L522" s="31" t="n"/>
      <c r="M522" s="1" t="n"/>
    </row>
    <row r="523">
      <c r="A523" s="1" t="n"/>
      <c r="B523" s="24" t="n">
        <v>517</v>
      </c>
      <c r="C523" s="61" t="n"/>
      <c r="D523" s="27" t="n"/>
      <c r="E523" s="27" t="n"/>
      <c r="F523" s="27" t="n"/>
      <c r="G523" s="27" t="n"/>
      <c r="H523" s="62" t="n"/>
      <c r="I523" s="31" t="n"/>
      <c r="J523" s="31" t="n"/>
      <c r="K523" s="31" t="n"/>
      <c r="L523" s="31" t="n"/>
      <c r="M523" s="1" t="n"/>
    </row>
    <row r="524">
      <c r="A524" s="1" t="n"/>
      <c r="B524" s="24" t="n">
        <v>518</v>
      </c>
      <c r="C524" s="61" t="n"/>
      <c r="D524" s="27" t="n"/>
      <c r="E524" s="27" t="n"/>
      <c r="F524" s="27" t="n"/>
      <c r="G524" s="27" t="n"/>
      <c r="H524" s="62" t="n"/>
      <c r="I524" s="31" t="n"/>
      <c r="J524" s="31" t="n"/>
      <c r="K524" s="31" t="n"/>
      <c r="L524" s="31" t="n"/>
      <c r="M524" s="1" t="n"/>
    </row>
    <row r="525">
      <c r="A525" s="1" t="n"/>
      <c r="B525" s="24" t="n">
        <v>519</v>
      </c>
      <c r="C525" s="61" t="n"/>
      <c r="D525" s="27" t="n"/>
      <c r="E525" s="27" t="n"/>
      <c r="F525" s="27" t="n"/>
      <c r="G525" s="27" t="n"/>
      <c r="H525" s="62" t="n"/>
      <c r="I525" s="31" t="n"/>
      <c r="J525" s="31" t="n"/>
      <c r="K525" s="31" t="n"/>
      <c r="L525" s="31" t="n"/>
      <c r="M525" s="1" t="n"/>
    </row>
    <row r="526">
      <c r="A526" s="1" t="n"/>
      <c r="B526" s="24" t="n">
        <v>520</v>
      </c>
      <c r="C526" s="61" t="n"/>
      <c r="D526" s="27" t="n"/>
      <c r="E526" s="27" t="n"/>
      <c r="F526" s="27" t="n"/>
      <c r="G526" s="27" t="n"/>
      <c r="H526" s="62" t="n"/>
      <c r="I526" s="31" t="n"/>
      <c r="J526" s="31" t="n"/>
      <c r="K526" s="31" t="n"/>
      <c r="L526" s="31" t="n"/>
      <c r="M526" s="1" t="n"/>
    </row>
    <row r="527">
      <c r="A527" s="1" t="n"/>
      <c r="B527" s="24" t="n">
        <v>521</v>
      </c>
      <c r="C527" s="61" t="n"/>
      <c r="D527" s="27" t="n"/>
      <c r="E527" s="27" t="n"/>
      <c r="F527" s="27" t="n"/>
      <c r="G527" s="27" t="n"/>
      <c r="H527" s="62" t="n"/>
      <c r="I527" s="31" t="n"/>
      <c r="J527" s="31" t="n"/>
      <c r="K527" s="31" t="n"/>
      <c r="L527" s="31" t="n"/>
      <c r="M527" s="1" t="n"/>
    </row>
    <row r="528">
      <c r="A528" s="1" t="n"/>
      <c r="B528" s="24" t="n">
        <v>522</v>
      </c>
      <c r="C528" s="61" t="n"/>
      <c r="D528" s="27" t="n"/>
      <c r="E528" s="27" t="n"/>
      <c r="F528" s="27" t="n"/>
      <c r="G528" s="27" t="n"/>
      <c r="H528" s="62" t="n"/>
      <c r="I528" s="31" t="n"/>
      <c r="J528" s="31" t="n"/>
      <c r="K528" s="31" t="n"/>
      <c r="L528" s="31" t="n"/>
      <c r="M528" s="1" t="n"/>
    </row>
    <row r="529">
      <c r="A529" s="1" t="n"/>
      <c r="B529" s="24" t="n">
        <v>523</v>
      </c>
      <c r="C529" s="61" t="n"/>
      <c r="D529" s="27" t="n"/>
      <c r="E529" s="27" t="n"/>
      <c r="F529" s="27" t="n"/>
      <c r="G529" s="27" t="n"/>
      <c r="H529" s="62" t="n"/>
      <c r="I529" s="31" t="n"/>
      <c r="J529" s="31" t="n"/>
      <c r="K529" s="31" t="n"/>
      <c r="L529" s="31" t="n"/>
      <c r="M529" s="1" t="n"/>
    </row>
    <row r="530">
      <c r="A530" s="1" t="n"/>
      <c r="B530" s="24" t="n">
        <v>524</v>
      </c>
      <c r="C530" s="61" t="n"/>
      <c r="D530" s="27" t="n"/>
      <c r="E530" s="27" t="n"/>
      <c r="F530" s="27" t="n"/>
      <c r="G530" s="27" t="n"/>
      <c r="H530" s="62" t="n"/>
      <c r="I530" s="31" t="n"/>
      <c r="J530" s="31" t="n"/>
      <c r="K530" s="31" t="n"/>
      <c r="L530" s="31" t="n"/>
      <c r="M530" s="1" t="n"/>
    </row>
    <row r="531">
      <c r="A531" s="1" t="n"/>
      <c r="B531" s="24" t="n">
        <v>525</v>
      </c>
      <c r="C531" s="61" t="n"/>
      <c r="D531" s="27" t="n"/>
      <c r="E531" s="27" t="n"/>
      <c r="F531" s="27" t="n"/>
      <c r="G531" s="27" t="n"/>
      <c r="H531" s="62" t="n"/>
      <c r="I531" s="31" t="n"/>
      <c r="J531" s="31" t="n"/>
      <c r="K531" s="31" t="n"/>
      <c r="L531" s="31" t="n"/>
      <c r="M531" s="1" t="n"/>
    </row>
    <row r="532">
      <c r="A532" s="1" t="n"/>
      <c r="B532" s="24" t="n">
        <v>526</v>
      </c>
      <c r="C532" s="61" t="n"/>
      <c r="D532" s="27" t="n"/>
      <c r="E532" s="27" t="n"/>
      <c r="F532" s="27" t="n"/>
      <c r="G532" s="27" t="n"/>
      <c r="H532" s="62" t="n"/>
      <c r="I532" s="31" t="n"/>
      <c r="J532" s="31" t="n"/>
      <c r="K532" s="31" t="n"/>
      <c r="L532" s="31" t="n"/>
      <c r="M532" s="1" t="n"/>
    </row>
    <row r="533">
      <c r="A533" s="1" t="n"/>
      <c r="B533" s="24" t="n">
        <v>527</v>
      </c>
      <c r="C533" s="61" t="n"/>
      <c r="D533" s="27" t="n"/>
      <c r="E533" s="27" t="n"/>
      <c r="F533" s="27" t="n"/>
      <c r="G533" s="27" t="n"/>
      <c r="H533" s="62" t="n"/>
      <c r="I533" s="31" t="n"/>
      <c r="J533" s="31" t="n"/>
      <c r="K533" s="31" t="n"/>
      <c r="L533" s="31" t="n"/>
      <c r="M533" s="1" t="n"/>
    </row>
    <row r="534">
      <c r="A534" s="1" t="n"/>
      <c r="B534" s="24" t="n">
        <v>528</v>
      </c>
      <c r="C534" s="61" t="n"/>
      <c r="D534" s="27" t="n"/>
      <c r="E534" s="27" t="n"/>
      <c r="F534" s="27" t="n"/>
      <c r="G534" s="27" t="n"/>
      <c r="H534" s="62" t="n"/>
      <c r="I534" s="31" t="n"/>
      <c r="J534" s="31" t="n"/>
      <c r="K534" s="31" t="n"/>
      <c r="L534" s="31" t="n"/>
      <c r="M534" s="1" t="n"/>
    </row>
    <row r="535">
      <c r="A535" s="1" t="n"/>
      <c r="B535" s="24" t="n">
        <v>529</v>
      </c>
      <c r="C535" s="61" t="n"/>
      <c r="D535" s="27" t="n"/>
      <c r="E535" s="27" t="n"/>
      <c r="F535" s="27" t="n"/>
      <c r="G535" s="27" t="n"/>
      <c r="H535" s="62" t="n"/>
      <c r="I535" s="31" t="n"/>
      <c r="J535" s="31" t="n"/>
      <c r="K535" s="31" t="n"/>
      <c r="L535" s="31" t="n"/>
      <c r="M535" s="1" t="n"/>
    </row>
    <row r="536">
      <c r="A536" s="1" t="n"/>
      <c r="B536" s="24" t="n">
        <v>530</v>
      </c>
      <c r="C536" s="61" t="n"/>
      <c r="D536" s="27" t="n"/>
      <c r="E536" s="27" t="n"/>
      <c r="F536" s="27" t="n"/>
      <c r="G536" s="27" t="n"/>
      <c r="H536" s="62" t="n"/>
      <c r="I536" s="31" t="n"/>
      <c r="J536" s="31" t="n"/>
      <c r="K536" s="31" t="n"/>
      <c r="L536" s="31" t="n"/>
      <c r="M536" s="1" t="n"/>
    </row>
    <row r="537">
      <c r="A537" s="1" t="n"/>
      <c r="B537" s="24" t="n">
        <v>531</v>
      </c>
      <c r="C537" s="61" t="n"/>
      <c r="D537" s="27" t="n"/>
      <c r="E537" s="27" t="n"/>
      <c r="F537" s="27" t="n"/>
      <c r="G537" s="27" t="n"/>
      <c r="H537" s="62" t="n"/>
      <c r="I537" s="31" t="n"/>
      <c r="J537" s="31" t="n"/>
      <c r="K537" s="31" t="n"/>
      <c r="L537" s="31" t="n"/>
      <c r="M537" s="1" t="n"/>
    </row>
    <row r="538">
      <c r="A538" s="1" t="n"/>
      <c r="B538" s="24" t="n">
        <v>532</v>
      </c>
      <c r="C538" s="61" t="n"/>
      <c r="D538" s="27" t="n"/>
      <c r="E538" s="27" t="n"/>
      <c r="F538" s="27" t="n"/>
      <c r="G538" s="27" t="n"/>
      <c r="H538" s="62" t="n"/>
      <c r="I538" s="31" t="n"/>
      <c r="J538" s="31" t="n"/>
      <c r="K538" s="31" t="n"/>
      <c r="L538" s="31" t="n"/>
      <c r="M538" s="1" t="n"/>
    </row>
    <row r="539">
      <c r="A539" s="1" t="n"/>
      <c r="B539" s="24" t="n">
        <v>533</v>
      </c>
      <c r="C539" s="61" t="n"/>
      <c r="D539" s="27" t="n"/>
      <c r="E539" s="27" t="n"/>
      <c r="F539" s="27" t="n"/>
      <c r="G539" s="27" t="n"/>
      <c r="H539" s="62" t="n"/>
      <c r="I539" s="31" t="n"/>
      <c r="J539" s="31" t="n"/>
      <c r="K539" s="31" t="n"/>
      <c r="L539" s="31" t="n"/>
      <c r="M539" s="1" t="n"/>
    </row>
    <row r="540">
      <c r="A540" s="1" t="n"/>
      <c r="B540" s="24" t="n">
        <v>534</v>
      </c>
      <c r="C540" s="61" t="n"/>
      <c r="D540" s="27" t="n"/>
      <c r="E540" s="27" t="n"/>
      <c r="F540" s="27" t="n"/>
      <c r="G540" s="27" t="n"/>
      <c r="H540" s="62" t="n"/>
      <c r="I540" s="31" t="n"/>
      <c r="J540" s="31" t="n"/>
      <c r="K540" s="31" t="n"/>
      <c r="L540" s="31" t="n"/>
      <c r="M540" s="1" t="n"/>
    </row>
    <row r="541">
      <c r="A541" s="1" t="n"/>
      <c r="B541" s="24" t="n">
        <v>535</v>
      </c>
      <c r="C541" s="61" t="n"/>
      <c r="D541" s="27" t="n"/>
      <c r="E541" s="27" t="n"/>
      <c r="F541" s="27" t="n"/>
      <c r="G541" s="27" t="n"/>
      <c r="H541" s="62" t="n"/>
      <c r="I541" s="31" t="n"/>
      <c r="J541" s="31" t="n"/>
      <c r="K541" s="31" t="n"/>
      <c r="L541" s="31" t="n"/>
      <c r="M541" s="1" t="n"/>
    </row>
    <row r="542">
      <c r="A542" s="1" t="n"/>
      <c r="B542" s="24" t="n">
        <v>536</v>
      </c>
      <c r="C542" s="61" t="n"/>
      <c r="D542" s="27" t="n"/>
      <c r="E542" s="27" t="n"/>
      <c r="F542" s="27" t="n"/>
      <c r="G542" s="27" t="n"/>
      <c r="H542" s="62" t="n"/>
      <c r="I542" s="31" t="n"/>
      <c r="J542" s="31" t="n"/>
      <c r="K542" s="31" t="n"/>
      <c r="L542" s="31" t="n"/>
      <c r="M542" s="1" t="n"/>
    </row>
    <row r="543">
      <c r="A543" s="1" t="n"/>
      <c r="B543" s="24" t="n">
        <v>537</v>
      </c>
      <c r="C543" s="61" t="n"/>
      <c r="D543" s="27" t="n"/>
      <c r="E543" s="27" t="n"/>
      <c r="F543" s="27" t="n"/>
      <c r="G543" s="27" t="n"/>
      <c r="H543" s="62" t="n"/>
      <c r="I543" s="31" t="n"/>
      <c r="J543" s="31" t="n"/>
      <c r="K543" s="31" t="n"/>
      <c r="L543" s="31" t="n"/>
      <c r="M543" s="1" t="n"/>
    </row>
    <row r="544">
      <c r="A544" s="1" t="n"/>
      <c r="B544" s="24" t="n">
        <v>538</v>
      </c>
      <c r="C544" s="61" t="n"/>
      <c r="D544" s="27" t="n"/>
      <c r="E544" s="27" t="n"/>
      <c r="F544" s="27" t="n"/>
      <c r="G544" s="27" t="n"/>
      <c r="H544" s="62" t="n"/>
      <c r="I544" s="31" t="n"/>
      <c r="J544" s="31" t="n"/>
      <c r="K544" s="31" t="n"/>
      <c r="L544" s="31" t="n"/>
      <c r="M544" s="1" t="n"/>
    </row>
    <row r="545">
      <c r="A545" s="1" t="n"/>
      <c r="B545" s="24" t="n">
        <v>539</v>
      </c>
      <c r="C545" s="61" t="n"/>
      <c r="D545" s="27" t="n"/>
      <c r="E545" s="27" t="n"/>
      <c r="F545" s="27" t="n"/>
      <c r="G545" s="27" t="n"/>
      <c r="H545" s="62" t="n"/>
      <c r="I545" s="31" t="n"/>
      <c r="J545" s="31" t="n"/>
      <c r="K545" s="31" t="n"/>
      <c r="L545" s="31" t="n"/>
      <c r="M545" s="1" t="n"/>
    </row>
    <row r="546">
      <c r="A546" s="1" t="n"/>
      <c r="B546" s="24" t="n">
        <v>540</v>
      </c>
      <c r="C546" s="61" t="n"/>
      <c r="D546" s="27" t="n"/>
      <c r="E546" s="27" t="n"/>
      <c r="F546" s="27" t="n"/>
      <c r="G546" s="27" t="n"/>
      <c r="H546" s="62" t="n"/>
      <c r="I546" s="31" t="n"/>
      <c r="J546" s="31" t="n"/>
      <c r="K546" s="31" t="n"/>
      <c r="L546" s="31" t="n"/>
      <c r="M546" s="1" t="n"/>
    </row>
    <row r="547">
      <c r="A547" s="1" t="n"/>
      <c r="B547" s="24" t="n">
        <v>541</v>
      </c>
      <c r="C547" s="61" t="n"/>
      <c r="D547" s="27" t="n"/>
      <c r="E547" s="27" t="n"/>
      <c r="F547" s="27" t="n"/>
      <c r="G547" s="27" t="n"/>
      <c r="H547" s="62" t="n"/>
      <c r="I547" s="31" t="n"/>
      <c r="J547" s="31" t="n"/>
      <c r="K547" s="31" t="n"/>
      <c r="L547" s="31" t="n"/>
      <c r="M547" s="1" t="n"/>
    </row>
    <row r="548">
      <c r="A548" s="1" t="n"/>
      <c r="B548" s="24" t="n">
        <v>542</v>
      </c>
      <c r="C548" s="61" t="n"/>
      <c r="D548" s="27" t="n"/>
      <c r="E548" s="27" t="n"/>
      <c r="F548" s="27" t="n"/>
      <c r="G548" s="27" t="n"/>
      <c r="H548" s="62" t="n"/>
      <c r="I548" s="31" t="n"/>
      <c r="J548" s="31" t="n"/>
      <c r="K548" s="31" t="n"/>
      <c r="L548" s="31" t="n"/>
      <c r="M548" s="1" t="n"/>
    </row>
    <row r="549">
      <c r="A549" s="1" t="n"/>
      <c r="B549" s="24" t="n">
        <v>543</v>
      </c>
      <c r="C549" s="61" t="n"/>
      <c r="D549" s="27" t="n"/>
      <c r="E549" s="27" t="n"/>
      <c r="F549" s="27" t="n"/>
      <c r="G549" s="27" t="n"/>
      <c r="H549" s="62" t="n"/>
      <c r="I549" s="31" t="n"/>
      <c r="J549" s="31" t="n"/>
      <c r="K549" s="31" t="n"/>
      <c r="L549" s="31" t="n"/>
      <c r="M549" s="1" t="n"/>
    </row>
    <row r="550">
      <c r="A550" s="1" t="n"/>
      <c r="B550" s="24" t="n">
        <v>544</v>
      </c>
      <c r="C550" s="61" t="n"/>
      <c r="D550" s="27" t="n"/>
      <c r="E550" s="27" t="n"/>
      <c r="F550" s="27" t="n"/>
      <c r="G550" s="27" t="n"/>
      <c r="H550" s="62" t="n"/>
      <c r="I550" s="31" t="n"/>
      <c r="J550" s="31" t="n"/>
      <c r="K550" s="31" t="n"/>
      <c r="L550" s="31" t="n"/>
      <c r="M550" s="1" t="n"/>
    </row>
    <row r="551">
      <c r="A551" s="1" t="n"/>
      <c r="B551" s="24" t="n">
        <v>545</v>
      </c>
      <c r="C551" s="61" t="n"/>
      <c r="D551" s="27" t="n"/>
      <c r="E551" s="27" t="n"/>
      <c r="F551" s="27" t="n"/>
      <c r="G551" s="27" t="n"/>
      <c r="H551" s="62" t="n"/>
      <c r="I551" s="31" t="n"/>
      <c r="J551" s="31" t="n"/>
      <c r="K551" s="31" t="n"/>
      <c r="L551" s="31" t="n"/>
      <c r="M551" s="1" t="n"/>
    </row>
    <row r="552">
      <c r="A552" s="1" t="n"/>
      <c r="B552" s="24" t="n">
        <v>546</v>
      </c>
      <c r="C552" s="61" t="n"/>
      <c r="D552" s="27" t="n"/>
      <c r="E552" s="27" t="n"/>
      <c r="F552" s="27" t="n"/>
      <c r="G552" s="27" t="n"/>
      <c r="H552" s="62" t="n"/>
      <c r="I552" s="31" t="n"/>
      <c r="J552" s="31" t="n"/>
      <c r="K552" s="31" t="n"/>
      <c r="L552" s="31" t="n"/>
      <c r="M552" s="1" t="n"/>
    </row>
    <row r="553">
      <c r="A553" s="1" t="n"/>
      <c r="B553" s="24" t="n">
        <v>547</v>
      </c>
      <c r="C553" s="61" t="n"/>
      <c r="D553" s="27" t="n"/>
      <c r="E553" s="27" t="n"/>
      <c r="F553" s="27" t="n"/>
      <c r="G553" s="27" t="n"/>
      <c r="H553" s="62" t="n"/>
      <c r="I553" s="31" t="n"/>
      <c r="J553" s="31" t="n"/>
      <c r="K553" s="31" t="n"/>
      <c r="L553" s="31" t="n"/>
      <c r="M553" s="1" t="n"/>
    </row>
    <row r="554">
      <c r="A554" s="1" t="n"/>
      <c r="B554" s="24" t="n">
        <v>548</v>
      </c>
      <c r="C554" s="61" t="n"/>
      <c r="D554" s="27" t="n"/>
      <c r="E554" s="27" t="n"/>
      <c r="F554" s="27" t="n"/>
      <c r="G554" s="27" t="n"/>
      <c r="H554" s="62" t="n"/>
      <c r="I554" s="31" t="n"/>
      <c r="J554" s="31" t="n"/>
      <c r="K554" s="31" t="n"/>
      <c r="L554" s="31" t="n"/>
      <c r="M554" s="1" t="n"/>
    </row>
    <row r="555">
      <c r="A555" s="1" t="n"/>
      <c r="B555" s="24" t="n">
        <v>549</v>
      </c>
      <c r="C555" s="61" t="n"/>
      <c r="D555" s="27" t="n"/>
      <c r="E555" s="27" t="n"/>
      <c r="F555" s="27" t="n"/>
      <c r="G555" s="27" t="n"/>
      <c r="H555" s="62" t="n"/>
      <c r="I555" s="31" t="n"/>
      <c r="J555" s="31" t="n"/>
      <c r="K555" s="31" t="n"/>
      <c r="L555" s="31" t="n"/>
      <c r="M555" s="1" t="n"/>
    </row>
    <row r="556">
      <c r="A556" s="1" t="n"/>
      <c r="B556" s="24" t="n">
        <v>550</v>
      </c>
      <c r="C556" s="61" t="n"/>
      <c r="D556" s="27" t="n"/>
      <c r="E556" s="27" t="n"/>
      <c r="F556" s="27" t="n"/>
      <c r="G556" s="27" t="n"/>
      <c r="H556" s="62" t="n"/>
      <c r="I556" s="31" t="n"/>
      <c r="J556" s="31" t="n"/>
      <c r="K556" s="31" t="n"/>
      <c r="L556" s="31" t="n"/>
      <c r="M556" s="1" t="n"/>
    </row>
    <row r="557">
      <c r="A557" s="1" t="n"/>
      <c r="B557" s="24" t="n">
        <v>551</v>
      </c>
      <c r="C557" s="61" t="n"/>
      <c r="D557" s="27" t="n"/>
      <c r="E557" s="27" t="n"/>
      <c r="F557" s="27" t="n"/>
      <c r="G557" s="27" t="n"/>
      <c r="H557" s="62" t="n"/>
      <c r="I557" s="31" t="n"/>
      <c r="J557" s="31" t="n"/>
      <c r="K557" s="31" t="n"/>
      <c r="L557" s="31" t="n"/>
      <c r="M557" s="1" t="n"/>
    </row>
    <row r="558">
      <c r="A558" s="1" t="n"/>
      <c r="B558" s="24" t="n">
        <v>552</v>
      </c>
      <c r="C558" s="61" t="n"/>
      <c r="D558" s="27" t="n"/>
      <c r="E558" s="27" t="n"/>
      <c r="F558" s="27" t="n"/>
      <c r="G558" s="27" t="n"/>
      <c r="H558" s="62" t="n"/>
      <c r="I558" s="31" t="n"/>
      <c r="J558" s="31" t="n"/>
      <c r="K558" s="31" t="n"/>
      <c r="L558" s="31" t="n"/>
      <c r="M558" s="1" t="n"/>
    </row>
    <row r="559">
      <c r="A559" s="1" t="n"/>
      <c r="B559" s="24" t="n">
        <v>553</v>
      </c>
      <c r="C559" s="61" t="n"/>
      <c r="D559" s="27" t="n"/>
      <c r="E559" s="27" t="n"/>
      <c r="F559" s="27" t="n"/>
      <c r="G559" s="27" t="n"/>
      <c r="H559" s="62" t="n"/>
      <c r="I559" s="31" t="n"/>
      <c r="J559" s="31" t="n"/>
      <c r="K559" s="31" t="n"/>
      <c r="L559" s="31" t="n"/>
      <c r="M559" s="1" t="n"/>
    </row>
    <row r="560">
      <c r="A560" s="1" t="n"/>
      <c r="B560" s="24" t="n">
        <v>554</v>
      </c>
      <c r="C560" s="61" t="n"/>
      <c r="D560" s="27" t="n"/>
      <c r="E560" s="27" t="n"/>
      <c r="F560" s="27" t="n"/>
      <c r="G560" s="27" t="n"/>
      <c r="H560" s="62" t="n"/>
      <c r="I560" s="31" t="n"/>
      <c r="J560" s="31" t="n"/>
      <c r="K560" s="31" t="n"/>
      <c r="L560" s="31" t="n"/>
      <c r="M560" s="1" t="n"/>
    </row>
    <row r="561">
      <c r="A561" s="1" t="n"/>
      <c r="B561" s="24" t="n">
        <v>555</v>
      </c>
      <c r="C561" s="61" t="n"/>
      <c r="D561" s="27" t="n"/>
      <c r="E561" s="27" t="n"/>
      <c r="F561" s="27" t="n"/>
      <c r="G561" s="27" t="n"/>
      <c r="H561" s="62" t="n"/>
      <c r="I561" s="31" t="n"/>
      <c r="J561" s="31" t="n"/>
      <c r="K561" s="31" t="n"/>
      <c r="L561" s="31" t="n"/>
      <c r="M561" s="1" t="n"/>
    </row>
    <row r="562">
      <c r="A562" s="1" t="n"/>
      <c r="B562" s="24" t="n">
        <v>556</v>
      </c>
      <c r="C562" s="61" t="n"/>
      <c r="D562" s="27" t="n"/>
      <c r="E562" s="27" t="n"/>
      <c r="F562" s="27" t="n"/>
      <c r="G562" s="27" t="n"/>
      <c r="H562" s="62" t="n"/>
      <c r="I562" s="31" t="n"/>
      <c r="J562" s="31" t="n"/>
      <c r="K562" s="31" t="n"/>
      <c r="L562" s="31" t="n"/>
      <c r="M562" s="1" t="n"/>
    </row>
    <row r="563">
      <c r="A563" s="1" t="n"/>
      <c r="B563" s="24" t="n">
        <v>557</v>
      </c>
      <c r="C563" s="61" t="n"/>
      <c r="D563" s="27" t="n"/>
      <c r="E563" s="27" t="n"/>
      <c r="F563" s="27" t="n"/>
      <c r="G563" s="27" t="n"/>
      <c r="H563" s="62" t="n"/>
      <c r="I563" s="31" t="n"/>
      <c r="J563" s="31" t="n"/>
      <c r="K563" s="31" t="n"/>
      <c r="L563" s="31" t="n"/>
      <c r="M563" s="1" t="n"/>
    </row>
    <row r="564">
      <c r="A564" s="1" t="n"/>
      <c r="B564" s="24" t="n">
        <v>558</v>
      </c>
      <c r="C564" s="61" t="n"/>
      <c r="D564" s="27" t="n"/>
      <c r="E564" s="27" t="n"/>
      <c r="F564" s="27" t="n"/>
      <c r="G564" s="27" t="n"/>
      <c r="H564" s="62" t="n"/>
      <c r="I564" s="31" t="n"/>
      <c r="J564" s="31" t="n"/>
      <c r="K564" s="31" t="n"/>
      <c r="L564" s="31" t="n"/>
      <c r="M564" s="1" t="n"/>
    </row>
    <row r="565">
      <c r="A565" s="1" t="n"/>
      <c r="B565" s="24" t="n">
        <v>559</v>
      </c>
      <c r="C565" s="61" t="n"/>
      <c r="D565" s="27" t="n"/>
      <c r="E565" s="27" t="n"/>
      <c r="F565" s="27" t="n"/>
      <c r="G565" s="27" t="n"/>
      <c r="H565" s="62" t="n"/>
      <c r="I565" s="31" t="n"/>
      <c r="J565" s="31" t="n"/>
      <c r="K565" s="31" t="n"/>
      <c r="L565" s="31" t="n"/>
      <c r="M565" s="1" t="n"/>
    </row>
    <row r="566">
      <c r="A566" s="1" t="n"/>
      <c r="B566" s="24" t="n">
        <v>560</v>
      </c>
      <c r="C566" s="61" t="n"/>
      <c r="D566" s="27" t="n"/>
      <c r="E566" s="27" t="n"/>
      <c r="F566" s="27" t="n"/>
      <c r="G566" s="27" t="n"/>
      <c r="H566" s="62" t="n"/>
      <c r="I566" s="31" t="n"/>
      <c r="J566" s="31" t="n"/>
      <c r="K566" s="31" t="n"/>
      <c r="L566" s="31" t="n"/>
      <c r="M566" s="1" t="n"/>
    </row>
    <row r="567">
      <c r="A567" s="1" t="n"/>
      <c r="B567" s="24" t="n">
        <v>561</v>
      </c>
      <c r="C567" s="61" t="n"/>
      <c r="D567" s="27" t="n"/>
      <c r="E567" s="27" t="n"/>
      <c r="F567" s="27" t="n"/>
      <c r="G567" s="27" t="n"/>
      <c r="H567" s="62" t="n"/>
      <c r="I567" s="31" t="n"/>
      <c r="J567" s="31" t="n"/>
      <c r="K567" s="31" t="n"/>
      <c r="L567" s="31" t="n"/>
      <c r="M567" s="1" t="n"/>
    </row>
    <row r="568">
      <c r="A568" s="1" t="n"/>
      <c r="B568" s="24" t="n">
        <v>562</v>
      </c>
      <c r="C568" s="61" t="n"/>
      <c r="D568" s="27" t="n"/>
      <c r="E568" s="27" t="n"/>
      <c r="F568" s="27" t="n"/>
      <c r="G568" s="27" t="n"/>
      <c r="H568" s="62" t="n"/>
      <c r="I568" s="31" t="n"/>
      <c r="J568" s="31" t="n"/>
      <c r="K568" s="31" t="n"/>
      <c r="L568" s="31" t="n"/>
      <c r="M568" s="1" t="n"/>
    </row>
    <row r="569">
      <c r="A569" s="1" t="n"/>
      <c r="B569" s="24" t="n">
        <v>563</v>
      </c>
      <c r="C569" s="61" t="n"/>
      <c r="D569" s="27" t="n"/>
      <c r="E569" s="27" t="n"/>
      <c r="F569" s="27" t="n"/>
      <c r="G569" s="27" t="n"/>
      <c r="H569" s="62" t="n"/>
      <c r="I569" s="31" t="n"/>
      <c r="J569" s="31" t="n"/>
      <c r="K569" s="31" t="n"/>
      <c r="L569" s="31" t="n"/>
      <c r="M569" s="1" t="n"/>
    </row>
    <row r="570">
      <c r="A570" s="1" t="n"/>
      <c r="B570" s="24" t="n">
        <v>564</v>
      </c>
      <c r="C570" s="61" t="n"/>
      <c r="D570" s="27" t="n"/>
      <c r="E570" s="27" t="n"/>
      <c r="F570" s="27" t="n"/>
      <c r="G570" s="27" t="n"/>
      <c r="H570" s="62" t="n"/>
      <c r="I570" s="31" t="n"/>
      <c r="J570" s="31" t="n"/>
      <c r="K570" s="31" t="n"/>
      <c r="L570" s="31" t="n"/>
      <c r="M570" s="1" t="n"/>
    </row>
    <row r="571">
      <c r="A571" s="1" t="n"/>
      <c r="B571" s="24" t="n">
        <v>565</v>
      </c>
      <c r="C571" s="61" t="n"/>
      <c r="D571" s="27" t="n"/>
      <c r="E571" s="27" t="n"/>
      <c r="F571" s="27" t="n"/>
      <c r="G571" s="27" t="n"/>
      <c r="H571" s="62" t="n"/>
      <c r="I571" s="31" t="n"/>
      <c r="J571" s="31" t="n"/>
      <c r="K571" s="31" t="n"/>
      <c r="L571" s="31" t="n"/>
      <c r="M571" s="1" t="n"/>
    </row>
    <row r="572">
      <c r="A572" s="1" t="n"/>
      <c r="B572" s="24" t="n">
        <v>566</v>
      </c>
      <c r="C572" s="61" t="n"/>
      <c r="D572" s="27" t="n"/>
      <c r="E572" s="27" t="n"/>
      <c r="F572" s="27" t="n"/>
      <c r="G572" s="27" t="n"/>
      <c r="H572" s="62" t="n"/>
      <c r="I572" s="31" t="n"/>
      <c r="J572" s="31" t="n"/>
      <c r="K572" s="31" t="n"/>
      <c r="L572" s="31" t="n"/>
      <c r="M572" s="1" t="n"/>
    </row>
    <row r="573">
      <c r="A573" s="1" t="n"/>
      <c r="B573" s="24" t="n">
        <v>567</v>
      </c>
      <c r="C573" s="61" t="n"/>
      <c r="D573" s="27" t="n"/>
      <c r="E573" s="27" t="n"/>
      <c r="F573" s="27" t="n"/>
      <c r="G573" s="27" t="n"/>
      <c r="H573" s="62" t="n"/>
      <c r="I573" s="31" t="n"/>
      <c r="J573" s="31" t="n"/>
      <c r="K573" s="31" t="n"/>
      <c r="L573" s="31" t="n"/>
      <c r="M573" s="1" t="n"/>
    </row>
    <row r="574">
      <c r="A574" s="1" t="n"/>
      <c r="B574" s="24" t="n">
        <v>568</v>
      </c>
      <c r="C574" s="61" t="n"/>
      <c r="D574" s="27" t="n"/>
      <c r="E574" s="27" t="n"/>
      <c r="F574" s="27" t="n"/>
      <c r="G574" s="27" t="n"/>
      <c r="H574" s="62" t="n"/>
      <c r="I574" s="31" t="n"/>
      <c r="J574" s="31" t="n"/>
      <c r="K574" s="31" t="n"/>
      <c r="L574" s="31" t="n"/>
      <c r="M574" s="1" t="n"/>
    </row>
    <row r="575">
      <c r="A575" s="1" t="n"/>
      <c r="B575" s="24" t="n">
        <v>569</v>
      </c>
      <c r="C575" s="61" t="n"/>
      <c r="D575" s="27" t="n"/>
      <c r="E575" s="27" t="n"/>
      <c r="F575" s="27" t="n"/>
      <c r="G575" s="27" t="n"/>
      <c r="H575" s="62" t="n"/>
      <c r="I575" s="31" t="n"/>
      <c r="J575" s="31" t="n"/>
      <c r="K575" s="31" t="n"/>
      <c r="L575" s="31" t="n"/>
      <c r="M575" s="1" t="n"/>
    </row>
    <row r="576">
      <c r="A576" s="1" t="n"/>
      <c r="B576" s="24" t="n">
        <v>570</v>
      </c>
      <c r="C576" s="61" t="n"/>
      <c r="D576" s="27" t="n"/>
      <c r="E576" s="27" t="n"/>
      <c r="F576" s="27" t="n"/>
      <c r="G576" s="27" t="n"/>
      <c r="H576" s="62" t="n"/>
      <c r="I576" s="31" t="n"/>
      <c r="J576" s="31" t="n"/>
      <c r="K576" s="31" t="n"/>
      <c r="L576" s="31" t="n"/>
      <c r="M576" s="1" t="n"/>
    </row>
    <row r="577">
      <c r="A577" s="1" t="n"/>
      <c r="B577" s="24" t="n">
        <v>571</v>
      </c>
      <c r="C577" s="61" t="n"/>
      <c r="D577" s="27" t="n"/>
      <c r="E577" s="27" t="n"/>
      <c r="F577" s="27" t="n"/>
      <c r="G577" s="27" t="n"/>
      <c r="H577" s="62" t="n"/>
      <c r="I577" s="31" t="n"/>
      <c r="J577" s="31" t="n"/>
      <c r="K577" s="31" t="n"/>
      <c r="L577" s="31" t="n"/>
      <c r="M577" s="1" t="n"/>
    </row>
    <row r="578">
      <c r="A578" s="1" t="n"/>
      <c r="B578" s="24" t="n">
        <v>572</v>
      </c>
      <c r="C578" s="61" t="n"/>
      <c r="D578" s="27" t="n"/>
      <c r="E578" s="27" t="n"/>
      <c r="F578" s="27" t="n"/>
      <c r="G578" s="27" t="n"/>
      <c r="H578" s="62" t="n"/>
      <c r="I578" s="31" t="n"/>
      <c r="J578" s="31" t="n"/>
      <c r="K578" s="31" t="n"/>
      <c r="L578" s="31" t="n"/>
      <c r="M578" s="1" t="n"/>
    </row>
    <row r="579">
      <c r="A579" s="1" t="n"/>
      <c r="B579" s="24" t="n">
        <v>573</v>
      </c>
      <c r="C579" s="61" t="n"/>
      <c r="D579" s="27" t="n"/>
      <c r="E579" s="27" t="n"/>
      <c r="F579" s="27" t="n"/>
      <c r="G579" s="27" t="n"/>
      <c r="H579" s="62" t="n"/>
      <c r="I579" s="31" t="n"/>
      <c r="J579" s="31" t="n"/>
      <c r="K579" s="31" t="n"/>
      <c r="L579" s="31" t="n"/>
      <c r="M579" s="1" t="n"/>
    </row>
    <row r="580">
      <c r="A580" s="1" t="n"/>
      <c r="B580" s="24" t="n">
        <v>574</v>
      </c>
      <c r="C580" s="61" t="n"/>
      <c r="D580" s="27" t="n"/>
      <c r="E580" s="27" t="n"/>
      <c r="F580" s="27" t="n"/>
      <c r="G580" s="27" t="n"/>
      <c r="H580" s="62" t="n"/>
      <c r="I580" s="31" t="n"/>
      <c r="J580" s="31" t="n"/>
      <c r="K580" s="31" t="n"/>
      <c r="L580" s="31" t="n"/>
      <c r="M580" s="1" t="n"/>
    </row>
    <row r="581">
      <c r="A581" s="1" t="n"/>
      <c r="B581" s="24" t="n">
        <v>575</v>
      </c>
      <c r="C581" s="61" t="n"/>
      <c r="D581" s="27" t="n"/>
      <c r="E581" s="27" t="n"/>
      <c r="F581" s="27" t="n"/>
      <c r="G581" s="27" t="n"/>
      <c r="H581" s="62" t="n"/>
      <c r="I581" s="31" t="n"/>
      <c r="J581" s="31" t="n"/>
      <c r="K581" s="31" t="n"/>
      <c r="L581" s="31" t="n"/>
      <c r="M581" s="1" t="n"/>
    </row>
    <row r="582">
      <c r="A582" s="1" t="n"/>
      <c r="B582" s="24" t="n">
        <v>576</v>
      </c>
      <c r="C582" s="61" t="n"/>
      <c r="D582" s="27" t="n"/>
      <c r="E582" s="27" t="n"/>
      <c r="F582" s="27" t="n"/>
      <c r="G582" s="27" t="n"/>
      <c r="H582" s="62" t="n"/>
      <c r="I582" s="31" t="n"/>
      <c r="J582" s="31" t="n"/>
      <c r="K582" s="31" t="n"/>
      <c r="L582" s="31" t="n"/>
      <c r="M582" s="1" t="n"/>
    </row>
    <row r="583">
      <c r="A583" s="1" t="n"/>
      <c r="B583" s="24" t="n">
        <v>577</v>
      </c>
      <c r="C583" s="61" t="n"/>
      <c r="D583" s="27" t="n"/>
      <c r="E583" s="27" t="n"/>
      <c r="F583" s="27" t="n"/>
      <c r="G583" s="27" t="n"/>
      <c r="H583" s="62" t="n"/>
      <c r="I583" s="31" t="n"/>
      <c r="J583" s="31" t="n"/>
      <c r="K583" s="31" t="n"/>
      <c r="L583" s="31" t="n"/>
      <c r="M583" s="1" t="n"/>
    </row>
    <row r="584">
      <c r="A584" s="1" t="n"/>
      <c r="B584" s="24" t="n">
        <v>578</v>
      </c>
      <c r="C584" s="61" t="n"/>
      <c r="D584" s="27" t="n"/>
      <c r="E584" s="27" t="n"/>
      <c r="F584" s="27" t="n"/>
      <c r="G584" s="27" t="n"/>
      <c r="H584" s="62" t="n"/>
      <c r="I584" s="31" t="n"/>
      <c r="J584" s="31" t="n"/>
      <c r="K584" s="31" t="n"/>
      <c r="L584" s="31" t="n"/>
      <c r="M584" s="1" t="n"/>
    </row>
    <row r="585">
      <c r="A585" s="1" t="n"/>
      <c r="B585" s="24" t="n">
        <v>579</v>
      </c>
      <c r="C585" s="61" t="n"/>
      <c r="D585" s="27" t="n"/>
      <c r="E585" s="27" t="n"/>
      <c r="F585" s="27" t="n"/>
      <c r="G585" s="27" t="n"/>
      <c r="H585" s="62" t="n"/>
      <c r="I585" s="31" t="n"/>
      <c r="J585" s="31" t="n"/>
      <c r="K585" s="31" t="n"/>
      <c r="L585" s="31" t="n"/>
      <c r="M585" s="1" t="n"/>
    </row>
    <row r="586">
      <c r="A586" s="1" t="n"/>
      <c r="B586" s="24" t="n">
        <v>580</v>
      </c>
      <c r="C586" s="61" t="n"/>
      <c r="D586" s="27" t="n"/>
      <c r="E586" s="27" t="n"/>
      <c r="F586" s="27" t="n"/>
      <c r="G586" s="27" t="n"/>
      <c r="H586" s="62" t="n"/>
      <c r="I586" s="31" t="n"/>
      <c r="J586" s="31" t="n"/>
      <c r="K586" s="31" t="n"/>
      <c r="L586" s="31" t="n"/>
      <c r="M586" s="1" t="n"/>
    </row>
    <row r="587">
      <c r="A587" s="1" t="n"/>
      <c r="B587" s="24" t="n">
        <v>581</v>
      </c>
      <c r="C587" s="61" t="n"/>
      <c r="D587" s="27" t="n"/>
      <c r="E587" s="27" t="n"/>
      <c r="F587" s="27" t="n"/>
      <c r="G587" s="27" t="n"/>
      <c r="H587" s="62" t="n"/>
      <c r="I587" s="31" t="n"/>
      <c r="J587" s="31" t="n"/>
      <c r="K587" s="31" t="n"/>
      <c r="L587" s="31" t="n"/>
      <c r="M587" s="1" t="n"/>
    </row>
    <row r="588">
      <c r="A588" s="1" t="n"/>
      <c r="B588" s="24" t="n">
        <v>582</v>
      </c>
      <c r="C588" s="61" t="n"/>
      <c r="D588" s="27" t="n"/>
      <c r="E588" s="27" t="n"/>
      <c r="F588" s="27" t="n"/>
      <c r="G588" s="27" t="n"/>
      <c r="H588" s="62" t="n"/>
      <c r="I588" s="31" t="n"/>
      <c r="J588" s="31" t="n"/>
      <c r="K588" s="31" t="n"/>
      <c r="L588" s="31" t="n"/>
      <c r="M588" s="1" t="n"/>
    </row>
    <row r="589">
      <c r="A589" s="1" t="n"/>
      <c r="B589" s="24" t="n">
        <v>583</v>
      </c>
      <c r="C589" s="61" t="n"/>
      <c r="D589" s="27" t="n"/>
      <c r="E589" s="27" t="n"/>
      <c r="F589" s="27" t="n"/>
      <c r="G589" s="27" t="n"/>
      <c r="H589" s="62" t="n"/>
      <c r="I589" s="31" t="n"/>
      <c r="J589" s="31" t="n"/>
      <c r="K589" s="31" t="n"/>
      <c r="L589" s="31" t="n"/>
      <c r="M589" s="1" t="n"/>
    </row>
    <row r="590">
      <c r="A590" s="1" t="n"/>
      <c r="B590" s="24" t="n">
        <v>584</v>
      </c>
      <c r="C590" s="61" t="n"/>
      <c r="D590" s="27" t="n"/>
      <c r="E590" s="27" t="n"/>
      <c r="F590" s="27" t="n"/>
      <c r="G590" s="27" t="n"/>
      <c r="H590" s="62" t="n"/>
      <c r="I590" s="31" t="n"/>
      <c r="J590" s="31" t="n"/>
      <c r="K590" s="31" t="n"/>
      <c r="L590" s="31" t="n"/>
      <c r="M590" s="1" t="n"/>
    </row>
    <row r="591">
      <c r="A591" s="1" t="n"/>
      <c r="B591" s="24" t="n">
        <v>585</v>
      </c>
      <c r="C591" s="61" t="n"/>
      <c r="D591" s="27" t="n"/>
      <c r="E591" s="27" t="n"/>
      <c r="F591" s="27" t="n"/>
      <c r="G591" s="27" t="n"/>
      <c r="H591" s="62" t="n"/>
      <c r="I591" s="31" t="n"/>
      <c r="J591" s="31" t="n"/>
      <c r="K591" s="31" t="n"/>
      <c r="L591" s="31" t="n"/>
      <c r="M591" s="1" t="n"/>
    </row>
    <row r="592">
      <c r="A592" s="1" t="n"/>
      <c r="B592" s="24" t="n">
        <v>586</v>
      </c>
      <c r="C592" s="61" t="n"/>
      <c r="D592" s="27" t="n"/>
      <c r="E592" s="27" t="n"/>
      <c r="F592" s="27" t="n"/>
      <c r="G592" s="27" t="n"/>
      <c r="H592" s="62" t="n"/>
      <c r="I592" s="31" t="n"/>
      <c r="J592" s="31" t="n"/>
      <c r="K592" s="31" t="n"/>
      <c r="L592" s="31" t="n"/>
      <c r="M592" s="1" t="n"/>
    </row>
    <row r="593">
      <c r="A593" s="1" t="n"/>
      <c r="B593" s="24" t="n">
        <v>587</v>
      </c>
      <c r="C593" s="61" t="n"/>
      <c r="D593" s="27" t="n"/>
      <c r="E593" s="27" t="n"/>
      <c r="F593" s="27" t="n"/>
      <c r="G593" s="27" t="n"/>
      <c r="H593" s="62" t="n"/>
      <c r="I593" s="31" t="n"/>
      <c r="J593" s="31" t="n"/>
      <c r="K593" s="31" t="n"/>
      <c r="L593" s="31" t="n"/>
      <c r="M593" s="1" t="n"/>
    </row>
    <row r="594">
      <c r="A594" s="1" t="n"/>
      <c r="B594" s="24" t="n">
        <v>588</v>
      </c>
      <c r="C594" s="61" t="n"/>
      <c r="D594" s="27" t="n"/>
      <c r="E594" s="27" t="n"/>
      <c r="F594" s="27" t="n"/>
      <c r="G594" s="27" t="n"/>
      <c r="H594" s="62" t="n"/>
      <c r="I594" s="31" t="n"/>
      <c r="J594" s="31" t="n"/>
      <c r="K594" s="31" t="n"/>
      <c r="L594" s="31" t="n"/>
      <c r="M594" s="1" t="n"/>
    </row>
    <row r="595">
      <c r="A595" s="1" t="n"/>
      <c r="B595" s="24" t="n">
        <v>589</v>
      </c>
      <c r="C595" s="61" t="n"/>
      <c r="D595" s="27" t="n"/>
      <c r="E595" s="27" t="n"/>
      <c r="F595" s="27" t="n"/>
      <c r="G595" s="27" t="n"/>
      <c r="H595" s="62" t="n"/>
      <c r="I595" s="31" t="n"/>
      <c r="J595" s="31" t="n"/>
      <c r="K595" s="31" t="n"/>
      <c r="L595" s="31" t="n"/>
      <c r="M595" s="1" t="n"/>
    </row>
    <row r="596">
      <c r="A596" s="1" t="n"/>
      <c r="B596" s="24" t="n">
        <v>590</v>
      </c>
      <c r="C596" s="61" t="n"/>
      <c r="D596" s="27" t="n"/>
      <c r="E596" s="27" t="n"/>
      <c r="F596" s="27" t="n"/>
      <c r="G596" s="27" t="n"/>
      <c r="H596" s="62" t="n"/>
      <c r="I596" s="31" t="n"/>
      <c r="J596" s="31" t="n"/>
      <c r="K596" s="31" t="n"/>
      <c r="L596" s="31" t="n"/>
      <c r="M596" s="1" t="n"/>
    </row>
    <row r="597">
      <c r="A597" s="1" t="n"/>
      <c r="B597" s="24" t="n">
        <v>591</v>
      </c>
      <c r="C597" s="61" t="n"/>
      <c r="D597" s="27" t="n"/>
      <c r="E597" s="27" t="n"/>
      <c r="F597" s="27" t="n"/>
      <c r="G597" s="27" t="n"/>
      <c r="H597" s="62" t="n"/>
      <c r="I597" s="31" t="n"/>
      <c r="J597" s="31" t="n"/>
      <c r="K597" s="31" t="n"/>
      <c r="L597" s="31" t="n"/>
      <c r="M597" s="1" t="n"/>
    </row>
    <row r="598">
      <c r="A598" s="1" t="n"/>
      <c r="B598" s="24" t="n">
        <v>592</v>
      </c>
      <c r="C598" s="61" t="n"/>
      <c r="D598" s="27" t="n"/>
      <c r="E598" s="27" t="n"/>
      <c r="F598" s="27" t="n"/>
      <c r="G598" s="27" t="n"/>
      <c r="H598" s="62" t="n"/>
      <c r="I598" s="31" t="n"/>
      <c r="J598" s="31" t="n"/>
      <c r="K598" s="31" t="n"/>
      <c r="L598" s="31" t="n"/>
      <c r="M598" s="1" t="n"/>
    </row>
    <row r="599">
      <c r="A599" s="1" t="n"/>
      <c r="B599" s="24" t="n">
        <v>593</v>
      </c>
      <c r="C599" s="61" t="n"/>
      <c r="D599" s="27" t="n"/>
      <c r="E599" s="27" t="n"/>
      <c r="F599" s="27" t="n"/>
      <c r="G599" s="27" t="n"/>
      <c r="H599" s="62" t="n"/>
      <c r="I599" s="31" t="n"/>
      <c r="J599" s="31" t="n"/>
      <c r="K599" s="31" t="n"/>
      <c r="L599" s="31" t="n"/>
      <c r="M599" s="1" t="n"/>
    </row>
    <row r="600">
      <c r="A600" s="1" t="n"/>
      <c r="B600" s="24" t="n">
        <v>594</v>
      </c>
      <c r="C600" s="61" t="n"/>
      <c r="D600" s="27" t="n"/>
      <c r="E600" s="27" t="n"/>
      <c r="F600" s="27" t="n"/>
      <c r="G600" s="27" t="n"/>
      <c r="H600" s="62" t="n"/>
      <c r="I600" s="31" t="n"/>
      <c r="J600" s="31" t="n"/>
      <c r="K600" s="31" t="n"/>
      <c r="L600" s="31" t="n"/>
      <c r="M600" s="1" t="n"/>
    </row>
    <row r="601">
      <c r="A601" s="1" t="n"/>
      <c r="B601" s="24" t="n">
        <v>595</v>
      </c>
      <c r="C601" s="61" t="n"/>
      <c r="D601" s="27" t="n"/>
      <c r="E601" s="27" t="n"/>
      <c r="F601" s="27" t="n"/>
      <c r="G601" s="27" t="n"/>
      <c r="H601" s="62" t="n"/>
      <c r="I601" s="31" t="n"/>
      <c r="J601" s="31" t="n"/>
      <c r="K601" s="31" t="n"/>
      <c r="L601" s="31" t="n"/>
      <c r="M601" s="1" t="n"/>
    </row>
    <row r="602">
      <c r="A602" s="1" t="n"/>
      <c r="B602" s="24" t="n">
        <v>596</v>
      </c>
      <c r="C602" s="61" t="n"/>
      <c r="D602" s="27" t="n"/>
      <c r="E602" s="27" t="n"/>
      <c r="F602" s="27" t="n"/>
      <c r="G602" s="27" t="n"/>
      <c r="H602" s="62" t="n"/>
      <c r="I602" s="31" t="n"/>
      <c r="J602" s="31" t="n"/>
      <c r="K602" s="31" t="n"/>
      <c r="L602" s="31" t="n"/>
      <c r="M602" s="1" t="n"/>
    </row>
    <row r="603">
      <c r="A603" s="1" t="n"/>
      <c r="B603" s="24" t="n">
        <v>597</v>
      </c>
      <c r="C603" s="61" t="n"/>
      <c r="D603" s="27" t="n"/>
      <c r="E603" s="27" t="n"/>
      <c r="F603" s="27" t="n"/>
      <c r="G603" s="27" t="n"/>
      <c r="H603" s="62" t="n"/>
      <c r="I603" s="31" t="n"/>
      <c r="J603" s="31" t="n"/>
      <c r="K603" s="31" t="n"/>
      <c r="L603" s="31" t="n"/>
      <c r="M603" s="1" t="n"/>
    </row>
    <row r="604">
      <c r="A604" s="1" t="n"/>
      <c r="B604" s="24" t="n">
        <v>598</v>
      </c>
      <c r="C604" s="61" t="n"/>
      <c r="D604" s="27" t="n"/>
      <c r="E604" s="27" t="n"/>
      <c r="F604" s="27" t="n"/>
      <c r="G604" s="27" t="n"/>
      <c r="H604" s="62" t="n"/>
      <c r="I604" s="31" t="n"/>
      <c r="J604" s="31" t="n"/>
      <c r="K604" s="31" t="n"/>
      <c r="L604" s="31" t="n"/>
      <c r="M604" s="1" t="n"/>
    </row>
    <row r="605">
      <c r="A605" s="1" t="n"/>
      <c r="B605" s="24" t="n">
        <v>599</v>
      </c>
      <c r="C605" s="61" t="n"/>
      <c r="D605" s="27" t="n"/>
      <c r="E605" s="27" t="n"/>
      <c r="F605" s="27" t="n"/>
      <c r="G605" s="27" t="n"/>
      <c r="H605" s="62" t="n"/>
      <c r="I605" s="31" t="n"/>
      <c r="J605" s="31" t="n"/>
      <c r="K605" s="31" t="n"/>
      <c r="L605" s="31" t="n"/>
      <c r="M605" s="1" t="n"/>
    </row>
    <row r="606">
      <c r="A606" s="1" t="n"/>
      <c r="B606" s="24" t="n">
        <v>600</v>
      </c>
      <c r="C606" s="61" t="n"/>
      <c r="D606" s="27" t="n"/>
      <c r="E606" s="27" t="n"/>
      <c r="F606" s="27" t="n"/>
      <c r="G606" s="27" t="n"/>
      <c r="H606" s="62" t="n"/>
      <c r="I606" s="31" t="n"/>
      <c r="J606" s="31" t="n"/>
      <c r="K606" s="31" t="n"/>
      <c r="L606" s="31" t="n"/>
      <c r="M606" s="1" t="n"/>
    </row>
    <row r="607">
      <c r="A607" s="1" t="n"/>
      <c r="B607" s="24" t="n">
        <v>601</v>
      </c>
      <c r="C607" s="61" t="n"/>
      <c r="D607" s="27" t="n"/>
      <c r="E607" s="27" t="n"/>
      <c r="F607" s="27" t="n"/>
      <c r="G607" s="27" t="n"/>
      <c r="H607" s="62" t="n"/>
      <c r="I607" s="31" t="n"/>
      <c r="J607" s="31" t="n"/>
      <c r="K607" s="31" t="n"/>
      <c r="L607" s="31" t="n"/>
      <c r="M607" s="1" t="n"/>
    </row>
    <row r="608">
      <c r="A608" s="1" t="n"/>
      <c r="B608" s="24" t="n">
        <v>602</v>
      </c>
      <c r="C608" s="61" t="n"/>
      <c r="D608" s="27" t="n"/>
      <c r="E608" s="27" t="n"/>
      <c r="F608" s="27" t="n"/>
      <c r="G608" s="27" t="n"/>
      <c r="H608" s="62" t="n"/>
      <c r="I608" s="31" t="n"/>
      <c r="J608" s="31" t="n"/>
      <c r="K608" s="31" t="n"/>
      <c r="L608" s="31" t="n"/>
      <c r="M608" s="1" t="n"/>
    </row>
    <row r="609">
      <c r="A609" s="1" t="n"/>
      <c r="B609" s="24" t="n">
        <v>603</v>
      </c>
      <c r="C609" s="61" t="n"/>
      <c r="D609" s="27" t="n"/>
      <c r="E609" s="27" t="n"/>
      <c r="F609" s="27" t="n"/>
      <c r="G609" s="27" t="n"/>
      <c r="H609" s="62" t="n"/>
      <c r="I609" s="31" t="n"/>
      <c r="J609" s="31" t="n"/>
      <c r="K609" s="31" t="n"/>
      <c r="L609" s="31" t="n"/>
      <c r="M609" s="1" t="n"/>
    </row>
    <row r="610">
      <c r="A610" s="1" t="n"/>
      <c r="B610" s="24" t="n">
        <v>604</v>
      </c>
      <c r="C610" s="61" t="n"/>
      <c r="D610" s="27" t="n"/>
      <c r="E610" s="27" t="n"/>
      <c r="F610" s="27" t="n"/>
      <c r="G610" s="27" t="n"/>
      <c r="H610" s="62" t="n"/>
      <c r="I610" s="31" t="n"/>
      <c r="J610" s="31" t="n"/>
      <c r="K610" s="31" t="n"/>
      <c r="L610" s="31" t="n"/>
      <c r="M610" s="1" t="n"/>
    </row>
    <row r="611">
      <c r="A611" s="1" t="n"/>
      <c r="B611" s="24" t="n">
        <v>605</v>
      </c>
      <c r="C611" s="61" t="n"/>
      <c r="D611" s="27" t="n"/>
      <c r="E611" s="27" t="n"/>
      <c r="F611" s="27" t="n"/>
      <c r="G611" s="27" t="n"/>
      <c r="H611" s="62" t="n"/>
      <c r="I611" s="31" t="n"/>
      <c r="J611" s="31" t="n"/>
      <c r="K611" s="31" t="n"/>
      <c r="L611" s="31" t="n"/>
      <c r="M611" s="1" t="n"/>
    </row>
    <row r="612">
      <c r="A612" s="1" t="n"/>
      <c r="B612" s="24" t="n">
        <v>606</v>
      </c>
      <c r="C612" s="61" t="n"/>
      <c r="D612" s="27" t="n"/>
      <c r="E612" s="27" t="n"/>
      <c r="F612" s="27" t="n"/>
      <c r="G612" s="27" t="n"/>
      <c r="H612" s="62" t="n"/>
      <c r="I612" s="31" t="n"/>
      <c r="J612" s="31" t="n"/>
      <c r="K612" s="31" t="n"/>
      <c r="L612" s="31" t="n"/>
      <c r="M612" s="1" t="n"/>
    </row>
    <row r="613">
      <c r="A613" s="1" t="n"/>
      <c r="B613" s="24" t="n">
        <v>607</v>
      </c>
      <c r="C613" s="61" t="n"/>
      <c r="D613" s="27" t="n"/>
      <c r="E613" s="27" t="n"/>
      <c r="F613" s="27" t="n"/>
      <c r="G613" s="27" t="n"/>
      <c r="H613" s="62" t="n"/>
      <c r="I613" s="31" t="n"/>
      <c r="J613" s="31" t="n"/>
      <c r="K613" s="31" t="n"/>
      <c r="L613" s="31" t="n"/>
      <c r="M613" s="1" t="n"/>
    </row>
    <row r="614">
      <c r="A614" s="1" t="n"/>
      <c r="B614" s="24" t="n">
        <v>608</v>
      </c>
      <c r="C614" s="61" t="n"/>
      <c r="D614" s="27" t="n"/>
      <c r="E614" s="27" t="n"/>
      <c r="F614" s="27" t="n"/>
      <c r="G614" s="27" t="n"/>
      <c r="H614" s="62" t="n"/>
      <c r="I614" s="31" t="n"/>
      <c r="J614" s="31" t="n"/>
      <c r="K614" s="31" t="n"/>
      <c r="L614" s="31" t="n"/>
      <c r="M614" s="1" t="n"/>
    </row>
    <row r="615">
      <c r="A615" s="1" t="n"/>
      <c r="B615" s="24" t="n">
        <v>609</v>
      </c>
      <c r="C615" s="61" t="n"/>
      <c r="D615" s="27" t="n"/>
      <c r="E615" s="27" t="n"/>
      <c r="F615" s="27" t="n"/>
      <c r="G615" s="27" t="n"/>
      <c r="H615" s="62" t="n"/>
      <c r="I615" s="31" t="n"/>
      <c r="J615" s="31" t="n"/>
      <c r="K615" s="31" t="n"/>
      <c r="L615" s="31" t="n"/>
      <c r="M615" s="1" t="n"/>
    </row>
    <row r="616">
      <c r="A616" s="1" t="n"/>
      <c r="B616" s="24" t="n">
        <v>610</v>
      </c>
      <c r="C616" s="61" t="n"/>
      <c r="D616" s="27" t="n"/>
      <c r="E616" s="27" t="n"/>
      <c r="F616" s="27" t="n"/>
      <c r="G616" s="27" t="n"/>
      <c r="H616" s="62" t="n"/>
      <c r="I616" s="31" t="n"/>
      <c r="J616" s="31" t="n"/>
      <c r="K616" s="31" t="n"/>
      <c r="L616" s="31" t="n"/>
      <c r="M616" s="1" t="n"/>
    </row>
    <row r="617">
      <c r="A617" s="1" t="n"/>
      <c r="B617" s="24" t="n">
        <v>611</v>
      </c>
      <c r="C617" s="61" t="n"/>
      <c r="D617" s="27" t="n"/>
      <c r="E617" s="27" t="n"/>
      <c r="F617" s="27" t="n"/>
      <c r="G617" s="27" t="n"/>
      <c r="H617" s="62" t="n"/>
      <c r="I617" s="31" t="n"/>
      <c r="J617" s="31" t="n"/>
      <c r="K617" s="31" t="n"/>
      <c r="L617" s="31" t="n"/>
      <c r="M617" s="1" t="n"/>
    </row>
    <row r="618">
      <c r="A618" s="1" t="n"/>
      <c r="B618" s="24" t="n">
        <v>612</v>
      </c>
      <c r="C618" s="61" t="n"/>
      <c r="D618" s="27" t="n"/>
      <c r="E618" s="27" t="n"/>
      <c r="F618" s="27" t="n"/>
      <c r="G618" s="27" t="n"/>
      <c r="H618" s="62" t="n"/>
      <c r="I618" s="31" t="n"/>
      <c r="J618" s="31" t="n"/>
      <c r="K618" s="31" t="n"/>
      <c r="L618" s="31" t="n"/>
      <c r="M618" s="1" t="n"/>
    </row>
    <row r="619">
      <c r="A619" s="1" t="n"/>
      <c r="B619" s="24" t="n">
        <v>613</v>
      </c>
      <c r="C619" s="61" t="n"/>
      <c r="D619" s="27" t="n"/>
      <c r="E619" s="27" t="n"/>
      <c r="F619" s="27" t="n"/>
      <c r="G619" s="27" t="n"/>
      <c r="H619" s="62" t="n"/>
      <c r="I619" s="31" t="n"/>
      <c r="J619" s="31" t="n"/>
      <c r="K619" s="31" t="n"/>
      <c r="L619" s="31" t="n"/>
      <c r="M619" s="1" t="n"/>
    </row>
    <row r="620">
      <c r="A620" s="1" t="n"/>
      <c r="B620" s="24" t="n">
        <v>614</v>
      </c>
      <c r="C620" s="61" t="n"/>
      <c r="D620" s="27" t="n"/>
      <c r="E620" s="27" t="n"/>
      <c r="F620" s="27" t="n"/>
      <c r="G620" s="27" t="n"/>
      <c r="H620" s="62" t="n"/>
      <c r="I620" s="31" t="n"/>
      <c r="J620" s="31" t="n"/>
      <c r="K620" s="31" t="n"/>
      <c r="L620" s="31" t="n"/>
      <c r="M620" s="1" t="n"/>
    </row>
    <row r="621">
      <c r="A621" s="1" t="n"/>
      <c r="B621" s="24" t="n">
        <v>615</v>
      </c>
      <c r="C621" s="61" t="n"/>
      <c r="D621" s="27" t="n"/>
      <c r="E621" s="27" t="n"/>
      <c r="F621" s="27" t="n"/>
      <c r="G621" s="27" t="n"/>
      <c r="H621" s="62" t="n"/>
      <c r="I621" s="31" t="n"/>
      <c r="J621" s="31" t="n"/>
      <c r="K621" s="31" t="n"/>
      <c r="L621" s="31" t="n"/>
      <c r="M621" s="1" t="n"/>
    </row>
    <row r="622">
      <c r="A622" s="1" t="n"/>
      <c r="B622" s="24" t="n">
        <v>616</v>
      </c>
      <c r="C622" s="61" t="n"/>
      <c r="D622" s="27" t="n"/>
      <c r="E622" s="27" t="n"/>
      <c r="F622" s="27" t="n"/>
      <c r="G622" s="27" t="n"/>
      <c r="H622" s="62" t="n"/>
      <c r="I622" s="31" t="n"/>
      <c r="J622" s="31" t="n"/>
      <c r="K622" s="31" t="n"/>
      <c r="L622" s="31" t="n"/>
      <c r="M622" s="1" t="n"/>
    </row>
    <row r="623">
      <c r="A623" s="1" t="n"/>
      <c r="B623" s="24" t="n">
        <v>617</v>
      </c>
      <c r="C623" s="61" t="n"/>
      <c r="D623" s="27" t="n"/>
      <c r="E623" s="27" t="n"/>
      <c r="F623" s="27" t="n"/>
      <c r="G623" s="27" t="n"/>
      <c r="H623" s="62" t="n"/>
      <c r="I623" s="31" t="n"/>
      <c r="J623" s="31" t="n"/>
      <c r="K623" s="31" t="n"/>
      <c r="L623" s="31" t="n"/>
      <c r="M623" s="1" t="n"/>
    </row>
    <row r="624">
      <c r="A624" s="1" t="n"/>
      <c r="B624" s="24" t="n">
        <v>618</v>
      </c>
      <c r="C624" s="61" t="n"/>
      <c r="D624" s="27" t="n"/>
      <c r="E624" s="27" t="n"/>
      <c r="F624" s="27" t="n"/>
      <c r="G624" s="27" t="n"/>
      <c r="H624" s="62" t="n"/>
      <c r="I624" s="31" t="n"/>
      <c r="J624" s="31" t="n"/>
      <c r="K624" s="31" t="n"/>
      <c r="L624" s="31" t="n"/>
      <c r="M624" s="1" t="n"/>
    </row>
    <row r="625">
      <c r="A625" s="1" t="n"/>
      <c r="B625" s="24" t="n">
        <v>619</v>
      </c>
      <c r="C625" s="61" t="n"/>
      <c r="D625" s="27" t="n"/>
      <c r="E625" s="27" t="n"/>
      <c r="F625" s="27" t="n"/>
      <c r="G625" s="27" t="n"/>
      <c r="H625" s="62" t="n"/>
      <c r="I625" s="31" t="n"/>
      <c r="J625" s="31" t="n"/>
      <c r="K625" s="31" t="n"/>
      <c r="L625" s="31" t="n"/>
      <c r="M625" s="1" t="n"/>
    </row>
    <row r="626">
      <c r="A626" s="1" t="n"/>
      <c r="B626" s="24" t="n">
        <v>620</v>
      </c>
      <c r="C626" s="61" t="n"/>
      <c r="D626" s="27" t="n"/>
      <c r="E626" s="27" t="n"/>
      <c r="F626" s="27" t="n"/>
      <c r="G626" s="27" t="n"/>
      <c r="H626" s="62" t="n"/>
      <c r="I626" s="31" t="n"/>
      <c r="J626" s="31" t="n"/>
      <c r="K626" s="31" t="n"/>
      <c r="L626" s="31" t="n"/>
      <c r="M626" s="1" t="n"/>
    </row>
    <row r="627">
      <c r="A627" s="1" t="n"/>
      <c r="B627" s="24" t="n">
        <v>621</v>
      </c>
      <c r="C627" s="61" t="n"/>
      <c r="D627" s="27" t="n"/>
      <c r="E627" s="27" t="n"/>
      <c r="F627" s="27" t="n"/>
      <c r="G627" s="27" t="n"/>
      <c r="H627" s="62" t="n"/>
      <c r="I627" s="31" t="n"/>
      <c r="J627" s="31" t="n"/>
      <c r="K627" s="31" t="n"/>
      <c r="L627" s="31" t="n"/>
      <c r="M627" s="1" t="n"/>
    </row>
    <row r="628">
      <c r="A628" s="1" t="n"/>
      <c r="B628" s="24" t="n">
        <v>622</v>
      </c>
      <c r="C628" s="61" t="n"/>
      <c r="D628" s="27" t="n"/>
      <c r="E628" s="27" t="n"/>
      <c r="F628" s="27" t="n"/>
      <c r="G628" s="27" t="n"/>
      <c r="H628" s="62" t="n"/>
      <c r="I628" s="31" t="n"/>
      <c r="J628" s="31" t="n"/>
      <c r="K628" s="31" t="n"/>
      <c r="L628" s="31" t="n"/>
      <c r="M628" s="1" t="n"/>
    </row>
    <row r="629">
      <c r="A629" s="1" t="n"/>
      <c r="B629" s="24" t="n">
        <v>623</v>
      </c>
      <c r="C629" s="61" t="n"/>
      <c r="D629" s="27" t="n"/>
      <c r="E629" s="27" t="n"/>
      <c r="F629" s="27" t="n"/>
      <c r="G629" s="27" t="n"/>
      <c r="H629" s="62" t="n"/>
      <c r="I629" s="31" t="n"/>
      <c r="J629" s="31" t="n"/>
      <c r="K629" s="31" t="n"/>
      <c r="L629" s="31" t="n"/>
      <c r="M629" s="1" t="n"/>
    </row>
    <row r="630">
      <c r="A630" s="1" t="n"/>
      <c r="B630" s="24" t="n">
        <v>624</v>
      </c>
      <c r="C630" s="61" t="n"/>
      <c r="D630" s="27" t="n"/>
      <c r="E630" s="27" t="n"/>
      <c r="F630" s="27" t="n"/>
      <c r="G630" s="27" t="n"/>
      <c r="H630" s="62" t="n"/>
      <c r="I630" s="31" t="n"/>
      <c r="J630" s="31" t="n"/>
      <c r="K630" s="31" t="n"/>
      <c r="L630" s="31" t="n"/>
      <c r="M630" s="1" t="n"/>
    </row>
    <row r="631">
      <c r="A631" s="1" t="n"/>
      <c r="B631" s="24" t="n">
        <v>625</v>
      </c>
      <c r="C631" s="61" t="n"/>
      <c r="D631" s="27" t="n"/>
      <c r="E631" s="27" t="n"/>
      <c r="F631" s="27" t="n"/>
      <c r="G631" s="27" t="n"/>
      <c r="H631" s="62" t="n"/>
      <c r="I631" s="31" t="n"/>
      <c r="J631" s="31" t="n"/>
      <c r="K631" s="31" t="n"/>
      <c r="L631" s="31" t="n"/>
      <c r="M631" s="1" t="n"/>
    </row>
    <row r="632">
      <c r="A632" s="1" t="n"/>
      <c r="B632" s="24" t="n">
        <v>626</v>
      </c>
      <c r="C632" s="61" t="n"/>
      <c r="D632" s="27" t="n"/>
      <c r="E632" s="27" t="n"/>
      <c r="F632" s="27" t="n"/>
      <c r="G632" s="27" t="n"/>
      <c r="H632" s="62" t="n"/>
      <c r="I632" s="31" t="n"/>
      <c r="J632" s="31" t="n"/>
      <c r="K632" s="31" t="n"/>
      <c r="L632" s="31" t="n"/>
      <c r="M632" s="1" t="n"/>
    </row>
    <row r="633">
      <c r="A633" s="1" t="n"/>
      <c r="B633" s="24" t="n">
        <v>627</v>
      </c>
      <c r="C633" s="61" t="n"/>
      <c r="D633" s="27" t="n"/>
      <c r="E633" s="27" t="n"/>
      <c r="F633" s="27" t="n"/>
      <c r="G633" s="27" t="n"/>
      <c r="H633" s="62" t="n"/>
      <c r="I633" s="31" t="n"/>
      <c r="J633" s="31" t="n"/>
      <c r="K633" s="31" t="n"/>
      <c r="L633" s="31" t="n"/>
      <c r="M633" s="1" t="n"/>
    </row>
    <row r="634">
      <c r="A634" s="1" t="n"/>
      <c r="B634" s="24" t="n">
        <v>628</v>
      </c>
      <c r="C634" s="61" t="n"/>
      <c r="D634" s="27" t="n"/>
      <c r="E634" s="27" t="n"/>
      <c r="F634" s="27" t="n"/>
      <c r="G634" s="27" t="n"/>
      <c r="H634" s="62" t="n"/>
      <c r="I634" s="31" t="n"/>
      <c r="J634" s="31" t="n"/>
      <c r="K634" s="31" t="n"/>
      <c r="L634" s="31" t="n"/>
      <c r="M634" s="1" t="n"/>
    </row>
    <row r="635">
      <c r="A635" s="1" t="n"/>
      <c r="B635" s="24" t="n">
        <v>629</v>
      </c>
      <c r="C635" s="61" t="n"/>
      <c r="D635" s="27" t="n"/>
      <c r="E635" s="27" t="n"/>
      <c r="F635" s="27" t="n"/>
      <c r="G635" s="27" t="n"/>
      <c r="H635" s="62" t="n"/>
      <c r="I635" s="31" t="n"/>
      <c r="J635" s="31" t="n"/>
      <c r="K635" s="31" t="n"/>
      <c r="L635" s="31" t="n"/>
      <c r="M635" s="1" t="n"/>
    </row>
    <row r="636">
      <c r="A636" s="1" t="n"/>
      <c r="B636" s="24" t="n">
        <v>630</v>
      </c>
      <c r="C636" s="61" t="n"/>
      <c r="D636" s="27" t="n"/>
      <c r="E636" s="27" t="n"/>
      <c r="F636" s="27" t="n"/>
      <c r="G636" s="27" t="n"/>
      <c r="H636" s="62" t="n"/>
      <c r="I636" s="31" t="n"/>
      <c r="J636" s="31" t="n"/>
      <c r="K636" s="31" t="n"/>
      <c r="L636" s="31" t="n"/>
      <c r="M636" s="1" t="n"/>
    </row>
    <row r="637">
      <c r="A637" s="1" t="n"/>
      <c r="B637" s="24" t="n">
        <v>631</v>
      </c>
      <c r="C637" s="61" t="n"/>
      <c r="D637" s="27" t="n"/>
      <c r="E637" s="27" t="n"/>
      <c r="F637" s="27" t="n"/>
      <c r="G637" s="27" t="n"/>
      <c r="H637" s="62" t="n"/>
      <c r="I637" s="31" t="n"/>
      <c r="J637" s="31" t="n"/>
      <c r="K637" s="31" t="n"/>
      <c r="L637" s="31" t="n"/>
      <c r="M637" s="1" t="n"/>
    </row>
    <row r="638">
      <c r="A638" s="1" t="n"/>
      <c r="B638" s="24" t="n">
        <v>632</v>
      </c>
      <c r="C638" s="61" t="n"/>
      <c r="D638" s="27" t="n"/>
      <c r="E638" s="27" t="n"/>
      <c r="F638" s="27" t="n"/>
      <c r="G638" s="27" t="n"/>
      <c r="H638" s="62" t="n"/>
      <c r="I638" s="31" t="n"/>
      <c r="J638" s="31" t="n"/>
      <c r="K638" s="31" t="n"/>
      <c r="L638" s="31" t="n"/>
      <c r="M638" s="1" t="n"/>
    </row>
    <row r="639">
      <c r="A639" s="1" t="n"/>
      <c r="B639" s="24" t="n">
        <v>633</v>
      </c>
      <c r="C639" s="61" t="n"/>
      <c r="D639" s="27" t="n"/>
      <c r="E639" s="27" t="n"/>
      <c r="F639" s="27" t="n"/>
      <c r="G639" s="27" t="n"/>
      <c r="H639" s="62" t="n"/>
      <c r="I639" s="31" t="n"/>
      <c r="J639" s="31" t="n"/>
      <c r="K639" s="31" t="n"/>
      <c r="L639" s="31" t="n"/>
      <c r="M639" s="1" t="n"/>
    </row>
    <row r="640">
      <c r="A640" s="1" t="n"/>
      <c r="B640" s="24" t="n">
        <v>634</v>
      </c>
      <c r="C640" s="61" t="n"/>
      <c r="D640" s="27" t="n"/>
      <c r="E640" s="27" t="n"/>
      <c r="F640" s="27" t="n"/>
      <c r="G640" s="27" t="n"/>
      <c r="H640" s="62" t="n"/>
      <c r="I640" s="31" t="n"/>
      <c r="J640" s="31" t="n"/>
      <c r="K640" s="31" t="n"/>
      <c r="L640" s="31" t="n"/>
      <c r="M640" s="1" t="n"/>
    </row>
    <row r="641">
      <c r="A641" s="1" t="n"/>
      <c r="B641" s="24" t="n">
        <v>635</v>
      </c>
      <c r="C641" s="61" t="n"/>
      <c r="D641" s="27" t="n"/>
      <c r="E641" s="27" t="n"/>
      <c r="F641" s="27" t="n"/>
      <c r="G641" s="27" t="n"/>
      <c r="H641" s="62" t="n"/>
      <c r="I641" s="31" t="n"/>
      <c r="J641" s="31" t="n"/>
      <c r="K641" s="31" t="n"/>
      <c r="L641" s="31" t="n"/>
      <c r="M641" s="1" t="n"/>
    </row>
    <row r="642">
      <c r="A642" s="1" t="n"/>
      <c r="B642" s="24" t="n">
        <v>636</v>
      </c>
      <c r="C642" s="61" t="n"/>
      <c r="D642" s="27" t="n"/>
      <c r="E642" s="27" t="n"/>
      <c r="F642" s="27" t="n"/>
      <c r="G642" s="27" t="n"/>
      <c r="H642" s="62" t="n"/>
      <c r="I642" s="31" t="n"/>
      <c r="J642" s="31" t="n"/>
      <c r="K642" s="31" t="n"/>
      <c r="L642" s="31" t="n"/>
      <c r="M642" s="1" t="n"/>
    </row>
    <row r="643">
      <c r="A643" s="1" t="n"/>
      <c r="B643" s="24" t="n">
        <v>637</v>
      </c>
      <c r="C643" s="61" t="n"/>
      <c r="D643" s="27" t="n"/>
      <c r="E643" s="27" t="n"/>
      <c r="F643" s="27" t="n"/>
      <c r="G643" s="27" t="n"/>
      <c r="H643" s="62" t="n"/>
      <c r="I643" s="31" t="n"/>
      <c r="J643" s="31" t="n"/>
      <c r="K643" s="31" t="n"/>
      <c r="L643" s="31" t="n"/>
      <c r="M643" s="1" t="n"/>
    </row>
    <row r="644">
      <c r="A644" s="1" t="n"/>
      <c r="B644" s="24" t="n">
        <v>638</v>
      </c>
      <c r="C644" s="61" t="n"/>
      <c r="D644" s="27" t="n"/>
      <c r="E644" s="27" t="n"/>
      <c r="F644" s="27" t="n"/>
      <c r="G644" s="27" t="n"/>
      <c r="H644" s="62" t="n"/>
      <c r="I644" s="31" t="n"/>
      <c r="J644" s="31" t="n"/>
      <c r="K644" s="31" t="n"/>
      <c r="L644" s="31" t="n"/>
      <c r="M644" s="1" t="n"/>
    </row>
    <row r="645">
      <c r="A645" s="1" t="n"/>
      <c r="B645" s="24" t="n">
        <v>639</v>
      </c>
      <c r="C645" s="61" t="n"/>
      <c r="D645" s="27" t="n"/>
      <c r="E645" s="27" t="n"/>
      <c r="F645" s="27" t="n"/>
      <c r="G645" s="27" t="n"/>
      <c r="H645" s="62" t="n"/>
      <c r="I645" s="31" t="n"/>
      <c r="J645" s="31" t="n"/>
      <c r="K645" s="31" t="n"/>
      <c r="L645" s="31" t="n"/>
      <c r="M645" s="1" t="n"/>
    </row>
    <row r="646">
      <c r="A646" s="1" t="n"/>
      <c r="B646" s="24" t="n">
        <v>640</v>
      </c>
      <c r="C646" s="61" t="n"/>
      <c r="D646" s="27" t="n"/>
      <c r="E646" s="27" t="n"/>
      <c r="F646" s="27" t="n"/>
      <c r="G646" s="27" t="n"/>
      <c r="H646" s="62" t="n"/>
      <c r="I646" s="31" t="n"/>
      <c r="J646" s="31" t="n"/>
      <c r="K646" s="31" t="n"/>
      <c r="L646" s="31" t="n"/>
      <c r="M646" s="1" t="n"/>
    </row>
    <row r="647">
      <c r="A647" s="1" t="n"/>
      <c r="B647" s="24" t="n">
        <v>641</v>
      </c>
      <c r="C647" s="61" t="n"/>
      <c r="D647" s="27" t="n"/>
      <c r="E647" s="27" t="n"/>
      <c r="F647" s="27" t="n"/>
      <c r="G647" s="27" t="n"/>
      <c r="H647" s="62" t="n"/>
      <c r="I647" s="31" t="n"/>
      <c r="J647" s="31" t="n"/>
      <c r="K647" s="31" t="n"/>
      <c r="L647" s="31" t="n"/>
      <c r="M647" s="1" t="n"/>
    </row>
    <row r="648">
      <c r="A648" s="1" t="n"/>
      <c r="B648" s="24" t="n">
        <v>642</v>
      </c>
      <c r="C648" s="61" t="n"/>
      <c r="D648" s="27" t="n"/>
      <c r="E648" s="27" t="n"/>
      <c r="F648" s="27" t="n"/>
      <c r="G648" s="27" t="n"/>
      <c r="H648" s="62" t="n"/>
      <c r="I648" s="31" t="n"/>
      <c r="J648" s="31" t="n"/>
      <c r="K648" s="31" t="n"/>
      <c r="L648" s="31" t="n"/>
      <c r="M648" s="1" t="n"/>
    </row>
    <row r="649">
      <c r="A649" s="1" t="n"/>
      <c r="B649" s="24" t="n">
        <v>643</v>
      </c>
      <c r="C649" s="61" t="n"/>
      <c r="D649" s="27" t="n"/>
      <c r="E649" s="27" t="n"/>
      <c r="F649" s="27" t="n"/>
      <c r="G649" s="27" t="n"/>
      <c r="H649" s="62" t="n"/>
      <c r="I649" s="31" t="n"/>
      <c r="J649" s="31" t="n"/>
      <c r="K649" s="31" t="n"/>
      <c r="L649" s="31" t="n"/>
      <c r="M649" s="1" t="n"/>
    </row>
    <row r="650">
      <c r="A650" s="1" t="n"/>
      <c r="B650" s="24" t="n">
        <v>644</v>
      </c>
      <c r="C650" s="61" t="n"/>
      <c r="D650" s="27" t="n"/>
      <c r="E650" s="27" t="n"/>
      <c r="F650" s="27" t="n"/>
      <c r="G650" s="27" t="n"/>
      <c r="H650" s="62" t="n"/>
      <c r="I650" s="31" t="n"/>
      <c r="J650" s="31" t="n"/>
      <c r="K650" s="31" t="n"/>
      <c r="L650" s="31" t="n"/>
      <c r="M650" s="1" t="n"/>
    </row>
    <row r="651">
      <c r="A651" s="1" t="n"/>
      <c r="B651" s="24" t="n">
        <v>645</v>
      </c>
      <c r="C651" s="61" t="n"/>
      <c r="D651" s="27" t="n"/>
      <c r="E651" s="27" t="n"/>
      <c r="F651" s="27" t="n"/>
      <c r="G651" s="27" t="n"/>
      <c r="H651" s="62" t="n"/>
      <c r="I651" s="31" t="n"/>
      <c r="J651" s="31" t="n"/>
      <c r="K651" s="31" t="n"/>
      <c r="L651" s="31" t="n"/>
      <c r="M651" s="1" t="n"/>
    </row>
    <row r="652">
      <c r="A652" s="1" t="n"/>
      <c r="B652" s="24" t="n">
        <v>646</v>
      </c>
      <c r="C652" s="61" t="n"/>
      <c r="D652" s="27" t="n"/>
      <c r="E652" s="27" t="n"/>
      <c r="F652" s="27" t="n"/>
      <c r="G652" s="27" t="n"/>
      <c r="H652" s="62" t="n"/>
      <c r="I652" s="31" t="n"/>
      <c r="J652" s="31" t="n"/>
      <c r="K652" s="31" t="n"/>
      <c r="L652" s="31" t="n"/>
      <c r="M652" s="1" t="n"/>
    </row>
    <row r="653">
      <c r="A653" s="1" t="n"/>
      <c r="B653" s="24" t="n">
        <v>647</v>
      </c>
      <c r="C653" s="61" t="n"/>
      <c r="D653" s="27" t="n"/>
      <c r="E653" s="27" t="n"/>
      <c r="F653" s="27" t="n"/>
      <c r="G653" s="27" t="n"/>
      <c r="H653" s="62" t="n"/>
      <c r="I653" s="31" t="n"/>
      <c r="J653" s="31" t="n"/>
      <c r="K653" s="31" t="n"/>
      <c r="L653" s="31" t="n"/>
      <c r="M653" s="1" t="n"/>
    </row>
    <row r="654">
      <c r="A654" s="1" t="n"/>
      <c r="B654" s="24" t="n">
        <v>648</v>
      </c>
      <c r="C654" s="61" t="n"/>
      <c r="D654" s="27" t="n"/>
      <c r="E654" s="27" t="n"/>
      <c r="F654" s="27" t="n"/>
      <c r="G654" s="27" t="n"/>
      <c r="H654" s="62" t="n"/>
      <c r="I654" s="31" t="n"/>
      <c r="J654" s="31" t="n"/>
      <c r="K654" s="31" t="n"/>
      <c r="L654" s="31" t="n"/>
      <c r="M654" s="1" t="n"/>
    </row>
    <row r="655">
      <c r="A655" s="1" t="n"/>
      <c r="B655" s="24" t="n">
        <v>649</v>
      </c>
      <c r="C655" s="61" t="n"/>
      <c r="D655" s="27" t="n"/>
      <c r="E655" s="27" t="n"/>
      <c r="F655" s="27" t="n"/>
      <c r="G655" s="27" t="n"/>
      <c r="H655" s="62" t="n"/>
      <c r="I655" s="31" t="n"/>
      <c r="J655" s="31" t="n"/>
      <c r="K655" s="31" t="n"/>
      <c r="L655" s="31" t="n"/>
      <c r="M655" s="1" t="n"/>
    </row>
    <row r="656">
      <c r="A656" s="1" t="n"/>
      <c r="B656" s="24" t="n">
        <v>650</v>
      </c>
      <c r="C656" s="61" t="n"/>
      <c r="D656" s="27" t="n"/>
      <c r="E656" s="27" t="n"/>
      <c r="F656" s="27" t="n"/>
      <c r="G656" s="27" t="n"/>
      <c r="H656" s="62" t="n"/>
      <c r="I656" s="31" t="n"/>
      <c r="J656" s="31" t="n"/>
      <c r="K656" s="31" t="n"/>
      <c r="L656" s="31" t="n"/>
      <c r="M656" s="1" t="n"/>
    </row>
    <row r="657">
      <c r="A657" s="1" t="n"/>
      <c r="B657" s="24" t="n">
        <v>651</v>
      </c>
      <c r="C657" s="61" t="n"/>
      <c r="D657" s="27" t="n"/>
      <c r="E657" s="27" t="n"/>
      <c r="F657" s="27" t="n"/>
      <c r="G657" s="27" t="n"/>
      <c r="H657" s="62" t="n"/>
      <c r="I657" s="31" t="n"/>
      <c r="J657" s="31" t="n"/>
      <c r="K657" s="31" t="n"/>
      <c r="L657" s="31" t="n"/>
      <c r="M657" s="1" t="n"/>
    </row>
    <row r="658">
      <c r="A658" s="1" t="n"/>
      <c r="B658" s="24" t="n">
        <v>652</v>
      </c>
      <c r="C658" s="61" t="n"/>
      <c r="D658" s="27" t="n"/>
      <c r="E658" s="27" t="n"/>
      <c r="F658" s="27" t="n"/>
      <c r="G658" s="27" t="n"/>
      <c r="H658" s="62" t="n"/>
      <c r="I658" s="31" t="n"/>
      <c r="J658" s="31" t="n"/>
      <c r="K658" s="31" t="n"/>
      <c r="L658" s="31" t="n"/>
      <c r="M658" s="1" t="n"/>
    </row>
    <row r="659">
      <c r="A659" s="1" t="n"/>
      <c r="B659" s="24" t="n">
        <v>653</v>
      </c>
      <c r="C659" s="61" t="n"/>
      <c r="D659" s="27" t="n"/>
      <c r="E659" s="27" t="n"/>
      <c r="F659" s="27" t="n"/>
      <c r="G659" s="27" t="n"/>
      <c r="H659" s="62" t="n"/>
      <c r="I659" s="31" t="n"/>
      <c r="J659" s="31" t="n"/>
      <c r="K659" s="31" t="n"/>
      <c r="L659" s="31" t="n"/>
      <c r="M659" s="1" t="n"/>
    </row>
    <row r="660">
      <c r="A660" s="1" t="n"/>
      <c r="B660" s="24" t="n">
        <v>654</v>
      </c>
      <c r="C660" s="61" t="n"/>
      <c r="D660" s="27" t="n"/>
      <c r="E660" s="27" t="n"/>
      <c r="F660" s="27" t="n"/>
      <c r="G660" s="27" t="n"/>
      <c r="H660" s="62" t="n"/>
      <c r="I660" s="31" t="n"/>
      <c r="J660" s="31" t="n"/>
      <c r="K660" s="31" t="n"/>
      <c r="L660" s="31" t="n"/>
      <c r="M660" s="1" t="n"/>
    </row>
    <row r="661">
      <c r="A661" s="1" t="n"/>
      <c r="B661" s="24" t="n">
        <v>655</v>
      </c>
      <c r="C661" s="61" t="n"/>
      <c r="D661" s="27" t="n"/>
      <c r="E661" s="27" t="n"/>
      <c r="F661" s="27" t="n"/>
      <c r="G661" s="27" t="n"/>
      <c r="H661" s="62" t="n"/>
      <c r="I661" s="31" t="n"/>
      <c r="J661" s="31" t="n"/>
      <c r="K661" s="31" t="n"/>
      <c r="L661" s="31" t="n"/>
      <c r="M661" s="1" t="n"/>
    </row>
    <row r="662">
      <c r="A662" s="1" t="n"/>
      <c r="B662" s="24" t="n">
        <v>656</v>
      </c>
      <c r="C662" s="61" t="n"/>
      <c r="D662" s="27" t="n"/>
      <c r="E662" s="27" t="n"/>
      <c r="F662" s="27" t="n"/>
      <c r="G662" s="27" t="n"/>
      <c r="H662" s="62" t="n"/>
      <c r="I662" s="31" t="n"/>
      <c r="J662" s="31" t="n"/>
      <c r="K662" s="31" t="n"/>
      <c r="L662" s="31" t="n"/>
      <c r="M662" s="1" t="n"/>
    </row>
    <row r="663">
      <c r="A663" s="1" t="n"/>
      <c r="B663" s="24" t="n">
        <v>657</v>
      </c>
      <c r="C663" s="61" t="n"/>
      <c r="D663" s="27" t="n"/>
      <c r="E663" s="27" t="n"/>
      <c r="F663" s="27" t="n"/>
      <c r="G663" s="27" t="n"/>
      <c r="H663" s="62" t="n"/>
      <c r="I663" s="31" t="n"/>
      <c r="J663" s="31" t="n"/>
      <c r="K663" s="31" t="n"/>
      <c r="L663" s="31" t="n"/>
      <c r="M663" s="1" t="n"/>
    </row>
    <row r="664">
      <c r="A664" s="1" t="n"/>
      <c r="B664" s="24" t="n">
        <v>658</v>
      </c>
      <c r="C664" s="61" t="n"/>
      <c r="D664" s="27" t="n"/>
      <c r="E664" s="27" t="n"/>
      <c r="F664" s="27" t="n"/>
      <c r="G664" s="27" t="n"/>
      <c r="H664" s="62" t="n"/>
      <c r="I664" s="31" t="n"/>
      <c r="J664" s="31" t="n"/>
      <c r="K664" s="31" t="n"/>
      <c r="L664" s="31" t="n"/>
      <c r="M664" s="1" t="n"/>
    </row>
    <row r="665">
      <c r="A665" s="1" t="n"/>
      <c r="B665" s="24" t="n">
        <v>659</v>
      </c>
      <c r="C665" s="61" t="n"/>
      <c r="D665" s="27" t="n"/>
      <c r="E665" s="27" t="n"/>
      <c r="F665" s="27" t="n"/>
      <c r="G665" s="27" t="n"/>
      <c r="H665" s="62" t="n"/>
      <c r="I665" s="31" t="n"/>
      <c r="J665" s="31" t="n"/>
      <c r="K665" s="31" t="n"/>
      <c r="L665" s="31" t="n"/>
      <c r="M665" s="1" t="n"/>
    </row>
    <row r="666">
      <c r="A666" s="1" t="n"/>
      <c r="B666" s="24" t="n">
        <v>660</v>
      </c>
      <c r="C666" s="61" t="n"/>
      <c r="D666" s="27" t="n"/>
      <c r="E666" s="27" t="n"/>
      <c r="F666" s="27" t="n"/>
      <c r="G666" s="27" t="n"/>
      <c r="H666" s="62" t="n"/>
      <c r="I666" s="31" t="n"/>
      <c r="J666" s="31" t="n"/>
      <c r="K666" s="31" t="n"/>
      <c r="L666" s="31" t="n"/>
      <c r="M666" s="1" t="n"/>
    </row>
    <row r="667">
      <c r="A667" s="1" t="n"/>
      <c r="B667" s="24" t="n">
        <v>661</v>
      </c>
      <c r="C667" s="61" t="n"/>
      <c r="D667" s="27" t="n"/>
      <c r="E667" s="27" t="n"/>
      <c r="F667" s="27" t="n"/>
      <c r="G667" s="27" t="n"/>
      <c r="H667" s="62" t="n"/>
      <c r="I667" s="31" t="n"/>
      <c r="J667" s="31" t="n"/>
      <c r="K667" s="31" t="n"/>
      <c r="L667" s="31" t="n"/>
      <c r="M667" s="1" t="n"/>
    </row>
    <row r="668">
      <c r="A668" s="1" t="n"/>
      <c r="B668" s="24" t="n">
        <v>662</v>
      </c>
      <c r="C668" s="61" t="n"/>
      <c r="D668" s="27" t="n"/>
      <c r="E668" s="27" t="n"/>
      <c r="F668" s="27" t="n"/>
      <c r="G668" s="27" t="n"/>
      <c r="H668" s="62" t="n"/>
      <c r="I668" s="31" t="n"/>
      <c r="J668" s="31" t="n"/>
      <c r="K668" s="31" t="n"/>
      <c r="L668" s="31" t="n"/>
      <c r="M668" s="1" t="n"/>
    </row>
    <row r="669">
      <c r="A669" s="1" t="n"/>
      <c r="B669" s="24" t="n">
        <v>663</v>
      </c>
      <c r="C669" s="61" t="n"/>
      <c r="D669" s="27" t="n"/>
      <c r="E669" s="27" t="n"/>
      <c r="F669" s="27" t="n"/>
      <c r="G669" s="27" t="n"/>
      <c r="H669" s="62" t="n"/>
      <c r="I669" s="31" t="n"/>
      <c r="J669" s="31" t="n"/>
      <c r="K669" s="31" t="n"/>
      <c r="L669" s="31" t="n"/>
      <c r="M669" s="1" t="n"/>
    </row>
    <row r="670">
      <c r="A670" s="1" t="n"/>
      <c r="B670" s="24" t="n">
        <v>664</v>
      </c>
      <c r="C670" s="61" t="n"/>
      <c r="D670" s="27" t="n"/>
      <c r="E670" s="27" t="n"/>
      <c r="F670" s="27" t="n"/>
      <c r="G670" s="27" t="n"/>
      <c r="H670" s="62" t="n"/>
      <c r="I670" s="31" t="n"/>
      <c r="J670" s="31" t="n"/>
      <c r="K670" s="31" t="n"/>
      <c r="L670" s="31" t="n"/>
      <c r="M670" s="1" t="n"/>
    </row>
    <row r="671">
      <c r="A671" s="1" t="n"/>
      <c r="B671" s="24" t="n">
        <v>665</v>
      </c>
      <c r="C671" s="61" t="n"/>
      <c r="D671" s="27" t="n"/>
      <c r="E671" s="27" t="n"/>
      <c r="F671" s="27" t="n"/>
      <c r="G671" s="27" t="n"/>
      <c r="H671" s="62" t="n"/>
      <c r="I671" s="31" t="n"/>
      <c r="J671" s="31" t="n"/>
      <c r="K671" s="31" t="n"/>
      <c r="L671" s="31" t="n"/>
      <c r="M671" s="1" t="n"/>
    </row>
    <row r="672">
      <c r="A672" s="1" t="n"/>
      <c r="B672" s="24" t="n">
        <v>666</v>
      </c>
      <c r="C672" s="61" t="n"/>
      <c r="D672" s="27" t="n"/>
      <c r="E672" s="27" t="n"/>
      <c r="F672" s="27" t="n"/>
      <c r="G672" s="27" t="n"/>
      <c r="H672" s="62" t="n"/>
      <c r="I672" s="31" t="n"/>
      <c r="J672" s="31" t="n"/>
      <c r="K672" s="31" t="n"/>
      <c r="L672" s="31" t="n"/>
      <c r="M672" s="1" t="n"/>
    </row>
    <row r="673">
      <c r="A673" s="1" t="n"/>
      <c r="B673" s="24" t="n">
        <v>667</v>
      </c>
      <c r="C673" s="61" t="n"/>
      <c r="D673" s="27" t="n"/>
      <c r="E673" s="27" t="n"/>
      <c r="F673" s="27" t="n"/>
      <c r="G673" s="27" t="n"/>
      <c r="H673" s="62" t="n"/>
      <c r="I673" s="31" t="n"/>
      <c r="J673" s="31" t="n"/>
      <c r="K673" s="31" t="n"/>
      <c r="L673" s="31" t="n"/>
      <c r="M673" s="1" t="n"/>
    </row>
    <row r="674">
      <c r="A674" s="1" t="n"/>
      <c r="B674" s="24" t="n">
        <v>668</v>
      </c>
      <c r="C674" s="61" t="n"/>
      <c r="D674" s="27" t="n"/>
      <c r="E674" s="27" t="n"/>
      <c r="F674" s="27" t="n"/>
      <c r="G674" s="27" t="n"/>
      <c r="H674" s="62" t="n"/>
      <c r="I674" s="31" t="n"/>
      <c r="J674" s="31" t="n"/>
      <c r="K674" s="31" t="n"/>
      <c r="L674" s="31" t="n"/>
      <c r="M674" s="1" t="n"/>
    </row>
    <row r="675">
      <c r="A675" s="1" t="n"/>
      <c r="B675" s="24" t="n">
        <v>669</v>
      </c>
      <c r="C675" s="61" t="n"/>
      <c r="D675" s="27" t="n"/>
      <c r="E675" s="27" t="n"/>
      <c r="F675" s="27" t="n"/>
      <c r="G675" s="27" t="n"/>
      <c r="H675" s="62" t="n"/>
      <c r="I675" s="31" t="n"/>
      <c r="J675" s="31" t="n"/>
      <c r="K675" s="31" t="n"/>
      <c r="L675" s="31" t="n"/>
      <c r="M675" s="1" t="n"/>
    </row>
    <row r="676">
      <c r="A676" s="1" t="n"/>
      <c r="B676" s="24" t="n">
        <v>670</v>
      </c>
      <c r="C676" s="61" t="n"/>
      <c r="D676" s="27" t="n"/>
      <c r="E676" s="27" t="n"/>
      <c r="F676" s="27" t="n"/>
      <c r="G676" s="27" t="n"/>
      <c r="H676" s="62" t="n"/>
      <c r="I676" s="31" t="n"/>
      <c r="J676" s="31" t="n"/>
      <c r="K676" s="31" t="n"/>
      <c r="L676" s="31" t="n"/>
      <c r="M676" s="1" t="n"/>
    </row>
    <row r="677">
      <c r="A677" s="1" t="n"/>
      <c r="B677" s="24" t="n">
        <v>671</v>
      </c>
      <c r="C677" s="61" t="n"/>
      <c r="D677" s="27" t="n"/>
      <c r="E677" s="27" t="n"/>
      <c r="F677" s="27" t="n"/>
      <c r="G677" s="27" t="n"/>
      <c r="H677" s="62" t="n"/>
      <c r="I677" s="31" t="n"/>
      <c r="J677" s="31" t="n"/>
      <c r="K677" s="31" t="n"/>
      <c r="L677" s="31" t="n"/>
      <c r="M677" s="1" t="n"/>
    </row>
    <row r="678">
      <c r="A678" s="1" t="n"/>
      <c r="B678" s="24" t="n">
        <v>672</v>
      </c>
      <c r="C678" s="61" t="n"/>
      <c r="D678" s="27" t="n"/>
      <c r="E678" s="27" t="n"/>
      <c r="F678" s="27" t="n"/>
      <c r="G678" s="27" t="n"/>
      <c r="H678" s="62" t="n"/>
      <c r="I678" s="31" t="n"/>
      <c r="J678" s="31" t="n"/>
      <c r="K678" s="31" t="n"/>
      <c r="L678" s="31" t="n"/>
      <c r="M678" s="1" t="n"/>
    </row>
    <row r="679">
      <c r="A679" s="1" t="n"/>
      <c r="B679" s="24" t="n">
        <v>673</v>
      </c>
      <c r="C679" s="61" t="n"/>
      <c r="D679" s="27" t="n"/>
      <c r="E679" s="27" t="n"/>
      <c r="F679" s="27" t="n"/>
      <c r="G679" s="27" t="n"/>
      <c r="H679" s="62" t="n"/>
      <c r="I679" s="31" t="n"/>
      <c r="J679" s="31" t="n"/>
      <c r="K679" s="31" t="n"/>
      <c r="L679" s="31" t="n"/>
      <c r="M679" s="1" t="n"/>
    </row>
    <row r="680">
      <c r="A680" s="1" t="n"/>
      <c r="B680" s="24" t="n">
        <v>674</v>
      </c>
      <c r="C680" s="61" t="n"/>
      <c r="D680" s="27" t="n"/>
      <c r="E680" s="27" t="n"/>
      <c r="F680" s="27" t="n"/>
      <c r="G680" s="27" t="n"/>
      <c r="H680" s="62" t="n"/>
      <c r="I680" s="31" t="n"/>
      <c r="J680" s="31" t="n"/>
      <c r="K680" s="31" t="n"/>
      <c r="L680" s="31" t="n"/>
      <c r="M680" s="1" t="n"/>
    </row>
    <row r="681">
      <c r="A681" s="1" t="n"/>
      <c r="B681" s="24" t="n">
        <v>675</v>
      </c>
      <c r="C681" s="61" t="n"/>
      <c r="D681" s="27" t="n"/>
      <c r="E681" s="27" t="n"/>
      <c r="F681" s="27" t="n"/>
      <c r="G681" s="27" t="n"/>
      <c r="H681" s="62" t="n"/>
      <c r="I681" s="31" t="n"/>
      <c r="J681" s="31" t="n"/>
      <c r="K681" s="31" t="n"/>
      <c r="L681" s="31" t="n"/>
      <c r="M681" s="1" t="n"/>
    </row>
    <row r="682">
      <c r="A682" s="1" t="n"/>
      <c r="B682" s="24" t="n">
        <v>676</v>
      </c>
      <c r="C682" s="61" t="n"/>
      <c r="D682" s="27" t="n"/>
      <c r="E682" s="27" t="n"/>
      <c r="F682" s="27" t="n"/>
      <c r="G682" s="27" t="n"/>
      <c r="H682" s="62" t="n"/>
      <c r="I682" s="31" t="n"/>
      <c r="J682" s="31" t="n"/>
      <c r="K682" s="31" t="n"/>
      <c r="L682" s="31" t="n"/>
      <c r="M682" s="1" t="n"/>
    </row>
    <row r="683">
      <c r="A683" s="1" t="n"/>
      <c r="B683" s="24" t="n">
        <v>677</v>
      </c>
      <c r="C683" s="61" t="n"/>
      <c r="D683" s="27" t="n"/>
      <c r="E683" s="27" t="n"/>
      <c r="F683" s="27" t="n"/>
      <c r="G683" s="27" t="n"/>
      <c r="H683" s="62" t="n"/>
      <c r="I683" s="31" t="n"/>
      <c r="J683" s="31" t="n"/>
      <c r="K683" s="31" t="n"/>
      <c r="L683" s="31" t="n"/>
      <c r="M683" s="1" t="n"/>
    </row>
    <row r="684">
      <c r="A684" s="1" t="n"/>
      <c r="B684" s="24" t="n">
        <v>678</v>
      </c>
      <c r="C684" s="61" t="n"/>
      <c r="D684" s="27" t="n"/>
      <c r="E684" s="27" t="n"/>
      <c r="F684" s="27" t="n"/>
      <c r="G684" s="27" t="n"/>
      <c r="H684" s="62" t="n"/>
      <c r="I684" s="31" t="n"/>
      <c r="J684" s="31" t="n"/>
      <c r="K684" s="31" t="n"/>
      <c r="L684" s="31" t="n"/>
      <c r="M684" s="1" t="n"/>
    </row>
    <row r="685">
      <c r="A685" s="1" t="n"/>
      <c r="B685" s="24" t="n">
        <v>679</v>
      </c>
      <c r="C685" s="61" t="n"/>
      <c r="D685" s="27" t="n"/>
      <c r="E685" s="27" t="n"/>
      <c r="F685" s="27" t="n"/>
      <c r="G685" s="27" t="n"/>
      <c r="H685" s="62" t="n"/>
      <c r="I685" s="31" t="n"/>
      <c r="J685" s="31" t="n"/>
      <c r="K685" s="31" t="n"/>
      <c r="L685" s="31" t="n"/>
      <c r="M685" s="1" t="n"/>
    </row>
    <row r="686">
      <c r="A686" s="1" t="n"/>
      <c r="B686" s="24" t="n">
        <v>680</v>
      </c>
      <c r="C686" s="61" t="n"/>
      <c r="D686" s="27" t="n"/>
      <c r="E686" s="27" t="n"/>
      <c r="F686" s="27" t="n"/>
      <c r="G686" s="27" t="n"/>
      <c r="H686" s="62" t="n"/>
      <c r="I686" s="31" t="n"/>
      <c r="J686" s="31" t="n"/>
      <c r="K686" s="31" t="n"/>
      <c r="L686" s="31" t="n"/>
      <c r="M686" s="1" t="n"/>
    </row>
    <row r="687">
      <c r="A687" s="1" t="n"/>
      <c r="B687" s="24" t="n">
        <v>681</v>
      </c>
      <c r="C687" s="61" t="n"/>
      <c r="D687" s="27" t="n"/>
      <c r="E687" s="27" t="n"/>
      <c r="F687" s="27" t="n"/>
      <c r="G687" s="27" t="n"/>
      <c r="H687" s="62" t="n"/>
      <c r="I687" s="31" t="n"/>
      <c r="J687" s="31" t="n"/>
      <c r="K687" s="31" t="n"/>
      <c r="L687" s="31" t="n"/>
      <c r="M687" s="1" t="n"/>
    </row>
    <row r="688">
      <c r="A688" s="1" t="n"/>
      <c r="B688" s="24" t="n">
        <v>682</v>
      </c>
      <c r="C688" s="61" t="n"/>
      <c r="D688" s="27" t="n"/>
      <c r="E688" s="27" t="n"/>
      <c r="F688" s="27" t="n"/>
      <c r="G688" s="27" t="n"/>
      <c r="H688" s="62" t="n"/>
      <c r="I688" s="31" t="n"/>
      <c r="J688" s="31" t="n"/>
      <c r="K688" s="31" t="n"/>
      <c r="L688" s="31" t="n"/>
      <c r="M688" s="1" t="n"/>
    </row>
    <row r="689">
      <c r="A689" s="1" t="n"/>
      <c r="B689" s="24" t="n">
        <v>683</v>
      </c>
      <c r="C689" s="61" t="n"/>
      <c r="D689" s="27" t="n"/>
      <c r="E689" s="27" t="n"/>
      <c r="F689" s="27" t="n"/>
      <c r="G689" s="27" t="n"/>
      <c r="H689" s="62" t="n"/>
      <c r="I689" s="31" t="n"/>
      <c r="J689" s="31" t="n"/>
      <c r="K689" s="31" t="n"/>
      <c r="L689" s="31" t="n"/>
      <c r="M689" s="1" t="n"/>
    </row>
    <row r="690">
      <c r="A690" s="1" t="n"/>
      <c r="B690" s="24" t="n">
        <v>684</v>
      </c>
      <c r="C690" s="61" t="n"/>
      <c r="D690" s="27" t="n"/>
      <c r="E690" s="27" t="n"/>
      <c r="F690" s="27" t="n"/>
      <c r="G690" s="27" t="n"/>
      <c r="H690" s="62" t="n"/>
      <c r="I690" s="31" t="n"/>
      <c r="J690" s="31" t="n"/>
      <c r="K690" s="31" t="n"/>
      <c r="L690" s="31" t="n"/>
      <c r="M690" s="1" t="n"/>
    </row>
    <row r="691">
      <c r="A691" s="1" t="n"/>
      <c r="B691" s="24" t="n">
        <v>685</v>
      </c>
      <c r="C691" s="61" t="n"/>
      <c r="D691" s="27" t="n"/>
      <c r="E691" s="27" t="n"/>
      <c r="F691" s="27" t="n"/>
      <c r="G691" s="27" t="n"/>
      <c r="H691" s="62" t="n"/>
      <c r="I691" s="31" t="n"/>
      <c r="J691" s="31" t="n"/>
      <c r="K691" s="31" t="n"/>
      <c r="L691" s="31" t="n"/>
      <c r="M691" s="1" t="n"/>
    </row>
    <row r="692">
      <c r="A692" s="1" t="n"/>
      <c r="B692" s="24" t="n">
        <v>686</v>
      </c>
      <c r="C692" s="61" t="n"/>
      <c r="D692" s="27" t="n"/>
      <c r="E692" s="27" t="n"/>
      <c r="F692" s="27" t="n"/>
      <c r="G692" s="27" t="n"/>
      <c r="H692" s="62" t="n"/>
      <c r="I692" s="31" t="n"/>
      <c r="J692" s="31" t="n"/>
      <c r="K692" s="31" t="n"/>
      <c r="L692" s="31" t="n"/>
      <c r="M692" s="1" t="n"/>
    </row>
    <row r="693">
      <c r="A693" s="1" t="n"/>
      <c r="B693" s="24" t="n">
        <v>687</v>
      </c>
      <c r="C693" s="61" t="n"/>
      <c r="D693" s="27" t="n"/>
      <c r="E693" s="27" t="n"/>
      <c r="F693" s="27" t="n"/>
      <c r="G693" s="27" t="n"/>
      <c r="H693" s="62" t="n"/>
      <c r="I693" s="31" t="n"/>
      <c r="J693" s="31" t="n"/>
      <c r="K693" s="31" t="n"/>
      <c r="L693" s="31" t="n"/>
      <c r="M693" s="1" t="n"/>
    </row>
    <row r="694">
      <c r="A694" s="1" t="n"/>
      <c r="B694" s="24" t="n">
        <v>688</v>
      </c>
      <c r="C694" s="61" t="n"/>
      <c r="D694" s="27" t="n"/>
      <c r="E694" s="27" t="n"/>
      <c r="F694" s="27" t="n"/>
      <c r="G694" s="27" t="n"/>
      <c r="H694" s="62" t="n"/>
      <c r="I694" s="31" t="n"/>
      <c r="J694" s="31" t="n"/>
      <c r="K694" s="31" t="n"/>
      <c r="L694" s="31" t="n"/>
      <c r="M694" s="1" t="n"/>
    </row>
    <row r="695">
      <c r="A695" s="1" t="n"/>
      <c r="B695" s="24" t="n">
        <v>689</v>
      </c>
      <c r="C695" s="61" t="n"/>
      <c r="D695" s="27" t="n"/>
      <c r="E695" s="27" t="n"/>
      <c r="F695" s="27" t="n"/>
      <c r="G695" s="27" t="n"/>
      <c r="H695" s="62" t="n"/>
      <c r="I695" s="31" t="n"/>
      <c r="J695" s="31" t="n"/>
      <c r="K695" s="31" t="n"/>
      <c r="L695" s="31" t="n"/>
      <c r="M695" s="1" t="n"/>
    </row>
    <row r="696">
      <c r="A696" s="1" t="n"/>
      <c r="B696" s="24" t="n">
        <v>690</v>
      </c>
      <c r="C696" s="61" t="n"/>
      <c r="D696" s="27" t="n"/>
      <c r="E696" s="27" t="n"/>
      <c r="F696" s="27" t="n"/>
      <c r="G696" s="27" t="n"/>
      <c r="H696" s="62" t="n"/>
      <c r="I696" s="31" t="n"/>
      <c r="J696" s="31" t="n"/>
      <c r="K696" s="31" t="n"/>
      <c r="L696" s="31" t="n"/>
      <c r="M696" s="1" t="n"/>
    </row>
    <row r="697">
      <c r="A697" s="1" t="n"/>
      <c r="B697" s="24" t="n">
        <v>691</v>
      </c>
      <c r="C697" s="61" t="n"/>
      <c r="D697" s="27" t="n"/>
      <c r="E697" s="27" t="n"/>
      <c r="F697" s="27" t="n"/>
      <c r="G697" s="27" t="n"/>
      <c r="H697" s="62" t="n"/>
      <c r="I697" s="31" t="n"/>
      <c r="J697" s="31" t="n"/>
      <c r="K697" s="31" t="n"/>
      <c r="L697" s="31" t="n"/>
      <c r="M697" s="1" t="n"/>
    </row>
    <row r="698">
      <c r="A698" s="1" t="n"/>
      <c r="B698" s="24" t="n">
        <v>692</v>
      </c>
      <c r="C698" s="61" t="n"/>
      <c r="D698" s="27" t="n"/>
      <c r="E698" s="27" t="n"/>
      <c r="F698" s="27" t="n"/>
      <c r="G698" s="27" t="n"/>
      <c r="H698" s="62" t="n"/>
      <c r="I698" s="31" t="n"/>
      <c r="J698" s="31" t="n"/>
      <c r="K698" s="31" t="n"/>
      <c r="L698" s="31" t="n"/>
      <c r="M698" s="1" t="n"/>
    </row>
    <row r="699">
      <c r="A699" s="1" t="n"/>
      <c r="B699" s="24" t="n">
        <v>693</v>
      </c>
      <c r="C699" s="61" t="n"/>
      <c r="D699" s="27" t="n"/>
      <c r="E699" s="27" t="n"/>
      <c r="F699" s="27" t="n"/>
      <c r="G699" s="27" t="n"/>
      <c r="H699" s="62" t="n"/>
      <c r="I699" s="31" t="n"/>
      <c r="J699" s="31" t="n"/>
      <c r="K699" s="31" t="n"/>
      <c r="L699" s="31" t="n"/>
      <c r="M699" s="1" t="n"/>
    </row>
    <row r="700">
      <c r="A700" s="1" t="n"/>
      <c r="B700" s="24" t="n">
        <v>694</v>
      </c>
      <c r="C700" s="61" t="n"/>
      <c r="D700" s="27" t="n"/>
      <c r="E700" s="27" t="n"/>
      <c r="F700" s="27" t="n"/>
      <c r="G700" s="27" t="n"/>
      <c r="H700" s="62" t="n"/>
      <c r="I700" s="31" t="n"/>
      <c r="J700" s="31" t="n"/>
      <c r="K700" s="31" t="n"/>
      <c r="L700" s="31" t="n"/>
      <c r="M700" s="1" t="n"/>
    </row>
    <row r="701">
      <c r="A701" s="1" t="n"/>
      <c r="B701" s="24" t="n">
        <v>695</v>
      </c>
      <c r="C701" s="61" t="n"/>
      <c r="D701" s="27" t="n"/>
      <c r="E701" s="27" t="n"/>
      <c r="F701" s="27" t="n"/>
      <c r="G701" s="27" t="n"/>
      <c r="H701" s="62" t="n"/>
      <c r="I701" s="31" t="n"/>
      <c r="J701" s="31" t="n"/>
      <c r="K701" s="31" t="n"/>
      <c r="L701" s="31" t="n"/>
      <c r="M701" s="1" t="n"/>
    </row>
    <row r="702">
      <c r="A702" s="1" t="n"/>
      <c r="B702" s="24" t="n">
        <v>696</v>
      </c>
      <c r="C702" s="61" t="n"/>
      <c r="D702" s="27" t="n"/>
      <c r="E702" s="27" t="n"/>
      <c r="F702" s="27" t="n"/>
      <c r="G702" s="27" t="n"/>
      <c r="H702" s="62" t="n"/>
      <c r="I702" s="31" t="n"/>
      <c r="J702" s="31" t="n"/>
      <c r="K702" s="31" t="n"/>
      <c r="L702" s="31" t="n"/>
      <c r="M702" s="1" t="n"/>
    </row>
    <row r="703">
      <c r="A703" s="1" t="n"/>
      <c r="B703" s="24" t="n">
        <v>697</v>
      </c>
      <c r="C703" s="61" t="n"/>
      <c r="D703" s="27" t="n"/>
      <c r="E703" s="27" t="n"/>
      <c r="F703" s="27" t="n"/>
      <c r="G703" s="27" t="n"/>
      <c r="H703" s="62" t="n"/>
      <c r="I703" s="31" t="n"/>
      <c r="J703" s="31" t="n"/>
      <c r="K703" s="31" t="n"/>
      <c r="L703" s="31" t="n"/>
      <c r="M703" s="1" t="n"/>
    </row>
    <row r="704">
      <c r="A704" s="1" t="n"/>
      <c r="B704" s="24" t="n">
        <v>698</v>
      </c>
      <c r="C704" s="61" t="n"/>
      <c r="D704" s="27" t="n"/>
      <c r="E704" s="27" t="n"/>
      <c r="F704" s="27" t="n"/>
      <c r="G704" s="27" t="n"/>
      <c r="H704" s="62" t="n"/>
      <c r="I704" s="31" t="n"/>
      <c r="J704" s="31" t="n"/>
      <c r="K704" s="31" t="n"/>
      <c r="L704" s="31" t="n"/>
      <c r="M704" s="1" t="n"/>
    </row>
    <row r="705">
      <c r="A705" s="1" t="n"/>
      <c r="B705" s="24" t="n">
        <v>699</v>
      </c>
      <c r="C705" s="61" t="n"/>
      <c r="D705" s="27" t="n"/>
      <c r="E705" s="27" t="n"/>
      <c r="F705" s="27" t="n"/>
      <c r="G705" s="27" t="n"/>
      <c r="H705" s="62" t="n"/>
      <c r="I705" s="31" t="n"/>
      <c r="J705" s="31" t="n"/>
      <c r="K705" s="31" t="n"/>
      <c r="L705" s="31" t="n"/>
      <c r="M705" s="1" t="n"/>
    </row>
    <row r="706">
      <c r="A706" s="1" t="n"/>
      <c r="B706" s="24" t="n">
        <v>700</v>
      </c>
      <c r="C706" s="61" t="n"/>
      <c r="D706" s="27" t="n"/>
      <c r="E706" s="27" t="n"/>
      <c r="F706" s="27" t="n"/>
      <c r="G706" s="27" t="n"/>
      <c r="H706" s="62" t="n"/>
      <c r="I706" s="31" t="n"/>
      <c r="J706" s="31" t="n"/>
      <c r="K706" s="31" t="n"/>
      <c r="L706" s="31" t="n"/>
      <c r="M706" s="1" t="n"/>
    </row>
    <row r="707">
      <c r="A707" s="1" t="n"/>
      <c r="B707" s="24" t="n">
        <v>701</v>
      </c>
      <c r="C707" s="61" t="n"/>
      <c r="D707" s="27" t="n"/>
      <c r="E707" s="27" t="n"/>
      <c r="F707" s="27" t="n"/>
      <c r="G707" s="27" t="n"/>
      <c r="H707" s="62" t="n"/>
      <c r="I707" s="31" t="n"/>
      <c r="J707" s="31" t="n"/>
      <c r="K707" s="31" t="n"/>
      <c r="L707" s="31" t="n"/>
      <c r="M707" s="1" t="n"/>
    </row>
    <row r="708">
      <c r="A708" s="1" t="n"/>
      <c r="B708" s="24" t="n">
        <v>702</v>
      </c>
      <c r="C708" s="61" t="n"/>
      <c r="D708" s="27" t="n"/>
      <c r="E708" s="27" t="n"/>
      <c r="F708" s="27" t="n"/>
      <c r="G708" s="27" t="n"/>
      <c r="H708" s="62" t="n"/>
      <c r="I708" s="31" t="n"/>
      <c r="J708" s="31" t="n"/>
      <c r="K708" s="31" t="n"/>
      <c r="L708" s="31" t="n"/>
      <c r="M708" s="1" t="n"/>
    </row>
    <row r="709">
      <c r="A709" s="1" t="n"/>
      <c r="B709" s="24" t="n">
        <v>703</v>
      </c>
      <c r="C709" s="61" t="n"/>
      <c r="D709" s="27" t="n"/>
      <c r="E709" s="27" t="n"/>
      <c r="F709" s="27" t="n"/>
      <c r="G709" s="27" t="n"/>
      <c r="H709" s="62" t="n"/>
      <c r="I709" s="31" t="n"/>
      <c r="J709" s="31" t="n"/>
      <c r="K709" s="31" t="n"/>
      <c r="L709" s="31" t="n"/>
      <c r="M709" s="1" t="n"/>
    </row>
    <row r="710">
      <c r="A710" s="1" t="n"/>
      <c r="B710" s="24" t="n">
        <v>704</v>
      </c>
      <c r="C710" s="61" t="n"/>
      <c r="D710" s="27" t="n"/>
      <c r="E710" s="27" t="n"/>
      <c r="F710" s="27" t="n"/>
      <c r="G710" s="27" t="n"/>
      <c r="H710" s="62" t="n"/>
      <c r="I710" s="31" t="n"/>
      <c r="J710" s="31" t="n"/>
      <c r="K710" s="31" t="n"/>
      <c r="L710" s="31" t="n"/>
      <c r="M710" s="1" t="n"/>
    </row>
    <row r="711">
      <c r="A711" s="1" t="n"/>
      <c r="B711" s="24" t="n">
        <v>705</v>
      </c>
      <c r="C711" s="61" t="n"/>
      <c r="D711" s="27" t="n"/>
      <c r="E711" s="27" t="n"/>
      <c r="F711" s="27" t="n"/>
      <c r="G711" s="27" t="n"/>
      <c r="H711" s="62" t="n"/>
      <c r="I711" s="31" t="n"/>
      <c r="J711" s="31" t="n"/>
      <c r="K711" s="31" t="n"/>
      <c r="L711" s="31" t="n"/>
      <c r="M711" s="1" t="n"/>
    </row>
    <row r="712">
      <c r="A712" s="1" t="n"/>
      <c r="B712" s="24" t="n">
        <v>706</v>
      </c>
      <c r="C712" s="61" t="n"/>
      <c r="D712" s="27" t="n"/>
      <c r="E712" s="27" t="n"/>
      <c r="F712" s="27" t="n"/>
      <c r="G712" s="27" t="n"/>
      <c r="H712" s="62" t="n"/>
      <c r="I712" s="31" t="n"/>
      <c r="J712" s="31" t="n"/>
      <c r="K712" s="31" t="n"/>
      <c r="L712" s="31" t="n"/>
      <c r="M712" s="1" t="n"/>
    </row>
    <row r="713">
      <c r="A713" s="1" t="n"/>
      <c r="B713" s="24" t="n">
        <v>707</v>
      </c>
      <c r="C713" s="61" t="n"/>
      <c r="D713" s="27" t="n"/>
      <c r="E713" s="27" t="n"/>
      <c r="F713" s="27" t="n"/>
      <c r="G713" s="27" t="n"/>
      <c r="H713" s="62" t="n"/>
      <c r="I713" s="31" t="n"/>
      <c r="J713" s="31" t="n"/>
      <c r="K713" s="31" t="n"/>
      <c r="L713" s="31" t="n"/>
      <c r="M713" s="1" t="n"/>
    </row>
    <row r="714">
      <c r="A714" s="1" t="n"/>
      <c r="B714" s="24" t="n">
        <v>708</v>
      </c>
      <c r="C714" s="61" t="n"/>
      <c r="D714" s="27" t="n"/>
      <c r="E714" s="27" t="n"/>
      <c r="F714" s="27" t="n"/>
      <c r="G714" s="27" t="n"/>
      <c r="H714" s="62" t="n"/>
      <c r="I714" s="31" t="n"/>
      <c r="J714" s="31" t="n"/>
      <c r="K714" s="31" t="n"/>
      <c r="L714" s="31" t="n"/>
      <c r="M714" s="1" t="n"/>
    </row>
    <row r="715">
      <c r="A715" s="1" t="n"/>
      <c r="B715" s="24" t="n">
        <v>709</v>
      </c>
      <c r="C715" s="61" t="n"/>
      <c r="D715" s="27" t="n"/>
      <c r="E715" s="27" t="n"/>
      <c r="F715" s="27" t="n"/>
      <c r="G715" s="27" t="n"/>
      <c r="H715" s="62" t="n"/>
      <c r="I715" s="31" t="n"/>
      <c r="J715" s="31" t="n"/>
      <c r="K715" s="31" t="n"/>
      <c r="L715" s="31" t="n"/>
      <c r="M715" s="1" t="n"/>
    </row>
    <row r="716">
      <c r="A716" s="1" t="n"/>
      <c r="B716" s="24" t="n">
        <v>710</v>
      </c>
      <c r="C716" s="61" t="n"/>
      <c r="D716" s="27" t="n"/>
      <c r="E716" s="27" t="n"/>
      <c r="F716" s="27" t="n"/>
      <c r="G716" s="27" t="n"/>
      <c r="H716" s="62" t="n"/>
      <c r="I716" s="31" t="n"/>
      <c r="J716" s="31" t="n"/>
      <c r="K716" s="31" t="n"/>
      <c r="L716" s="31" t="n"/>
      <c r="M716" s="1" t="n"/>
    </row>
    <row r="717">
      <c r="A717" s="1" t="n"/>
      <c r="B717" s="24" t="n">
        <v>711</v>
      </c>
      <c r="C717" s="61" t="n"/>
      <c r="D717" s="27" t="n"/>
      <c r="E717" s="27" t="n"/>
      <c r="F717" s="27" t="n"/>
      <c r="G717" s="27" t="n"/>
      <c r="H717" s="62" t="n"/>
      <c r="I717" s="31" t="n"/>
      <c r="J717" s="31" t="n"/>
      <c r="K717" s="31" t="n"/>
      <c r="L717" s="31" t="n"/>
      <c r="M717" s="1" t="n"/>
    </row>
    <row r="718">
      <c r="A718" s="1" t="n"/>
      <c r="B718" s="24" t="n">
        <v>712</v>
      </c>
      <c r="C718" s="61" t="n"/>
      <c r="D718" s="27" t="n"/>
      <c r="E718" s="27" t="n"/>
      <c r="F718" s="27" t="n"/>
      <c r="G718" s="27" t="n"/>
      <c r="H718" s="62" t="n"/>
      <c r="I718" s="31" t="n"/>
      <c r="J718" s="31" t="n"/>
      <c r="K718" s="31" t="n"/>
      <c r="L718" s="31" t="n"/>
      <c r="M718" s="1" t="n"/>
    </row>
    <row r="719">
      <c r="A719" s="1" t="n"/>
      <c r="B719" s="24" t="n">
        <v>713</v>
      </c>
      <c r="C719" s="61" t="n"/>
      <c r="D719" s="27" t="n"/>
      <c r="E719" s="27" t="n"/>
      <c r="F719" s="27" t="n"/>
      <c r="G719" s="27" t="n"/>
      <c r="H719" s="62" t="n"/>
      <c r="I719" s="31" t="n"/>
      <c r="J719" s="31" t="n"/>
      <c r="K719" s="31" t="n"/>
      <c r="L719" s="31" t="n"/>
      <c r="M719" s="1" t="n"/>
    </row>
    <row r="720">
      <c r="A720" s="1" t="n"/>
      <c r="B720" s="24" t="n">
        <v>714</v>
      </c>
      <c r="C720" s="61" t="n"/>
      <c r="D720" s="27" t="n"/>
      <c r="E720" s="27" t="n"/>
      <c r="F720" s="27" t="n"/>
      <c r="G720" s="27" t="n"/>
      <c r="H720" s="62" t="n"/>
      <c r="I720" s="31" t="n"/>
      <c r="J720" s="31" t="n"/>
      <c r="K720" s="31" t="n"/>
      <c r="L720" s="31" t="n"/>
      <c r="M720" s="1" t="n"/>
    </row>
    <row r="721">
      <c r="A721" s="1" t="n"/>
      <c r="B721" s="24" t="n">
        <v>715</v>
      </c>
      <c r="C721" s="61" t="n"/>
      <c r="D721" s="27" t="n"/>
      <c r="E721" s="27" t="n"/>
      <c r="F721" s="27" t="n"/>
      <c r="G721" s="27" t="n"/>
      <c r="H721" s="62" t="n"/>
      <c r="I721" s="31" t="n"/>
      <c r="J721" s="31" t="n"/>
      <c r="K721" s="31" t="n"/>
      <c r="L721" s="31" t="n"/>
      <c r="M721" s="1" t="n"/>
    </row>
    <row r="722">
      <c r="A722" s="1" t="n"/>
      <c r="B722" s="24" t="n">
        <v>716</v>
      </c>
      <c r="C722" s="61" t="n"/>
      <c r="D722" s="27" t="n"/>
      <c r="E722" s="27" t="n"/>
      <c r="F722" s="27" t="n"/>
      <c r="G722" s="27" t="n"/>
      <c r="H722" s="62" t="n"/>
      <c r="I722" s="31" t="n"/>
      <c r="J722" s="31" t="n"/>
      <c r="K722" s="31" t="n"/>
      <c r="L722" s="31" t="n"/>
      <c r="M722" s="1" t="n"/>
    </row>
    <row r="723">
      <c r="A723" s="1" t="n"/>
      <c r="B723" s="24" t="n">
        <v>717</v>
      </c>
      <c r="C723" s="61" t="n"/>
      <c r="D723" s="27" t="n"/>
      <c r="E723" s="27" t="n"/>
      <c r="F723" s="27" t="n"/>
      <c r="G723" s="27" t="n"/>
      <c r="H723" s="62" t="n"/>
      <c r="I723" s="31" t="n"/>
      <c r="J723" s="31" t="n"/>
      <c r="K723" s="31" t="n"/>
      <c r="L723" s="31" t="n"/>
      <c r="M723" s="1" t="n"/>
    </row>
    <row r="724">
      <c r="A724" s="1" t="n"/>
      <c r="B724" s="24" t="n">
        <v>718</v>
      </c>
      <c r="C724" s="61" t="n"/>
      <c r="D724" s="27" t="n"/>
      <c r="E724" s="27" t="n"/>
      <c r="F724" s="27" t="n"/>
      <c r="G724" s="27" t="n"/>
      <c r="H724" s="62" t="n"/>
      <c r="I724" s="31" t="n"/>
      <c r="J724" s="31" t="n"/>
      <c r="K724" s="31" t="n"/>
      <c r="L724" s="31" t="n"/>
      <c r="M724" s="1" t="n"/>
    </row>
    <row r="725">
      <c r="A725" s="1" t="n"/>
      <c r="B725" s="24" t="n">
        <v>719</v>
      </c>
      <c r="C725" s="61" t="n"/>
      <c r="D725" s="27" t="n"/>
      <c r="E725" s="27" t="n"/>
      <c r="F725" s="27" t="n"/>
      <c r="G725" s="27" t="n"/>
      <c r="H725" s="62" t="n"/>
      <c r="I725" s="31" t="n"/>
      <c r="J725" s="31" t="n"/>
      <c r="K725" s="31" t="n"/>
      <c r="L725" s="31" t="n"/>
      <c r="M725" s="1" t="n"/>
    </row>
    <row r="726">
      <c r="A726" s="1" t="n"/>
      <c r="B726" s="24" t="n">
        <v>720</v>
      </c>
      <c r="C726" s="61" t="n"/>
      <c r="D726" s="27" t="n"/>
      <c r="E726" s="27" t="n"/>
      <c r="F726" s="27" t="n"/>
      <c r="G726" s="27" t="n"/>
      <c r="H726" s="62" t="n"/>
      <c r="I726" s="31" t="n"/>
      <c r="J726" s="31" t="n"/>
      <c r="K726" s="31" t="n"/>
      <c r="L726" s="31" t="n"/>
      <c r="M726" s="1" t="n"/>
    </row>
    <row r="727">
      <c r="A727" s="1" t="n"/>
      <c r="B727" s="24" t="n">
        <v>721</v>
      </c>
      <c r="C727" s="61" t="n"/>
      <c r="D727" s="27" t="n"/>
      <c r="E727" s="27" t="n"/>
      <c r="F727" s="27" t="n"/>
      <c r="G727" s="27" t="n"/>
      <c r="H727" s="62" t="n"/>
      <c r="I727" s="31" t="n"/>
      <c r="J727" s="31" t="n"/>
      <c r="K727" s="31" t="n"/>
      <c r="L727" s="31" t="n"/>
      <c r="M727" s="1" t="n"/>
    </row>
    <row r="728">
      <c r="A728" s="1" t="n"/>
      <c r="B728" s="24" t="n">
        <v>722</v>
      </c>
      <c r="C728" s="61" t="n"/>
      <c r="D728" s="27" t="n"/>
      <c r="E728" s="27" t="n"/>
      <c r="F728" s="27" t="n"/>
      <c r="G728" s="27" t="n"/>
      <c r="H728" s="62" t="n"/>
      <c r="I728" s="31" t="n"/>
      <c r="J728" s="31" t="n"/>
      <c r="K728" s="31" t="n"/>
      <c r="L728" s="31" t="n"/>
      <c r="M728" s="1" t="n"/>
    </row>
    <row r="729">
      <c r="A729" s="1" t="n"/>
      <c r="B729" s="24" t="n">
        <v>723</v>
      </c>
      <c r="C729" s="61" t="n"/>
      <c r="D729" s="27" t="n"/>
      <c r="E729" s="27" t="n"/>
      <c r="F729" s="27" t="n"/>
      <c r="G729" s="27" t="n"/>
      <c r="H729" s="62" t="n"/>
      <c r="I729" s="31" t="n"/>
      <c r="J729" s="31" t="n"/>
      <c r="K729" s="31" t="n"/>
      <c r="L729" s="31" t="n"/>
      <c r="M729" s="1" t="n"/>
    </row>
    <row r="730">
      <c r="A730" s="1" t="n"/>
      <c r="B730" s="24" t="n">
        <v>724</v>
      </c>
      <c r="C730" s="61" t="n"/>
      <c r="D730" s="27" t="n"/>
      <c r="E730" s="27" t="n"/>
      <c r="F730" s="27" t="n"/>
      <c r="G730" s="27" t="n"/>
      <c r="H730" s="62" t="n"/>
      <c r="I730" s="31" t="n"/>
      <c r="J730" s="31" t="n"/>
      <c r="K730" s="31" t="n"/>
      <c r="L730" s="31" t="n"/>
      <c r="M730" s="1" t="n"/>
    </row>
    <row r="731">
      <c r="A731" s="1" t="n"/>
      <c r="B731" s="24" t="n">
        <v>725</v>
      </c>
      <c r="C731" s="61" t="n"/>
      <c r="D731" s="27" t="n"/>
      <c r="E731" s="27" t="n"/>
      <c r="F731" s="27" t="n"/>
      <c r="G731" s="27" t="n"/>
      <c r="H731" s="62" t="n"/>
      <c r="I731" s="31" t="n"/>
      <c r="J731" s="31" t="n"/>
      <c r="K731" s="31" t="n"/>
      <c r="L731" s="31" t="n"/>
      <c r="M731" s="1" t="n"/>
    </row>
    <row r="732">
      <c r="A732" s="1" t="n"/>
      <c r="B732" s="24" t="n">
        <v>726</v>
      </c>
      <c r="C732" s="61" t="n"/>
      <c r="D732" s="27" t="n"/>
      <c r="E732" s="27" t="n"/>
      <c r="F732" s="27" t="n"/>
      <c r="G732" s="27" t="n"/>
      <c r="H732" s="62" t="n"/>
      <c r="I732" s="31" t="n"/>
      <c r="J732" s="31" t="n"/>
      <c r="K732" s="31" t="n"/>
      <c r="L732" s="31" t="n"/>
      <c r="M732" s="1" t="n"/>
    </row>
    <row r="733">
      <c r="A733" s="1" t="n"/>
      <c r="B733" s="24" t="n">
        <v>727</v>
      </c>
      <c r="C733" s="61" t="n"/>
      <c r="D733" s="27" t="n"/>
      <c r="E733" s="27" t="n"/>
      <c r="F733" s="27" t="n"/>
      <c r="G733" s="27" t="n"/>
      <c r="H733" s="62" t="n"/>
      <c r="I733" s="31" t="n"/>
      <c r="J733" s="31" t="n"/>
      <c r="K733" s="31" t="n"/>
      <c r="L733" s="31" t="n"/>
      <c r="M733" s="1" t="n"/>
    </row>
    <row r="734">
      <c r="A734" s="1" t="n"/>
      <c r="B734" s="24" t="n">
        <v>728</v>
      </c>
      <c r="C734" s="61" t="n"/>
      <c r="D734" s="27" t="n"/>
      <c r="E734" s="27" t="n"/>
      <c r="F734" s="27" t="n"/>
      <c r="G734" s="27" t="n"/>
      <c r="H734" s="62" t="n"/>
      <c r="I734" s="31" t="n"/>
      <c r="J734" s="31" t="n"/>
      <c r="K734" s="31" t="n"/>
      <c r="L734" s="31" t="n"/>
      <c r="M734" s="1" t="n"/>
    </row>
    <row r="735">
      <c r="A735" s="1" t="n"/>
      <c r="B735" s="24" t="n">
        <v>729</v>
      </c>
      <c r="C735" s="61" t="n"/>
      <c r="D735" s="27" t="n"/>
      <c r="E735" s="27" t="n"/>
      <c r="F735" s="27" t="n"/>
      <c r="G735" s="27" t="n"/>
      <c r="H735" s="62" t="n"/>
      <c r="I735" s="31" t="n"/>
      <c r="J735" s="31" t="n"/>
      <c r="K735" s="31" t="n"/>
      <c r="L735" s="31" t="n"/>
      <c r="M735" s="1" t="n"/>
    </row>
    <row r="736">
      <c r="A736" s="1" t="n"/>
      <c r="B736" s="24" t="n">
        <v>730</v>
      </c>
      <c r="C736" s="61" t="n"/>
      <c r="D736" s="27" t="n"/>
      <c r="E736" s="27" t="n"/>
      <c r="F736" s="27" t="n"/>
      <c r="G736" s="27" t="n"/>
      <c r="H736" s="62" t="n"/>
      <c r="I736" s="31" t="n"/>
      <c r="J736" s="31" t="n"/>
      <c r="K736" s="31" t="n"/>
      <c r="L736" s="31" t="n"/>
      <c r="M736" s="1" t="n"/>
    </row>
    <row r="737">
      <c r="A737" s="1" t="n"/>
      <c r="B737" s="24" t="n">
        <v>731</v>
      </c>
      <c r="C737" s="61" t="n"/>
      <c r="D737" s="27" t="n"/>
      <c r="E737" s="27" t="n"/>
      <c r="F737" s="27" t="n"/>
      <c r="G737" s="27" t="n"/>
      <c r="H737" s="62" t="n"/>
      <c r="I737" s="31" t="n"/>
      <c r="J737" s="31" t="n"/>
      <c r="K737" s="31" t="n"/>
      <c r="L737" s="31" t="n"/>
      <c r="M737" s="1" t="n"/>
    </row>
    <row r="738">
      <c r="A738" s="1" t="n"/>
      <c r="B738" s="24" t="n">
        <v>732</v>
      </c>
      <c r="C738" s="61" t="n"/>
      <c r="D738" s="27" t="n"/>
      <c r="E738" s="27" t="n"/>
      <c r="F738" s="27" t="n"/>
      <c r="G738" s="27" t="n"/>
      <c r="H738" s="62" t="n"/>
      <c r="I738" s="31" t="n"/>
      <c r="J738" s="31" t="n"/>
      <c r="K738" s="31" t="n"/>
      <c r="L738" s="31" t="n"/>
      <c r="M738" s="1" t="n"/>
    </row>
    <row r="739">
      <c r="A739" s="1" t="n"/>
      <c r="B739" s="24" t="n">
        <v>733</v>
      </c>
      <c r="C739" s="61" t="n"/>
      <c r="D739" s="27" t="n"/>
      <c r="E739" s="27" t="n"/>
      <c r="F739" s="27" t="n"/>
      <c r="G739" s="27" t="n"/>
      <c r="H739" s="62" t="n"/>
      <c r="I739" s="31" t="n"/>
      <c r="J739" s="31" t="n"/>
      <c r="K739" s="31" t="n"/>
      <c r="L739" s="31" t="n"/>
      <c r="M739" s="1" t="n"/>
    </row>
    <row r="740">
      <c r="A740" s="1" t="n"/>
      <c r="B740" s="24" t="n">
        <v>734</v>
      </c>
      <c r="C740" s="61" t="n"/>
      <c r="D740" s="27" t="n"/>
      <c r="E740" s="27" t="n"/>
      <c r="F740" s="27" t="n"/>
      <c r="G740" s="27" t="n"/>
      <c r="H740" s="62" t="n"/>
      <c r="I740" s="31" t="n"/>
      <c r="J740" s="31" t="n"/>
      <c r="K740" s="31" t="n"/>
      <c r="L740" s="31" t="n"/>
      <c r="M740" s="1" t="n"/>
    </row>
    <row r="741">
      <c r="A741" s="1" t="n"/>
      <c r="B741" s="24" t="n">
        <v>735</v>
      </c>
      <c r="C741" s="61" t="n"/>
      <c r="D741" s="27" t="n"/>
      <c r="E741" s="27" t="n"/>
      <c r="F741" s="27" t="n"/>
      <c r="G741" s="27" t="n"/>
      <c r="H741" s="62" t="n"/>
      <c r="I741" s="31" t="n"/>
      <c r="J741" s="31" t="n"/>
      <c r="K741" s="31" t="n"/>
      <c r="L741" s="31" t="n"/>
      <c r="M741" s="1" t="n"/>
    </row>
    <row r="742">
      <c r="A742" s="1" t="n"/>
      <c r="B742" s="24" t="n">
        <v>736</v>
      </c>
      <c r="C742" s="61" t="n"/>
      <c r="D742" s="27" t="n"/>
      <c r="E742" s="27" t="n"/>
      <c r="F742" s="27" t="n"/>
      <c r="G742" s="27" t="n"/>
      <c r="H742" s="62" t="n"/>
      <c r="I742" s="31" t="n"/>
      <c r="J742" s="31" t="n"/>
      <c r="K742" s="31" t="n"/>
      <c r="L742" s="31" t="n"/>
      <c r="M742" s="1" t="n"/>
    </row>
    <row r="743">
      <c r="A743" s="1" t="n"/>
      <c r="B743" s="24" t="n">
        <v>737</v>
      </c>
      <c r="C743" s="61" t="n"/>
      <c r="D743" s="27" t="n"/>
      <c r="E743" s="27" t="n"/>
      <c r="F743" s="27" t="n"/>
      <c r="G743" s="27" t="n"/>
      <c r="H743" s="62" t="n"/>
      <c r="I743" s="31" t="n"/>
      <c r="J743" s="31" t="n"/>
      <c r="K743" s="31" t="n"/>
      <c r="L743" s="31" t="n"/>
      <c r="M743" s="1" t="n"/>
    </row>
    <row r="744">
      <c r="A744" s="1" t="n"/>
      <c r="B744" s="24" t="n">
        <v>738</v>
      </c>
      <c r="C744" s="61" t="n"/>
      <c r="D744" s="27" t="n"/>
      <c r="E744" s="27" t="n"/>
      <c r="F744" s="27" t="n"/>
      <c r="G744" s="27" t="n"/>
      <c r="H744" s="62" t="n"/>
      <c r="I744" s="31" t="n"/>
      <c r="J744" s="31" t="n"/>
      <c r="K744" s="31" t="n"/>
      <c r="L744" s="31" t="n"/>
      <c r="M744" s="1" t="n"/>
    </row>
    <row r="745">
      <c r="A745" s="1" t="n"/>
      <c r="B745" s="24" t="n">
        <v>739</v>
      </c>
      <c r="C745" s="61" t="n"/>
      <c r="D745" s="27" t="n"/>
      <c r="E745" s="27" t="n"/>
      <c r="F745" s="27" t="n"/>
      <c r="G745" s="27" t="n"/>
      <c r="H745" s="62" t="n"/>
      <c r="I745" s="31" t="n"/>
      <c r="J745" s="31" t="n"/>
      <c r="K745" s="31" t="n"/>
      <c r="L745" s="31" t="n"/>
      <c r="M745" s="1" t="n"/>
    </row>
    <row r="746">
      <c r="A746" s="1" t="n"/>
      <c r="B746" s="24" t="n">
        <v>740</v>
      </c>
      <c r="C746" s="61" t="n"/>
      <c r="D746" s="27" t="n"/>
      <c r="E746" s="27" t="n"/>
      <c r="F746" s="27" t="n"/>
      <c r="G746" s="27" t="n"/>
      <c r="H746" s="62" t="n"/>
      <c r="I746" s="31" t="n"/>
      <c r="J746" s="31" t="n"/>
      <c r="K746" s="31" t="n"/>
      <c r="L746" s="31" t="n"/>
      <c r="M746" s="1" t="n"/>
    </row>
    <row r="747">
      <c r="A747" s="1" t="n"/>
      <c r="B747" s="24" t="n">
        <v>741</v>
      </c>
      <c r="C747" s="61" t="n"/>
      <c r="D747" s="27" t="n"/>
      <c r="E747" s="27" t="n"/>
      <c r="F747" s="27" t="n"/>
      <c r="G747" s="27" t="n"/>
      <c r="H747" s="62" t="n"/>
      <c r="I747" s="31" t="n"/>
      <c r="J747" s="31" t="n"/>
      <c r="K747" s="31" t="n"/>
      <c r="L747" s="31" t="n"/>
      <c r="M747" s="1" t="n"/>
    </row>
    <row r="748">
      <c r="A748" s="1" t="n"/>
      <c r="B748" s="24" t="n">
        <v>742</v>
      </c>
      <c r="C748" s="61" t="n"/>
      <c r="D748" s="27" t="n"/>
      <c r="E748" s="27" t="n"/>
      <c r="F748" s="27" t="n"/>
      <c r="G748" s="27" t="n"/>
      <c r="H748" s="62" t="n"/>
      <c r="I748" s="31" t="n"/>
      <c r="J748" s="31" t="n"/>
      <c r="K748" s="31" t="n"/>
      <c r="L748" s="31" t="n"/>
      <c r="M748" s="1" t="n"/>
    </row>
    <row r="749">
      <c r="A749" s="1" t="n"/>
      <c r="B749" s="24" t="n">
        <v>743</v>
      </c>
      <c r="C749" s="61" t="n"/>
      <c r="D749" s="27" t="n"/>
      <c r="E749" s="27" t="n"/>
      <c r="F749" s="27" t="n"/>
      <c r="G749" s="27" t="n"/>
      <c r="H749" s="62" t="n"/>
      <c r="I749" s="31" t="n"/>
      <c r="J749" s="31" t="n"/>
      <c r="K749" s="31" t="n"/>
      <c r="L749" s="31" t="n"/>
      <c r="M749" s="1" t="n"/>
    </row>
    <row r="750">
      <c r="A750" s="1" t="n"/>
      <c r="B750" s="24" t="n">
        <v>744</v>
      </c>
      <c r="C750" s="61" t="n"/>
      <c r="D750" s="27" t="n"/>
      <c r="E750" s="27" t="n"/>
      <c r="F750" s="27" t="n"/>
      <c r="G750" s="27" t="n"/>
      <c r="H750" s="62" t="n"/>
      <c r="I750" s="31" t="n"/>
      <c r="J750" s="31" t="n"/>
      <c r="K750" s="31" t="n"/>
      <c r="L750" s="31" t="n"/>
      <c r="M750" s="1" t="n"/>
    </row>
    <row r="751">
      <c r="A751" s="1" t="n"/>
      <c r="B751" s="24" t="n">
        <v>745</v>
      </c>
      <c r="C751" s="61" t="n"/>
      <c r="D751" s="27" t="n"/>
      <c r="E751" s="27" t="n"/>
      <c r="F751" s="27" t="n"/>
      <c r="G751" s="27" t="n"/>
      <c r="H751" s="62" t="n"/>
      <c r="I751" s="31" t="n"/>
      <c r="J751" s="31" t="n"/>
      <c r="K751" s="31" t="n"/>
      <c r="L751" s="31" t="n"/>
      <c r="M751" s="1" t="n"/>
    </row>
    <row r="752">
      <c r="A752" s="1" t="n"/>
      <c r="B752" s="24" t="n">
        <v>746</v>
      </c>
      <c r="C752" s="61" t="n"/>
      <c r="D752" s="27" t="n"/>
      <c r="E752" s="27" t="n"/>
      <c r="F752" s="27" t="n"/>
      <c r="G752" s="27" t="n"/>
      <c r="H752" s="62" t="n"/>
      <c r="I752" s="31" t="n"/>
      <c r="J752" s="31" t="n"/>
      <c r="K752" s="31" t="n"/>
      <c r="L752" s="31" t="n"/>
      <c r="M752" s="1" t="n"/>
    </row>
    <row r="753">
      <c r="A753" s="1" t="n"/>
      <c r="B753" s="24" t="n">
        <v>747</v>
      </c>
      <c r="C753" s="61" t="n"/>
      <c r="D753" s="27" t="n"/>
      <c r="E753" s="27" t="n"/>
      <c r="F753" s="27" t="n"/>
      <c r="G753" s="27" t="n"/>
      <c r="H753" s="62" t="n"/>
      <c r="I753" s="31" t="n"/>
      <c r="J753" s="31" t="n"/>
      <c r="K753" s="31" t="n"/>
      <c r="L753" s="31" t="n"/>
      <c r="M753" s="1" t="n"/>
    </row>
    <row r="754">
      <c r="A754" s="1" t="n"/>
      <c r="B754" s="24" t="n">
        <v>748</v>
      </c>
      <c r="C754" s="61" t="n"/>
      <c r="D754" s="27" t="n"/>
      <c r="E754" s="27" t="n"/>
      <c r="F754" s="27" t="n"/>
      <c r="G754" s="27" t="n"/>
      <c r="H754" s="62" t="n"/>
      <c r="I754" s="31" t="n"/>
      <c r="J754" s="31" t="n"/>
      <c r="K754" s="31" t="n"/>
      <c r="L754" s="31" t="n"/>
      <c r="M754" s="1" t="n"/>
    </row>
    <row r="755">
      <c r="A755" s="1" t="n"/>
      <c r="B755" s="24" t="n">
        <v>749</v>
      </c>
      <c r="C755" s="61" t="n"/>
      <c r="D755" s="27" t="n"/>
      <c r="E755" s="27" t="n"/>
      <c r="F755" s="27" t="n"/>
      <c r="G755" s="27" t="n"/>
      <c r="H755" s="62" t="n"/>
      <c r="I755" s="31" t="n"/>
      <c r="J755" s="31" t="n"/>
      <c r="K755" s="31" t="n"/>
      <c r="L755" s="31" t="n"/>
      <c r="M755" s="1" t="n"/>
    </row>
    <row r="756">
      <c r="A756" s="1" t="n"/>
      <c r="B756" s="24" t="n">
        <v>750</v>
      </c>
      <c r="C756" s="61" t="n"/>
      <c r="D756" s="27" t="n"/>
      <c r="E756" s="27" t="n"/>
      <c r="F756" s="27" t="n"/>
      <c r="G756" s="27" t="n"/>
      <c r="H756" s="62" t="n"/>
      <c r="I756" s="31" t="n"/>
      <c r="J756" s="31" t="n"/>
      <c r="K756" s="31" t="n"/>
      <c r="L756" s="31" t="n"/>
      <c r="M756" s="1" t="n"/>
    </row>
    <row r="757">
      <c r="A757" s="1" t="n"/>
      <c r="B757" s="24" t="n">
        <v>751</v>
      </c>
      <c r="C757" s="61" t="n"/>
      <c r="D757" s="27" t="n"/>
      <c r="E757" s="27" t="n"/>
      <c r="F757" s="27" t="n"/>
      <c r="G757" s="27" t="n"/>
      <c r="H757" s="62" t="n"/>
      <c r="I757" s="31" t="n"/>
      <c r="J757" s="31" t="n"/>
      <c r="K757" s="31" t="n"/>
      <c r="L757" s="31" t="n"/>
      <c r="M757" s="1" t="n"/>
    </row>
    <row r="758">
      <c r="A758" s="1" t="n"/>
      <c r="B758" s="24" t="n">
        <v>752</v>
      </c>
      <c r="C758" s="61" t="n"/>
      <c r="D758" s="27" t="n"/>
      <c r="E758" s="27" t="n"/>
      <c r="F758" s="27" t="n"/>
      <c r="G758" s="27" t="n"/>
      <c r="H758" s="62" t="n"/>
      <c r="I758" s="31" t="n"/>
      <c r="J758" s="31" t="n"/>
      <c r="K758" s="31" t="n"/>
      <c r="L758" s="31" t="n"/>
      <c r="M758" s="1" t="n"/>
    </row>
    <row r="759">
      <c r="A759" s="1" t="n"/>
      <c r="B759" s="24" t="n">
        <v>753</v>
      </c>
      <c r="C759" s="61" t="n"/>
      <c r="D759" s="27" t="n"/>
      <c r="E759" s="27" t="n"/>
      <c r="F759" s="27" t="n"/>
      <c r="G759" s="27" t="n"/>
      <c r="H759" s="62" t="n"/>
      <c r="I759" s="31" t="n"/>
      <c r="J759" s="31" t="n"/>
      <c r="K759" s="31" t="n"/>
      <c r="L759" s="31" t="n"/>
      <c r="M759" s="1" t="n"/>
    </row>
    <row r="760">
      <c r="A760" s="1" t="n"/>
      <c r="B760" s="24" t="n">
        <v>754</v>
      </c>
      <c r="C760" s="61" t="n"/>
      <c r="D760" s="27" t="n"/>
      <c r="E760" s="27" t="n"/>
      <c r="F760" s="27" t="n"/>
      <c r="G760" s="27" t="n"/>
      <c r="H760" s="62" t="n"/>
      <c r="I760" s="31" t="n"/>
      <c r="J760" s="31" t="n"/>
      <c r="K760" s="31" t="n"/>
      <c r="L760" s="31" t="n"/>
      <c r="M760" s="1" t="n"/>
    </row>
    <row r="761">
      <c r="A761" s="1" t="n"/>
      <c r="B761" s="24" t="n">
        <v>755</v>
      </c>
      <c r="C761" s="61" t="n"/>
      <c r="D761" s="27" t="n"/>
      <c r="E761" s="27" t="n"/>
      <c r="F761" s="27" t="n"/>
      <c r="G761" s="27" t="n"/>
      <c r="H761" s="62" t="n"/>
      <c r="I761" s="31" t="n"/>
      <c r="J761" s="31" t="n"/>
      <c r="K761" s="31" t="n"/>
      <c r="L761" s="31" t="n"/>
      <c r="M761" s="1" t="n"/>
    </row>
    <row r="762">
      <c r="A762" s="1" t="n"/>
      <c r="B762" s="24" t="n">
        <v>756</v>
      </c>
      <c r="C762" s="61" t="n"/>
      <c r="D762" s="27" t="n"/>
      <c r="E762" s="27" t="n"/>
      <c r="F762" s="27" t="n"/>
      <c r="G762" s="27" t="n"/>
      <c r="H762" s="62" t="n"/>
      <c r="I762" s="31" t="n"/>
      <c r="J762" s="31" t="n"/>
      <c r="K762" s="31" t="n"/>
      <c r="L762" s="31" t="n"/>
      <c r="M762" s="1" t="n"/>
    </row>
    <row r="763">
      <c r="A763" s="1" t="n"/>
      <c r="B763" s="24" t="n">
        <v>757</v>
      </c>
      <c r="C763" s="61" t="n"/>
      <c r="D763" s="27" t="n"/>
      <c r="E763" s="27" t="n"/>
      <c r="F763" s="27" t="n"/>
      <c r="G763" s="27" t="n"/>
      <c r="H763" s="62" t="n"/>
      <c r="I763" s="31" t="n"/>
      <c r="J763" s="31" t="n"/>
      <c r="K763" s="31" t="n"/>
      <c r="L763" s="31" t="n"/>
      <c r="M763" s="1" t="n"/>
    </row>
    <row r="764">
      <c r="A764" s="1" t="n"/>
      <c r="B764" s="24" t="n">
        <v>758</v>
      </c>
      <c r="C764" s="61" t="n"/>
      <c r="D764" s="27" t="n"/>
      <c r="E764" s="27" t="n"/>
      <c r="F764" s="27" t="n"/>
      <c r="G764" s="27" t="n"/>
      <c r="H764" s="62" t="n"/>
      <c r="I764" s="31" t="n"/>
      <c r="J764" s="31" t="n"/>
      <c r="K764" s="31" t="n"/>
      <c r="L764" s="31" t="n"/>
      <c r="M764" s="1" t="n"/>
    </row>
    <row r="765">
      <c r="A765" s="1" t="n"/>
      <c r="B765" s="24" t="n">
        <v>759</v>
      </c>
      <c r="C765" s="61" t="n"/>
      <c r="D765" s="27" t="n"/>
      <c r="E765" s="27" t="n"/>
      <c r="F765" s="27" t="n"/>
      <c r="G765" s="27" t="n"/>
      <c r="H765" s="62" t="n"/>
      <c r="I765" s="31" t="n"/>
      <c r="J765" s="31" t="n"/>
      <c r="K765" s="31" t="n"/>
      <c r="L765" s="31" t="n"/>
      <c r="M765" s="1" t="n"/>
    </row>
    <row r="766">
      <c r="A766" s="1" t="n"/>
      <c r="B766" s="24" t="n">
        <v>760</v>
      </c>
      <c r="C766" s="61" t="n"/>
      <c r="D766" s="27" t="n"/>
      <c r="E766" s="27" t="n"/>
      <c r="F766" s="27" t="n"/>
      <c r="G766" s="27" t="n"/>
      <c r="H766" s="62" t="n"/>
      <c r="I766" s="31" t="n"/>
      <c r="J766" s="31" t="n"/>
      <c r="K766" s="31" t="n"/>
      <c r="L766" s="31" t="n"/>
      <c r="M766" s="1" t="n"/>
    </row>
    <row r="767">
      <c r="A767" s="1" t="n"/>
      <c r="B767" s="24" t="n">
        <v>761</v>
      </c>
      <c r="C767" s="61" t="n"/>
      <c r="D767" s="27" t="n"/>
      <c r="E767" s="27" t="n"/>
      <c r="F767" s="27" t="n"/>
      <c r="G767" s="27" t="n"/>
      <c r="H767" s="62" t="n"/>
      <c r="I767" s="31" t="n"/>
      <c r="J767" s="31" t="n"/>
      <c r="K767" s="31" t="n"/>
      <c r="L767" s="31" t="n"/>
      <c r="M767" s="1" t="n"/>
    </row>
    <row r="768">
      <c r="A768" s="1" t="n"/>
      <c r="B768" s="24" t="n">
        <v>762</v>
      </c>
      <c r="C768" s="61" t="n"/>
      <c r="D768" s="27" t="n"/>
      <c r="E768" s="27" t="n"/>
      <c r="F768" s="27" t="n"/>
      <c r="G768" s="27" t="n"/>
      <c r="H768" s="62" t="n"/>
      <c r="I768" s="31" t="n"/>
      <c r="J768" s="31" t="n"/>
      <c r="K768" s="31" t="n"/>
      <c r="L768" s="31" t="n"/>
      <c r="M768" s="1" t="n"/>
    </row>
    <row r="769">
      <c r="A769" s="1" t="n"/>
      <c r="B769" s="24" t="n">
        <v>763</v>
      </c>
      <c r="C769" s="61" t="n"/>
      <c r="D769" s="27" t="n"/>
      <c r="E769" s="27" t="n"/>
      <c r="F769" s="27" t="n"/>
      <c r="G769" s="27" t="n"/>
      <c r="H769" s="62" t="n"/>
      <c r="I769" s="31" t="n"/>
      <c r="J769" s="31" t="n"/>
      <c r="K769" s="31" t="n"/>
      <c r="L769" s="31" t="n"/>
      <c r="M769" s="1" t="n"/>
    </row>
    <row r="770">
      <c r="A770" s="1" t="n"/>
      <c r="B770" s="24" t="n">
        <v>764</v>
      </c>
      <c r="C770" s="61" t="n"/>
      <c r="D770" s="27" t="n"/>
      <c r="E770" s="27" t="n"/>
      <c r="F770" s="27" t="n"/>
      <c r="G770" s="27" t="n"/>
      <c r="H770" s="62" t="n"/>
      <c r="I770" s="31" t="n"/>
      <c r="J770" s="31" t="n"/>
      <c r="K770" s="31" t="n"/>
      <c r="L770" s="31" t="n"/>
      <c r="M770" s="1" t="n"/>
    </row>
    <row r="771">
      <c r="A771" s="1" t="n"/>
      <c r="B771" s="24" t="n">
        <v>765</v>
      </c>
      <c r="C771" s="61" t="n"/>
      <c r="D771" s="27" t="n"/>
      <c r="E771" s="27" t="n"/>
      <c r="F771" s="27" t="n"/>
      <c r="G771" s="27" t="n"/>
      <c r="H771" s="62" t="n"/>
      <c r="I771" s="31" t="n"/>
      <c r="J771" s="31" t="n"/>
      <c r="K771" s="31" t="n"/>
      <c r="L771" s="31" t="n"/>
      <c r="M771" s="1" t="n"/>
    </row>
    <row r="772">
      <c r="A772" s="1" t="n"/>
      <c r="B772" s="24" t="n">
        <v>766</v>
      </c>
      <c r="C772" s="61" t="n"/>
      <c r="D772" s="27" t="n"/>
      <c r="E772" s="27" t="n"/>
      <c r="F772" s="27" t="n"/>
      <c r="G772" s="27" t="n"/>
      <c r="H772" s="62" t="n"/>
      <c r="I772" s="31" t="n"/>
      <c r="J772" s="31" t="n"/>
      <c r="K772" s="31" t="n"/>
      <c r="L772" s="31" t="n"/>
      <c r="M772" s="1" t="n"/>
    </row>
    <row r="773">
      <c r="A773" s="1" t="n"/>
      <c r="B773" s="24" t="n">
        <v>767</v>
      </c>
      <c r="C773" s="61" t="n"/>
      <c r="D773" s="27" t="n"/>
      <c r="E773" s="27" t="n"/>
      <c r="F773" s="27" t="n"/>
      <c r="G773" s="27" t="n"/>
      <c r="H773" s="62" t="n"/>
      <c r="I773" s="31" t="n"/>
      <c r="J773" s="31" t="n"/>
      <c r="K773" s="31" t="n"/>
      <c r="L773" s="31" t="n"/>
      <c r="M773" s="1" t="n"/>
    </row>
    <row r="774">
      <c r="A774" s="1" t="n"/>
      <c r="B774" s="24" t="n">
        <v>768</v>
      </c>
      <c r="C774" s="61" t="n"/>
      <c r="D774" s="27" t="n"/>
      <c r="E774" s="27" t="n"/>
      <c r="F774" s="27" t="n"/>
      <c r="G774" s="27" t="n"/>
      <c r="H774" s="62" t="n"/>
      <c r="I774" s="31" t="n"/>
      <c r="J774" s="31" t="n"/>
      <c r="K774" s="31" t="n"/>
      <c r="L774" s="31" t="n"/>
      <c r="M774" s="1" t="n"/>
    </row>
    <row r="775">
      <c r="A775" s="1" t="n"/>
      <c r="B775" s="24" t="n">
        <v>769</v>
      </c>
      <c r="C775" s="61" t="n"/>
      <c r="D775" s="27" t="n"/>
      <c r="E775" s="27" t="n"/>
      <c r="F775" s="27" t="n"/>
      <c r="G775" s="27" t="n"/>
      <c r="H775" s="62" t="n"/>
      <c r="I775" s="31" t="n"/>
      <c r="J775" s="31" t="n"/>
      <c r="K775" s="31" t="n"/>
      <c r="L775" s="31" t="n"/>
      <c r="M775" s="1" t="n"/>
    </row>
    <row r="776">
      <c r="A776" s="1" t="n"/>
      <c r="B776" s="24" t="n">
        <v>770</v>
      </c>
      <c r="C776" s="61" t="n"/>
      <c r="D776" s="27" t="n"/>
      <c r="E776" s="27" t="n"/>
      <c r="F776" s="27" t="n"/>
      <c r="G776" s="27" t="n"/>
      <c r="H776" s="62" t="n"/>
      <c r="I776" s="31" t="n"/>
      <c r="J776" s="31" t="n"/>
      <c r="K776" s="31" t="n"/>
      <c r="L776" s="31" t="n"/>
      <c r="M776" s="1" t="n"/>
    </row>
    <row r="777">
      <c r="A777" s="1" t="n"/>
      <c r="B777" s="24" t="n">
        <v>771</v>
      </c>
      <c r="C777" s="61" t="n"/>
      <c r="D777" s="27" t="n"/>
      <c r="E777" s="27" t="n"/>
      <c r="F777" s="27" t="n"/>
      <c r="G777" s="27" t="n"/>
      <c r="H777" s="62" t="n"/>
      <c r="I777" s="31" t="n"/>
      <c r="J777" s="31" t="n"/>
      <c r="K777" s="31" t="n"/>
      <c r="L777" s="31" t="n"/>
      <c r="M777" s="1" t="n"/>
    </row>
    <row r="778">
      <c r="A778" s="1" t="n"/>
      <c r="B778" s="24" t="n">
        <v>772</v>
      </c>
      <c r="C778" s="61" t="n"/>
      <c r="D778" s="27" t="n"/>
      <c r="E778" s="27" t="n"/>
      <c r="F778" s="27" t="n"/>
      <c r="G778" s="27" t="n"/>
      <c r="H778" s="62" t="n"/>
      <c r="I778" s="31" t="n"/>
      <c r="J778" s="31" t="n"/>
      <c r="K778" s="31" t="n"/>
      <c r="L778" s="31" t="n"/>
      <c r="M778" s="1" t="n"/>
    </row>
    <row r="779">
      <c r="A779" s="1" t="n"/>
      <c r="B779" s="24" t="n">
        <v>773</v>
      </c>
      <c r="C779" s="61" t="n"/>
      <c r="D779" s="27" t="n"/>
      <c r="E779" s="27" t="n"/>
      <c r="F779" s="27" t="n"/>
      <c r="G779" s="27" t="n"/>
      <c r="H779" s="62" t="n"/>
      <c r="I779" s="31" t="n"/>
      <c r="J779" s="31" t="n"/>
      <c r="K779" s="31" t="n"/>
      <c r="L779" s="31" t="n"/>
      <c r="M779" s="1" t="n"/>
    </row>
    <row r="780">
      <c r="A780" s="1" t="n"/>
      <c r="B780" s="24" t="n">
        <v>774</v>
      </c>
      <c r="C780" s="61" t="n"/>
      <c r="D780" s="27" t="n"/>
      <c r="E780" s="27" t="n"/>
      <c r="F780" s="27" t="n"/>
      <c r="G780" s="27" t="n"/>
      <c r="H780" s="62" t="n"/>
      <c r="I780" s="31" t="n"/>
      <c r="J780" s="31" t="n"/>
      <c r="K780" s="31" t="n"/>
      <c r="L780" s="31" t="n"/>
      <c r="M780" s="1" t="n"/>
    </row>
    <row r="781">
      <c r="A781" s="1" t="n"/>
      <c r="B781" s="24" t="n">
        <v>775</v>
      </c>
      <c r="C781" s="61" t="n"/>
      <c r="D781" s="27" t="n"/>
      <c r="E781" s="27" t="n"/>
      <c r="F781" s="27" t="n"/>
      <c r="G781" s="27" t="n"/>
      <c r="H781" s="62" t="n"/>
      <c r="I781" s="31" t="n"/>
      <c r="J781" s="31" t="n"/>
      <c r="K781" s="31" t="n"/>
      <c r="L781" s="31" t="n"/>
      <c r="M781" s="1" t="n"/>
    </row>
    <row r="782">
      <c r="A782" s="1" t="n"/>
      <c r="B782" s="24" t="n">
        <v>776</v>
      </c>
      <c r="C782" s="61" t="n"/>
      <c r="D782" s="27" t="n"/>
      <c r="E782" s="27" t="n"/>
      <c r="F782" s="27" t="n"/>
      <c r="G782" s="27" t="n"/>
      <c r="H782" s="62" t="n"/>
      <c r="I782" s="31" t="n"/>
      <c r="J782" s="31" t="n"/>
      <c r="K782" s="31" t="n"/>
      <c r="L782" s="31" t="n"/>
      <c r="M782" s="1" t="n"/>
    </row>
    <row r="783">
      <c r="A783" s="1" t="n"/>
      <c r="B783" s="24" t="n">
        <v>777</v>
      </c>
      <c r="C783" s="61" t="n"/>
      <c r="D783" s="27" t="n"/>
      <c r="E783" s="27" t="n"/>
      <c r="F783" s="27" t="n"/>
      <c r="G783" s="27" t="n"/>
      <c r="H783" s="62" t="n"/>
      <c r="I783" s="31" t="n"/>
      <c r="J783" s="31" t="n"/>
      <c r="K783" s="31" t="n"/>
      <c r="L783" s="31" t="n"/>
      <c r="M783" s="1" t="n"/>
    </row>
    <row r="784">
      <c r="A784" s="1" t="n"/>
      <c r="B784" s="24" t="n">
        <v>778</v>
      </c>
      <c r="C784" s="61" t="n"/>
      <c r="D784" s="27" t="n"/>
      <c r="E784" s="27" t="n"/>
      <c r="F784" s="27" t="n"/>
      <c r="G784" s="27" t="n"/>
      <c r="H784" s="62" t="n"/>
      <c r="I784" s="31" t="n"/>
      <c r="J784" s="31" t="n"/>
      <c r="K784" s="31" t="n"/>
      <c r="L784" s="31" t="n"/>
      <c r="M784" s="1" t="n"/>
    </row>
    <row r="785">
      <c r="A785" s="1" t="n"/>
      <c r="B785" s="24" t="n">
        <v>779</v>
      </c>
      <c r="C785" s="61" t="n"/>
      <c r="D785" s="27" t="n"/>
      <c r="E785" s="27" t="n"/>
      <c r="F785" s="27" t="n"/>
      <c r="G785" s="27" t="n"/>
      <c r="H785" s="62" t="n"/>
      <c r="I785" s="31" t="n"/>
      <c r="J785" s="31" t="n"/>
      <c r="K785" s="31" t="n"/>
      <c r="L785" s="31" t="n"/>
      <c r="M785" s="1" t="n"/>
    </row>
    <row r="786">
      <c r="A786" s="1" t="n"/>
      <c r="B786" s="24" t="n">
        <v>780</v>
      </c>
      <c r="C786" s="61" t="n"/>
      <c r="D786" s="27" t="n"/>
      <c r="E786" s="27" t="n"/>
      <c r="F786" s="27" t="n"/>
      <c r="G786" s="27" t="n"/>
      <c r="H786" s="62" t="n"/>
      <c r="I786" s="31" t="n"/>
      <c r="J786" s="31" t="n"/>
      <c r="K786" s="31" t="n"/>
      <c r="L786" s="31" t="n"/>
      <c r="M786" s="1" t="n"/>
    </row>
    <row r="787">
      <c r="A787" s="1" t="n"/>
      <c r="B787" s="24" t="n">
        <v>781</v>
      </c>
      <c r="C787" s="61" t="n"/>
      <c r="D787" s="27" t="n"/>
      <c r="E787" s="27" t="n"/>
      <c r="F787" s="27" t="n"/>
      <c r="G787" s="27" t="n"/>
      <c r="H787" s="62" t="n"/>
      <c r="I787" s="31" t="n"/>
      <c r="J787" s="31" t="n"/>
      <c r="K787" s="31" t="n"/>
      <c r="L787" s="31" t="n"/>
      <c r="M787" s="1" t="n"/>
    </row>
    <row r="788">
      <c r="A788" s="1" t="n"/>
      <c r="B788" s="24" t="n">
        <v>782</v>
      </c>
      <c r="C788" s="61" t="n"/>
      <c r="D788" s="27" t="n"/>
      <c r="E788" s="27" t="n"/>
      <c r="F788" s="27" t="n"/>
      <c r="G788" s="27" t="n"/>
      <c r="H788" s="62" t="n"/>
      <c r="I788" s="31" t="n"/>
      <c r="J788" s="31" t="n"/>
      <c r="K788" s="31" t="n"/>
      <c r="L788" s="31" t="n"/>
      <c r="M788" s="1" t="n"/>
    </row>
    <row r="789">
      <c r="A789" s="1" t="n"/>
      <c r="B789" s="24" t="n">
        <v>783</v>
      </c>
      <c r="C789" s="61" t="n"/>
      <c r="D789" s="27" t="n"/>
      <c r="E789" s="27" t="n"/>
      <c r="F789" s="27" t="n"/>
      <c r="G789" s="27" t="n"/>
      <c r="H789" s="62" t="n"/>
      <c r="I789" s="31" t="n"/>
      <c r="J789" s="31" t="n"/>
      <c r="K789" s="31" t="n"/>
      <c r="L789" s="31" t="n"/>
      <c r="M789" s="1" t="n"/>
    </row>
    <row r="790">
      <c r="A790" s="1" t="n"/>
      <c r="B790" s="24" t="n">
        <v>784</v>
      </c>
      <c r="C790" s="61" t="n"/>
      <c r="D790" s="27" t="n"/>
      <c r="E790" s="27" t="n"/>
      <c r="F790" s="27" t="n"/>
      <c r="G790" s="27" t="n"/>
      <c r="H790" s="62" t="n"/>
      <c r="I790" s="31" t="n"/>
      <c r="J790" s="31" t="n"/>
      <c r="K790" s="31" t="n"/>
      <c r="L790" s="31" t="n"/>
      <c r="M790" s="1" t="n"/>
    </row>
    <row r="791">
      <c r="A791" s="1" t="n"/>
      <c r="B791" s="24" t="n">
        <v>785</v>
      </c>
      <c r="C791" s="61" t="n"/>
      <c r="D791" s="27" t="n"/>
      <c r="E791" s="27" t="n"/>
      <c r="F791" s="27" t="n"/>
      <c r="G791" s="27" t="n"/>
      <c r="H791" s="62" t="n"/>
      <c r="I791" s="31" t="n"/>
      <c r="J791" s="31" t="n"/>
      <c r="K791" s="31" t="n"/>
      <c r="L791" s="31" t="n"/>
      <c r="M791" s="1" t="n"/>
    </row>
    <row r="792">
      <c r="A792" s="1" t="n"/>
      <c r="B792" s="24" t="n">
        <v>786</v>
      </c>
      <c r="C792" s="61" t="n"/>
      <c r="D792" s="27" t="n"/>
      <c r="E792" s="27" t="n"/>
      <c r="F792" s="27" t="n"/>
      <c r="G792" s="27" t="n"/>
      <c r="H792" s="62" t="n"/>
      <c r="I792" s="31" t="n"/>
      <c r="J792" s="31" t="n"/>
      <c r="K792" s="31" t="n"/>
      <c r="L792" s="31" t="n"/>
      <c r="M792" s="1" t="n"/>
    </row>
    <row r="793">
      <c r="A793" s="1" t="n"/>
      <c r="B793" s="24" t="n">
        <v>787</v>
      </c>
      <c r="C793" s="61" t="n"/>
      <c r="D793" s="27" t="n"/>
      <c r="E793" s="27" t="n"/>
      <c r="F793" s="27" t="n"/>
      <c r="G793" s="27" t="n"/>
      <c r="H793" s="62" t="n"/>
      <c r="I793" s="31" t="n"/>
      <c r="J793" s="31" t="n"/>
      <c r="K793" s="31" t="n"/>
      <c r="L793" s="31" t="n"/>
      <c r="M793" s="1" t="n"/>
    </row>
    <row r="794">
      <c r="A794" s="1" t="n"/>
      <c r="B794" s="24" t="n">
        <v>788</v>
      </c>
      <c r="C794" s="61" t="n"/>
      <c r="D794" s="27" t="n"/>
      <c r="E794" s="27" t="n"/>
      <c r="F794" s="27" t="n"/>
      <c r="G794" s="27" t="n"/>
      <c r="H794" s="62" t="n"/>
      <c r="I794" s="31" t="n"/>
      <c r="J794" s="31" t="n"/>
      <c r="K794" s="31" t="n"/>
      <c r="L794" s="31" t="n"/>
      <c r="M794" s="1" t="n"/>
    </row>
    <row r="795">
      <c r="A795" s="1" t="n"/>
      <c r="B795" s="24" t="n">
        <v>789</v>
      </c>
      <c r="C795" s="61" t="n"/>
      <c r="D795" s="27" t="n"/>
      <c r="E795" s="27" t="n"/>
      <c r="F795" s="27" t="n"/>
      <c r="G795" s="27" t="n"/>
      <c r="H795" s="62" t="n"/>
      <c r="I795" s="31" t="n"/>
      <c r="J795" s="31" t="n"/>
      <c r="K795" s="31" t="n"/>
      <c r="L795" s="31" t="n"/>
      <c r="M795" s="1" t="n"/>
    </row>
    <row r="796">
      <c r="A796" s="1" t="n"/>
      <c r="B796" s="24" t="n">
        <v>790</v>
      </c>
      <c r="C796" s="61" t="n"/>
      <c r="D796" s="27" t="n"/>
      <c r="E796" s="27" t="n"/>
      <c r="F796" s="27" t="n"/>
      <c r="G796" s="27" t="n"/>
      <c r="H796" s="62" t="n"/>
      <c r="I796" s="31" t="n"/>
      <c r="J796" s="31" t="n"/>
      <c r="K796" s="31" t="n"/>
      <c r="L796" s="31" t="n"/>
      <c r="M796" s="1" t="n"/>
    </row>
    <row r="797">
      <c r="A797" s="1" t="n"/>
      <c r="B797" s="24" t="n">
        <v>791</v>
      </c>
      <c r="C797" s="61" t="n"/>
      <c r="D797" s="27" t="n"/>
      <c r="E797" s="27" t="n"/>
      <c r="F797" s="27" t="n"/>
      <c r="G797" s="27" t="n"/>
      <c r="H797" s="62" t="n"/>
      <c r="I797" s="31" t="n"/>
      <c r="J797" s="31" t="n"/>
      <c r="K797" s="31" t="n"/>
      <c r="L797" s="31" t="n"/>
      <c r="M797" s="1" t="n"/>
    </row>
    <row r="798">
      <c r="A798" s="1" t="n"/>
      <c r="B798" s="24" t="n">
        <v>792</v>
      </c>
      <c r="C798" s="61" t="n"/>
      <c r="D798" s="27" t="n"/>
      <c r="E798" s="27" t="n"/>
      <c r="F798" s="27" t="n"/>
      <c r="G798" s="27" t="n"/>
      <c r="H798" s="62" t="n"/>
      <c r="I798" s="31" t="n"/>
      <c r="J798" s="31" t="n"/>
      <c r="K798" s="31" t="n"/>
      <c r="L798" s="31" t="n"/>
      <c r="M798" s="1" t="n"/>
    </row>
    <row r="799">
      <c r="A799" s="1" t="n"/>
      <c r="B799" s="24" t="n">
        <v>793</v>
      </c>
      <c r="C799" s="61" t="n"/>
      <c r="D799" s="27" t="n"/>
      <c r="E799" s="27" t="n"/>
      <c r="F799" s="27" t="n"/>
      <c r="G799" s="27" t="n"/>
      <c r="H799" s="62" t="n"/>
      <c r="I799" s="31" t="n"/>
      <c r="J799" s="31" t="n"/>
      <c r="K799" s="31" t="n"/>
      <c r="L799" s="31" t="n"/>
      <c r="M799" s="1" t="n"/>
    </row>
    <row r="800">
      <c r="A800" s="1" t="n"/>
      <c r="B800" s="24" t="n">
        <v>794</v>
      </c>
      <c r="C800" s="61" t="n"/>
      <c r="D800" s="27" t="n"/>
      <c r="E800" s="27" t="n"/>
      <c r="F800" s="27" t="n"/>
      <c r="G800" s="27" t="n"/>
      <c r="H800" s="62" t="n"/>
      <c r="I800" s="31" t="n"/>
      <c r="J800" s="31" t="n"/>
      <c r="K800" s="31" t="n"/>
      <c r="L800" s="31" t="n"/>
      <c r="M800" s="1" t="n"/>
    </row>
    <row r="801">
      <c r="A801" s="1" t="n"/>
      <c r="B801" s="24" t="n">
        <v>795</v>
      </c>
      <c r="C801" s="61" t="n"/>
      <c r="D801" s="27" t="n"/>
      <c r="E801" s="27" t="n"/>
      <c r="F801" s="27" t="n"/>
      <c r="G801" s="27" t="n"/>
      <c r="H801" s="62" t="n"/>
      <c r="I801" s="31" t="n"/>
      <c r="J801" s="31" t="n"/>
      <c r="K801" s="31" t="n"/>
      <c r="L801" s="31" t="n"/>
      <c r="M801" s="1" t="n"/>
    </row>
    <row r="802">
      <c r="A802" s="1" t="n"/>
      <c r="B802" s="24" t="n">
        <v>796</v>
      </c>
      <c r="C802" s="61" t="n"/>
      <c r="D802" s="27" t="n"/>
      <c r="E802" s="27" t="n"/>
      <c r="F802" s="27" t="n"/>
      <c r="G802" s="27" t="n"/>
      <c r="H802" s="62" t="n"/>
      <c r="I802" s="31" t="n"/>
      <c r="J802" s="31" t="n"/>
      <c r="K802" s="31" t="n"/>
      <c r="L802" s="31" t="n"/>
      <c r="M802" s="1" t="n"/>
    </row>
    <row r="803">
      <c r="A803" s="1" t="n"/>
      <c r="B803" s="24" t="n">
        <v>797</v>
      </c>
      <c r="C803" s="61" t="n"/>
      <c r="D803" s="27" t="n"/>
      <c r="E803" s="27" t="n"/>
      <c r="F803" s="27" t="n"/>
      <c r="G803" s="27" t="n"/>
      <c r="H803" s="62" t="n"/>
      <c r="I803" s="31" t="n"/>
      <c r="J803" s="31" t="n"/>
      <c r="K803" s="31" t="n"/>
      <c r="L803" s="31" t="n"/>
      <c r="M803" s="1" t="n"/>
    </row>
    <row r="804">
      <c r="A804" s="1" t="n"/>
      <c r="B804" s="24" t="n">
        <v>798</v>
      </c>
      <c r="C804" s="61" t="n"/>
      <c r="D804" s="27" t="n"/>
      <c r="E804" s="27" t="n"/>
      <c r="F804" s="27" t="n"/>
      <c r="G804" s="27" t="n"/>
      <c r="H804" s="62" t="n"/>
      <c r="I804" s="31" t="n"/>
      <c r="J804" s="31" t="n"/>
      <c r="K804" s="31" t="n"/>
      <c r="L804" s="31" t="n"/>
      <c r="M804" s="1" t="n"/>
    </row>
    <row r="805">
      <c r="A805" s="1" t="n"/>
      <c r="B805" s="24" t="n">
        <v>799</v>
      </c>
      <c r="C805" s="61" t="n"/>
      <c r="D805" s="27" t="n"/>
      <c r="E805" s="27" t="n"/>
      <c r="F805" s="27" t="n"/>
      <c r="G805" s="27" t="n"/>
      <c r="H805" s="62" t="n"/>
      <c r="I805" s="31" t="n"/>
      <c r="J805" s="31" t="n"/>
      <c r="K805" s="31" t="n"/>
      <c r="L805" s="31" t="n"/>
      <c r="M805" s="1" t="n"/>
    </row>
    <row r="806">
      <c r="A806" s="1" t="n"/>
      <c r="B806" s="24" t="n">
        <v>800</v>
      </c>
      <c r="C806" s="61" t="n"/>
      <c r="D806" s="27" t="n"/>
      <c r="E806" s="27" t="n"/>
      <c r="F806" s="27" t="n"/>
      <c r="G806" s="27" t="n"/>
      <c r="H806" s="62" t="n"/>
      <c r="I806" s="31" t="n"/>
      <c r="J806" s="31" t="n"/>
      <c r="K806" s="31" t="n"/>
      <c r="L806" s="31" t="n"/>
      <c r="M806" s="1" t="n"/>
    </row>
    <row r="807">
      <c r="A807" s="1" t="n"/>
      <c r="B807" s="24" t="n">
        <v>801</v>
      </c>
      <c r="C807" s="61" t="n"/>
      <c r="D807" s="27" t="n"/>
      <c r="E807" s="27" t="n"/>
      <c r="F807" s="27" t="n"/>
      <c r="G807" s="27" t="n"/>
      <c r="H807" s="62" t="n"/>
      <c r="I807" s="31" t="n"/>
      <c r="J807" s="31" t="n"/>
      <c r="K807" s="31" t="n"/>
      <c r="L807" s="31" t="n"/>
      <c r="M807" s="1" t="n"/>
    </row>
    <row r="808">
      <c r="A808" s="1" t="n"/>
      <c r="B808" s="24" t="n">
        <v>802</v>
      </c>
      <c r="C808" s="61" t="n"/>
      <c r="D808" s="27" t="n"/>
      <c r="E808" s="27" t="n"/>
      <c r="F808" s="27" t="n"/>
      <c r="G808" s="27" t="n"/>
      <c r="H808" s="62" t="n"/>
      <c r="I808" s="31" t="n"/>
      <c r="J808" s="31" t="n"/>
      <c r="K808" s="31" t="n"/>
      <c r="L808" s="31" t="n"/>
      <c r="M808" s="1" t="n"/>
    </row>
    <row r="809">
      <c r="A809" s="1" t="n"/>
      <c r="B809" s="24" t="n">
        <v>803</v>
      </c>
      <c r="C809" s="61" t="n"/>
      <c r="D809" s="27" t="n"/>
      <c r="E809" s="27" t="n"/>
      <c r="F809" s="27" t="n"/>
      <c r="G809" s="27" t="n"/>
      <c r="H809" s="62" t="n"/>
      <c r="I809" s="31" t="n"/>
      <c r="J809" s="31" t="n"/>
      <c r="K809" s="31" t="n"/>
      <c r="L809" s="31" t="n"/>
      <c r="M809" s="1" t="n"/>
    </row>
    <row r="810">
      <c r="A810" s="1" t="n"/>
      <c r="B810" s="24" t="n">
        <v>804</v>
      </c>
      <c r="C810" s="61" t="n"/>
      <c r="D810" s="27" t="n"/>
      <c r="E810" s="27" t="n"/>
      <c r="F810" s="27" t="n"/>
      <c r="G810" s="27" t="n"/>
      <c r="H810" s="62" t="n"/>
      <c r="I810" s="31" t="n"/>
      <c r="J810" s="31" t="n"/>
      <c r="K810" s="31" t="n"/>
      <c r="L810" s="31" t="n"/>
      <c r="M810" s="1" t="n"/>
    </row>
    <row r="811">
      <c r="A811" s="1" t="n"/>
      <c r="B811" s="24" t="n">
        <v>805</v>
      </c>
      <c r="C811" s="61" t="n"/>
      <c r="D811" s="27" t="n"/>
      <c r="E811" s="27" t="n"/>
      <c r="F811" s="27" t="n"/>
      <c r="G811" s="27" t="n"/>
      <c r="H811" s="62" t="n"/>
      <c r="I811" s="31" t="n"/>
      <c r="J811" s="31" t="n"/>
      <c r="K811" s="31" t="n"/>
      <c r="L811" s="31" t="n"/>
      <c r="M811" s="1" t="n"/>
    </row>
    <row r="812">
      <c r="A812" s="1" t="n"/>
      <c r="B812" s="24" t="n">
        <v>806</v>
      </c>
      <c r="C812" s="61" t="n"/>
      <c r="D812" s="27" t="n"/>
      <c r="E812" s="27" t="n"/>
      <c r="F812" s="27" t="n"/>
      <c r="G812" s="27" t="n"/>
      <c r="H812" s="62" t="n"/>
      <c r="I812" s="31" t="n"/>
      <c r="J812" s="31" t="n"/>
      <c r="K812" s="31" t="n"/>
      <c r="L812" s="31" t="n"/>
      <c r="M812" s="1" t="n"/>
    </row>
    <row r="813">
      <c r="A813" s="1" t="n"/>
      <c r="B813" s="24" t="n">
        <v>807</v>
      </c>
      <c r="C813" s="61" t="n"/>
      <c r="D813" s="27" t="n"/>
      <c r="E813" s="27" t="n"/>
      <c r="F813" s="27" t="n"/>
      <c r="G813" s="27" t="n"/>
      <c r="H813" s="62" t="n"/>
      <c r="I813" s="31" t="n"/>
      <c r="J813" s="31" t="n"/>
      <c r="K813" s="31" t="n"/>
      <c r="L813" s="31" t="n"/>
      <c r="M813" s="1" t="n"/>
    </row>
    <row r="814">
      <c r="A814" s="1" t="n"/>
      <c r="B814" s="24" t="n">
        <v>808</v>
      </c>
      <c r="C814" s="61" t="n"/>
      <c r="D814" s="27" t="n"/>
      <c r="E814" s="27" t="n"/>
      <c r="F814" s="27" t="n"/>
      <c r="G814" s="27" t="n"/>
      <c r="H814" s="62" t="n"/>
      <c r="I814" s="31" t="n"/>
      <c r="J814" s="31" t="n"/>
      <c r="K814" s="31" t="n"/>
      <c r="L814" s="31" t="n"/>
      <c r="M814" s="1" t="n"/>
    </row>
    <row r="815">
      <c r="A815" s="1" t="n"/>
      <c r="B815" s="24" t="n">
        <v>809</v>
      </c>
      <c r="C815" s="61" t="n"/>
      <c r="D815" s="27" t="n"/>
      <c r="E815" s="27" t="n"/>
      <c r="F815" s="27" t="n"/>
      <c r="G815" s="27" t="n"/>
      <c r="H815" s="62" t="n"/>
      <c r="I815" s="31" t="n"/>
      <c r="J815" s="31" t="n"/>
      <c r="K815" s="31" t="n"/>
      <c r="L815" s="31" t="n"/>
      <c r="M815" s="1" t="n"/>
    </row>
    <row r="816">
      <c r="A816" s="1" t="n"/>
      <c r="B816" s="24" t="n">
        <v>810</v>
      </c>
      <c r="C816" s="61" t="n"/>
      <c r="D816" s="27" t="n"/>
      <c r="E816" s="27" t="n"/>
      <c r="F816" s="27" t="n"/>
      <c r="G816" s="27" t="n"/>
      <c r="H816" s="62" t="n"/>
      <c r="I816" s="31" t="n"/>
      <c r="J816" s="31" t="n"/>
      <c r="K816" s="31" t="n"/>
      <c r="L816" s="31" t="n"/>
      <c r="M816" s="1" t="n"/>
    </row>
    <row r="817">
      <c r="A817" s="1" t="n"/>
      <c r="B817" s="24" t="n">
        <v>811</v>
      </c>
      <c r="C817" s="61" t="n"/>
      <c r="D817" s="27" t="n"/>
      <c r="E817" s="27" t="n"/>
      <c r="F817" s="27" t="n"/>
      <c r="G817" s="27" t="n"/>
      <c r="H817" s="62" t="n"/>
      <c r="I817" s="31" t="n"/>
      <c r="J817" s="31" t="n"/>
      <c r="K817" s="31" t="n"/>
      <c r="L817" s="31" t="n"/>
      <c r="M817" s="1" t="n"/>
    </row>
    <row r="818">
      <c r="A818" s="1" t="n"/>
      <c r="B818" s="24" t="n">
        <v>812</v>
      </c>
      <c r="C818" s="61" t="n"/>
      <c r="D818" s="27" t="n"/>
      <c r="E818" s="27" t="n"/>
      <c r="F818" s="27" t="n"/>
      <c r="G818" s="27" t="n"/>
      <c r="H818" s="62" t="n"/>
      <c r="I818" s="31" t="n"/>
      <c r="J818" s="31" t="n"/>
      <c r="K818" s="31" t="n"/>
      <c r="L818" s="31" t="n"/>
      <c r="M818" s="1" t="n"/>
    </row>
    <row r="819">
      <c r="A819" s="1" t="n"/>
      <c r="B819" s="24" t="n">
        <v>813</v>
      </c>
      <c r="C819" s="61" t="n"/>
      <c r="D819" s="27" t="n"/>
      <c r="E819" s="27" t="n"/>
      <c r="F819" s="27" t="n"/>
      <c r="G819" s="27" t="n"/>
      <c r="H819" s="62" t="n"/>
      <c r="I819" s="31" t="n"/>
      <c r="J819" s="31" t="n"/>
      <c r="K819" s="31" t="n"/>
      <c r="L819" s="31" t="n"/>
      <c r="M819" s="1" t="n"/>
    </row>
    <row r="820">
      <c r="A820" s="1" t="n"/>
      <c r="B820" s="24" t="n">
        <v>814</v>
      </c>
      <c r="C820" s="61" t="n"/>
      <c r="D820" s="27" t="n"/>
      <c r="E820" s="27" t="n"/>
      <c r="F820" s="27" t="n"/>
      <c r="G820" s="27" t="n"/>
      <c r="H820" s="62" t="n"/>
      <c r="I820" s="31" t="n"/>
      <c r="J820" s="31" t="n"/>
      <c r="K820" s="31" t="n"/>
      <c r="L820" s="31" t="n"/>
      <c r="M820" s="1" t="n"/>
    </row>
    <row r="821">
      <c r="A821" s="1" t="n"/>
      <c r="B821" s="24" t="n">
        <v>815</v>
      </c>
      <c r="C821" s="61" t="n"/>
      <c r="D821" s="27" t="n"/>
      <c r="E821" s="27" t="n"/>
      <c r="F821" s="27" t="n"/>
      <c r="G821" s="27" t="n"/>
      <c r="H821" s="62" t="n"/>
      <c r="I821" s="31" t="n"/>
      <c r="J821" s="31" t="n"/>
      <c r="K821" s="31" t="n"/>
      <c r="L821" s="31" t="n"/>
      <c r="M821" s="1" t="n"/>
    </row>
    <row r="822">
      <c r="A822" s="1" t="n"/>
      <c r="B822" s="24" t="n">
        <v>816</v>
      </c>
      <c r="C822" s="61" t="n"/>
      <c r="D822" s="27" t="n"/>
      <c r="E822" s="27" t="n"/>
      <c r="F822" s="27" t="n"/>
      <c r="G822" s="27" t="n"/>
      <c r="H822" s="62" t="n"/>
      <c r="I822" s="31" t="n"/>
      <c r="J822" s="31" t="n"/>
      <c r="K822" s="31" t="n"/>
      <c r="L822" s="31" t="n"/>
      <c r="M822" s="1" t="n"/>
    </row>
    <row r="823">
      <c r="A823" s="1" t="n"/>
      <c r="B823" s="24" t="n">
        <v>817</v>
      </c>
      <c r="C823" s="61" t="n"/>
      <c r="D823" s="27" t="n"/>
      <c r="E823" s="27" t="n"/>
      <c r="F823" s="27" t="n"/>
      <c r="G823" s="27" t="n"/>
      <c r="H823" s="62" t="n"/>
      <c r="I823" s="31" t="n"/>
      <c r="J823" s="31" t="n"/>
      <c r="K823" s="31" t="n"/>
      <c r="L823" s="31" t="n"/>
      <c r="M823" s="1" t="n"/>
    </row>
    <row r="824">
      <c r="A824" s="1" t="n"/>
      <c r="B824" s="24" t="n">
        <v>818</v>
      </c>
      <c r="C824" s="61" t="n"/>
      <c r="D824" s="27" t="n"/>
      <c r="E824" s="27" t="n"/>
      <c r="F824" s="27" t="n"/>
      <c r="G824" s="27" t="n"/>
      <c r="H824" s="62" t="n"/>
      <c r="I824" s="31" t="n"/>
      <c r="J824" s="31" t="n"/>
      <c r="K824" s="31" t="n"/>
      <c r="L824" s="31" t="n"/>
      <c r="M824" s="1" t="n"/>
    </row>
    <row r="825">
      <c r="A825" s="1" t="n"/>
      <c r="B825" s="24" t="n">
        <v>819</v>
      </c>
      <c r="C825" s="61" t="n"/>
      <c r="D825" s="27" t="n"/>
      <c r="E825" s="27" t="n"/>
      <c r="F825" s="27" t="n"/>
      <c r="G825" s="27" t="n"/>
      <c r="H825" s="62" t="n"/>
      <c r="I825" s="31" t="n"/>
      <c r="J825" s="31" t="n"/>
      <c r="K825" s="31" t="n"/>
      <c r="L825" s="31" t="n"/>
      <c r="M825" s="1" t="n"/>
    </row>
    <row r="826">
      <c r="A826" s="1" t="n"/>
      <c r="B826" s="24" t="n">
        <v>820</v>
      </c>
      <c r="C826" s="61" t="n"/>
      <c r="D826" s="27" t="n"/>
      <c r="E826" s="27" t="n"/>
      <c r="F826" s="27" t="n"/>
      <c r="G826" s="27" t="n"/>
      <c r="H826" s="62" t="n"/>
      <c r="I826" s="31" t="n"/>
      <c r="J826" s="31" t="n"/>
      <c r="K826" s="31" t="n"/>
      <c r="L826" s="31" t="n"/>
      <c r="M826" s="1" t="n"/>
    </row>
    <row r="827">
      <c r="A827" s="1" t="n"/>
      <c r="B827" s="24" t="n">
        <v>821</v>
      </c>
      <c r="C827" s="61" t="n"/>
      <c r="D827" s="27" t="n"/>
      <c r="E827" s="27" t="n"/>
      <c r="F827" s="27" t="n"/>
      <c r="G827" s="27" t="n"/>
      <c r="H827" s="62" t="n"/>
      <c r="I827" s="31" t="n"/>
      <c r="J827" s="31" t="n"/>
      <c r="K827" s="31" t="n"/>
      <c r="L827" s="31" t="n"/>
      <c r="M827" s="1" t="n"/>
    </row>
    <row r="828">
      <c r="A828" s="1" t="n"/>
      <c r="B828" s="24" t="n">
        <v>822</v>
      </c>
      <c r="C828" s="61" t="n"/>
      <c r="D828" s="27" t="n"/>
      <c r="E828" s="27" t="n"/>
      <c r="F828" s="27" t="n"/>
      <c r="G828" s="27" t="n"/>
      <c r="H828" s="62" t="n"/>
      <c r="I828" s="31" t="n"/>
      <c r="J828" s="31" t="n"/>
      <c r="K828" s="31" t="n"/>
      <c r="L828" s="31" t="n"/>
      <c r="M828" s="1" t="n"/>
    </row>
    <row r="829">
      <c r="A829" s="1" t="n"/>
      <c r="B829" s="24" t="n">
        <v>823</v>
      </c>
      <c r="C829" s="61" t="n"/>
      <c r="D829" s="27" t="n"/>
      <c r="E829" s="27" t="n"/>
      <c r="F829" s="27" t="n"/>
      <c r="G829" s="27" t="n"/>
      <c r="H829" s="62" t="n"/>
      <c r="I829" s="31" t="n"/>
      <c r="J829" s="31" t="n"/>
      <c r="K829" s="31" t="n"/>
      <c r="L829" s="31" t="n"/>
      <c r="M829" s="1" t="n"/>
    </row>
    <row r="830">
      <c r="A830" s="1" t="n"/>
      <c r="B830" s="24" t="n">
        <v>824</v>
      </c>
      <c r="C830" s="61" t="n"/>
      <c r="D830" s="27" t="n"/>
      <c r="E830" s="27" t="n"/>
      <c r="F830" s="27" t="n"/>
      <c r="G830" s="27" t="n"/>
      <c r="H830" s="62" t="n"/>
      <c r="I830" s="31" t="n"/>
      <c r="J830" s="31" t="n"/>
      <c r="K830" s="31" t="n"/>
      <c r="L830" s="31" t="n"/>
      <c r="M830" s="1" t="n"/>
    </row>
    <row r="831">
      <c r="A831" s="1" t="n"/>
      <c r="B831" s="24" t="n">
        <v>825</v>
      </c>
      <c r="C831" s="61" t="n"/>
      <c r="D831" s="27" t="n"/>
      <c r="E831" s="27" t="n"/>
      <c r="F831" s="27" t="n"/>
      <c r="G831" s="27" t="n"/>
      <c r="H831" s="62" t="n"/>
      <c r="I831" s="31" t="n"/>
      <c r="J831" s="31" t="n"/>
      <c r="K831" s="31" t="n"/>
      <c r="L831" s="31" t="n"/>
      <c r="M831" s="1" t="n"/>
    </row>
    <row r="832">
      <c r="A832" s="1" t="n"/>
      <c r="B832" s="24" t="n">
        <v>826</v>
      </c>
      <c r="C832" s="61" t="n"/>
      <c r="D832" s="27" t="n"/>
      <c r="E832" s="27" t="n"/>
      <c r="F832" s="27" t="n"/>
      <c r="G832" s="27" t="n"/>
      <c r="H832" s="62" t="n"/>
      <c r="I832" s="31" t="n"/>
      <c r="J832" s="31" t="n"/>
      <c r="K832" s="31" t="n"/>
      <c r="L832" s="31" t="n"/>
      <c r="M832" s="1" t="n"/>
    </row>
    <row r="833">
      <c r="A833" s="1" t="n"/>
      <c r="B833" s="24" t="n">
        <v>827</v>
      </c>
      <c r="C833" s="61" t="n"/>
      <c r="D833" s="27" t="n"/>
      <c r="E833" s="27" t="n"/>
      <c r="F833" s="27" t="n"/>
      <c r="G833" s="27" t="n"/>
      <c r="H833" s="62" t="n"/>
      <c r="I833" s="31" t="n"/>
      <c r="J833" s="31" t="n"/>
      <c r="K833" s="31" t="n"/>
      <c r="L833" s="31" t="n"/>
      <c r="M833" s="1" t="n"/>
    </row>
    <row r="834">
      <c r="A834" s="1" t="n"/>
      <c r="B834" s="24" t="n">
        <v>828</v>
      </c>
      <c r="C834" s="61" t="n"/>
      <c r="D834" s="27" t="n"/>
      <c r="E834" s="27" t="n"/>
      <c r="F834" s="27" t="n"/>
      <c r="G834" s="27" t="n"/>
      <c r="H834" s="62" t="n"/>
      <c r="I834" s="31" t="n"/>
      <c r="J834" s="31" t="n"/>
      <c r="K834" s="31" t="n"/>
      <c r="L834" s="31" t="n"/>
      <c r="M834" s="1" t="n"/>
    </row>
    <row r="835">
      <c r="A835" s="1" t="n"/>
      <c r="B835" s="24" t="n">
        <v>829</v>
      </c>
      <c r="C835" s="61" t="n"/>
      <c r="D835" s="27" t="n"/>
      <c r="E835" s="27" t="n"/>
      <c r="F835" s="27" t="n"/>
      <c r="G835" s="27" t="n"/>
      <c r="H835" s="62" t="n"/>
      <c r="I835" s="31" t="n"/>
      <c r="J835" s="31" t="n"/>
      <c r="K835" s="31" t="n"/>
      <c r="L835" s="31" t="n"/>
      <c r="M835" s="1" t="n"/>
    </row>
    <row r="836">
      <c r="A836" s="1" t="n"/>
      <c r="B836" s="24" t="n">
        <v>830</v>
      </c>
      <c r="C836" s="61" t="n"/>
      <c r="D836" s="27" t="n"/>
      <c r="E836" s="27" t="n"/>
      <c r="F836" s="27" t="n"/>
      <c r="G836" s="27" t="n"/>
      <c r="H836" s="62" t="n"/>
      <c r="I836" s="31" t="n"/>
      <c r="J836" s="31" t="n"/>
      <c r="K836" s="31" t="n"/>
      <c r="L836" s="31" t="n"/>
      <c r="M836" s="1" t="n"/>
    </row>
    <row r="837">
      <c r="A837" s="1" t="n"/>
      <c r="B837" s="24" t="n">
        <v>831</v>
      </c>
      <c r="C837" s="61" t="n"/>
      <c r="D837" s="27" t="n"/>
      <c r="E837" s="27" t="n"/>
      <c r="F837" s="27" t="n"/>
      <c r="G837" s="27" t="n"/>
      <c r="H837" s="62" t="n"/>
      <c r="I837" s="31" t="n"/>
      <c r="J837" s="31" t="n"/>
      <c r="K837" s="31" t="n"/>
      <c r="L837" s="31" t="n"/>
      <c r="M837" s="1" t="n"/>
    </row>
    <row r="838">
      <c r="A838" s="1" t="n"/>
      <c r="B838" s="24" t="n">
        <v>832</v>
      </c>
      <c r="C838" s="61" t="n"/>
      <c r="D838" s="27" t="n"/>
      <c r="E838" s="27" t="n"/>
      <c r="F838" s="27" t="n"/>
      <c r="G838" s="27" t="n"/>
      <c r="H838" s="62" t="n"/>
      <c r="I838" s="31" t="n"/>
      <c r="J838" s="31" t="n"/>
      <c r="K838" s="31" t="n"/>
      <c r="L838" s="31" t="n"/>
      <c r="M838" s="1" t="n"/>
    </row>
    <row r="839">
      <c r="A839" s="1" t="n"/>
      <c r="B839" s="24" t="n">
        <v>833</v>
      </c>
      <c r="C839" s="61" t="n"/>
      <c r="D839" s="27" t="n"/>
      <c r="E839" s="27" t="n"/>
      <c r="F839" s="27" t="n"/>
      <c r="G839" s="27" t="n"/>
      <c r="H839" s="62" t="n"/>
      <c r="I839" s="31" t="n"/>
      <c r="J839" s="31" t="n"/>
      <c r="K839" s="31" t="n"/>
      <c r="L839" s="31" t="n"/>
      <c r="M839" s="1" t="n"/>
    </row>
    <row r="840">
      <c r="A840" s="1" t="n"/>
      <c r="B840" s="24" t="n">
        <v>834</v>
      </c>
      <c r="C840" s="61" t="n"/>
      <c r="D840" s="27" t="n"/>
      <c r="E840" s="27" t="n"/>
      <c r="F840" s="27" t="n"/>
      <c r="G840" s="27" t="n"/>
      <c r="H840" s="62" t="n"/>
      <c r="I840" s="31" t="n"/>
      <c r="J840" s="31" t="n"/>
      <c r="K840" s="31" t="n"/>
      <c r="L840" s="31" t="n"/>
      <c r="M840" s="1" t="n"/>
    </row>
    <row r="841">
      <c r="A841" s="1" t="n"/>
      <c r="B841" s="24" t="n">
        <v>835</v>
      </c>
      <c r="C841" s="61" t="n"/>
      <c r="D841" s="27" t="n"/>
      <c r="E841" s="27" t="n"/>
      <c r="F841" s="27" t="n"/>
      <c r="G841" s="27" t="n"/>
      <c r="H841" s="62" t="n"/>
      <c r="I841" s="31" t="n"/>
      <c r="J841" s="31" t="n"/>
      <c r="K841" s="31" t="n"/>
      <c r="L841" s="31" t="n"/>
      <c r="M841" s="1" t="n"/>
    </row>
    <row r="842">
      <c r="A842" s="1" t="n"/>
      <c r="B842" s="24" t="n">
        <v>836</v>
      </c>
      <c r="C842" s="61" t="n"/>
      <c r="D842" s="27" t="n"/>
      <c r="E842" s="27" t="n"/>
      <c r="F842" s="27" t="n"/>
      <c r="G842" s="27" t="n"/>
      <c r="H842" s="62" t="n"/>
      <c r="I842" s="31" t="n"/>
      <c r="J842" s="31" t="n"/>
      <c r="K842" s="31" t="n"/>
      <c r="L842" s="31" t="n"/>
      <c r="M842" s="1" t="n"/>
    </row>
    <row r="843">
      <c r="A843" s="1" t="n"/>
      <c r="B843" s="24" t="n">
        <v>837</v>
      </c>
      <c r="C843" s="61" t="n"/>
      <c r="D843" s="27" t="n"/>
      <c r="E843" s="27" t="n"/>
      <c r="F843" s="27" t="n"/>
      <c r="G843" s="27" t="n"/>
      <c r="H843" s="62" t="n"/>
      <c r="I843" s="31" t="n"/>
      <c r="J843" s="31" t="n"/>
      <c r="K843" s="31" t="n"/>
      <c r="L843" s="31" t="n"/>
      <c r="M843" s="1" t="n"/>
    </row>
    <row r="844">
      <c r="A844" s="1" t="n"/>
      <c r="B844" s="24" t="n">
        <v>838</v>
      </c>
      <c r="C844" s="61" t="n"/>
      <c r="D844" s="27" t="n"/>
      <c r="E844" s="27" t="n"/>
      <c r="F844" s="27" t="n"/>
      <c r="G844" s="27" t="n"/>
      <c r="H844" s="62" t="n"/>
      <c r="I844" s="31" t="n"/>
      <c r="J844" s="31" t="n"/>
      <c r="K844" s="31" t="n"/>
      <c r="L844" s="31" t="n"/>
      <c r="M844" s="1" t="n"/>
    </row>
    <row r="845">
      <c r="A845" s="1" t="n"/>
      <c r="B845" s="24" t="n">
        <v>839</v>
      </c>
      <c r="C845" s="61" t="n"/>
      <c r="D845" s="27" t="n"/>
      <c r="E845" s="27" t="n"/>
      <c r="F845" s="27" t="n"/>
      <c r="G845" s="27" t="n"/>
      <c r="H845" s="62" t="n"/>
      <c r="I845" s="31" t="n"/>
      <c r="J845" s="31" t="n"/>
      <c r="K845" s="31" t="n"/>
      <c r="L845" s="31" t="n"/>
      <c r="M845" s="1" t="n"/>
    </row>
    <row r="846">
      <c r="A846" s="1" t="n"/>
      <c r="B846" s="24" t="n">
        <v>840</v>
      </c>
      <c r="C846" s="61" t="n"/>
      <c r="D846" s="27" t="n"/>
      <c r="E846" s="27" t="n"/>
      <c r="F846" s="27" t="n"/>
      <c r="G846" s="27" t="n"/>
      <c r="H846" s="62" t="n"/>
      <c r="I846" s="31" t="n"/>
      <c r="J846" s="31" t="n"/>
      <c r="K846" s="31" t="n"/>
      <c r="L846" s="31" t="n"/>
      <c r="M846" s="1" t="n"/>
    </row>
    <row r="847">
      <c r="A847" s="1" t="n"/>
      <c r="B847" s="24" t="n">
        <v>841</v>
      </c>
      <c r="C847" s="61" t="n"/>
      <c r="D847" s="27" t="n"/>
      <c r="E847" s="27" t="n"/>
      <c r="F847" s="27" t="n"/>
      <c r="G847" s="27" t="n"/>
      <c r="H847" s="62" t="n"/>
      <c r="I847" s="31" t="n"/>
      <c r="J847" s="31" t="n"/>
      <c r="K847" s="31" t="n"/>
      <c r="L847" s="31" t="n"/>
      <c r="M847" s="1" t="n"/>
    </row>
    <row r="848">
      <c r="A848" s="1" t="n"/>
      <c r="B848" s="24" t="n">
        <v>842</v>
      </c>
      <c r="C848" s="61" t="n"/>
      <c r="D848" s="27" t="n"/>
      <c r="E848" s="27" t="n"/>
      <c r="F848" s="27" t="n"/>
      <c r="G848" s="27" t="n"/>
      <c r="H848" s="62" t="n"/>
      <c r="I848" s="31" t="n"/>
      <c r="J848" s="31" t="n"/>
      <c r="K848" s="31" t="n"/>
      <c r="L848" s="31" t="n"/>
      <c r="M848" s="1" t="n"/>
    </row>
    <row r="849">
      <c r="A849" s="1" t="n"/>
      <c r="B849" s="24" t="n">
        <v>843</v>
      </c>
      <c r="C849" s="61" t="n"/>
      <c r="D849" s="27" t="n"/>
      <c r="E849" s="27" t="n"/>
      <c r="F849" s="27" t="n"/>
      <c r="G849" s="27" t="n"/>
      <c r="H849" s="62" t="n"/>
      <c r="I849" s="31" t="n"/>
      <c r="J849" s="31" t="n"/>
      <c r="K849" s="31" t="n"/>
      <c r="L849" s="31" t="n"/>
      <c r="M849" s="1" t="n"/>
    </row>
    <row r="850">
      <c r="A850" s="1" t="n"/>
      <c r="B850" s="24" t="n">
        <v>844</v>
      </c>
      <c r="C850" s="61" t="n"/>
      <c r="D850" s="27" t="n"/>
      <c r="E850" s="27" t="n"/>
      <c r="F850" s="27" t="n"/>
      <c r="G850" s="27" t="n"/>
      <c r="H850" s="62" t="n"/>
      <c r="I850" s="31" t="n"/>
      <c r="J850" s="31" t="n"/>
      <c r="K850" s="31" t="n"/>
      <c r="L850" s="31" t="n"/>
      <c r="M850" s="1" t="n"/>
    </row>
    <row r="851">
      <c r="A851" s="1" t="n"/>
      <c r="B851" s="24" t="n">
        <v>845</v>
      </c>
      <c r="C851" s="61" t="n"/>
      <c r="D851" s="27" t="n"/>
      <c r="E851" s="27" t="n"/>
      <c r="F851" s="27" t="n"/>
      <c r="G851" s="27" t="n"/>
      <c r="H851" s="62" t="n"/>
      <c r="I851" s="31" t="n"/>
      <c r="J851" s="31" t="n"/>
      <c r="K851" s="31" t="n"/>
      <c r="L851" s="31" t="n"/>
      <c r="M851" s="1" t="n"/>
    </row>
    <row r="852">
      <c r="A852" s="1" t="n"/>
      <c r="B852" s="24" t="n">
        <v>846</v>
      </c>
      <c r="C852" s="61" t="n"/>
      <c r="D852" s="27" t="n"/>
      <c r="E852" s="27" t="n"/>
      <c r="F852" s="27" t="n"/>
      <c r="G852" s="27" t="n"/>
      <c r="H852" s="62" t="n"/>
      <c r="I852" s="31" t="n"/>
      <c r="J852" s="31" t="n"/>
      <c r="K852" s="31" t="n"/>
      <c r="L852" s="31" t="n"/>
      <c r="M852" s="1" t="n"/>
    </row>
    <row r="853">
      <c r="A853" s="1" t="n"/>
      <c r="B853" s="24" t="n">
        <v>847</v>
      </c>
      <c r="C853" s="61" t="n"/>
      <c r="D853" s="27" t="n"/>
      <c r="E853" s="27" t="n"/>
      <c r="F853" s="27" t="n"/>
      <c r="G853" s="27" t="n"/>
      <c r="H853" s="62" t="n"/>
      <c r="I853" s="31" t="n"/>
      <c r="J853" s="31" t="n"/>
      <c r="K853" s="31" t="n"/>
      <c r="L853" s="31" t="n"/>
      <c r="M853" s="1" t="n"/>
    </row>
    <row r="854">
      <c r="A854" s="1" t="n"/>
      <c r="B854" s="24" t="n">
        <v>848</v>
      </c>
      <c r="C854" s="61" t="n"/>
      <c r="D854" s="27" t="n"/>
      <c r="E854" s="27" t="n"/>
      <c r="F854" s="27" t="n"/>
      <c r="G854" s="27" t="n"/>
      <c r="H854" s="62" t="n"/>
      <c r="I854" s="31" t="n"/>
      <c r="J854" s="31" t="n"/>
      <c r="K854" s="31" t="n"/>
      <c r="L854" s="31" t="n"/>
      <c r="M854" s="1" t="n"/>
    </row>
    <row r="855">
      <c r="A855" s="1" t="n"/>
      <c r="B855" s="24" t="n">
        <v>849</v>
      </c>
      <c r="C855" s="61" t="n"/>
      <c r="D855" s="27" t="n"/>
      <c r="E855" s="27" t="n"/>
      <c r="F855" s="27" t="n"/>
      <c r="G855" s="27" t="n"/>
      <c r="H855" s="62" t="n"/>
      <c r="I855" s="31" t="n"/>
      <c r="J855" s="31" t="n"/>
      <c r="K855" s="31" t="n"/>
      <c r="L855" s="31" t="n"/>
      <c r="M855" s="1" t="n"/>
    </row>
    <row r="856">
      <c r="A856" s="1" t="n"/>
      <c r="B856" s="24" t="n">
        <v>850</v>
      </c>
      <c r="C856" s="61" t="n"/>
      <c r="D856" s="27" t="n"/>
      <c r="E856" s="27" t="n"/>
      <c r="F856" s="27" t="n"/>
      <c r="G856" s="27" t="n"/>
      <c r="H856" s="62" t="n"/>
      <c r="I856" s="31" t="n"/>
      <c r="J856" s="31" t="n"/>
      <c r="K856" s="31" t="n"/>
      <c r="L856" s="31" t="n"/>
      <c r="M856" s="1" t="n"/>
    </row>
    <row r="857">
      <c r="A857" s="1" t="n"/>
      <c r="B857" s="24" t="n">
        <v>851</v>
      </c>
      <c r="C857" s="61" t="n"/>
      <c r="D857" s="27" t="n"/>
      <c r="E857" s="27" t="n"/>
      <c r="F857" s="27" t="n"/>
      <c r="G857" s="27" t="n"/>
      <c r="H857" s="62" t="n"/>
      <c r="I857" s="31" t="n"/>
      <c r="J857" s="31" t="n"/>
      <c r="K857" s="31" t="n"/>
      <c r="L857" s="31" t="n"/>
      <c r="M857" s="1" t="n"/>
    </row>
    <row r="858">
      <c r="A858" s="1" t="n"/>
      <c r="B858" s="24" t="n">
        <v>852</v>
      </c>
      <c r="C858" s="61" t="n"/>
      <c r="D858" s="27" t="n"/>
      <c r="E858" s="27" t="n"/>
      <c r="F858" s="27" t="n"/>
      <c r="G858" s="27" t="n"/>
      <c r="H858" s="62" t="n"/>
      <c r="I858" s="31" t="n"/>
      <c r="J858" s="31" t="n"/>
      <c r="K858" s="31" t="n"/>
      <c r="L858" s="31" t="n"/>
      <c r="M858" s="1" t="n"/>
    </row>
    <row r="859">
      <c r="A859" s="1" t="n"/>
      <c r="B859" s="24" t="n">
        <v>853</v>
      </c>
      <c r="C859" s="61" t="n"/>
      <c r="D859" s="27" t="n"/>
      <c r="E859" s="27" t="n"/>
      <c r="F859" s="27" t="n"/>
      <c r="G859" s="27" t="n"/>
      <c r="H859" s="62" t="n"/>
      <c r="I859" s="31" t="n"/>
      <c r="J859" s="31" t="n"/>
      <c r="K859" s="31" t="n"/>
      <c r="L859" s="31" t="n"/>
      <c r="M859" s="1" t="n"/>
    </row>
    <row r="860">
      <c r="A860" s="1" t="n"/>
      <c r="B860" s="24" t="n">
        <v>854</v>
      </c>
      <c r="C860" s="61" t="n"/>
      <c r="D860" s="27" t="n"/>
      <c r="E860" s="27" t="n"/>
      <c r="F860" s="27" t="n"/>
      <c r="G860" s="27" t="n"/>
      <c r="H860" s="62" t="n"/>
      <c r="I860" s="31" t="n"/>
      <c r="J860" s="31" t="n"/>
      <c r="K860" s="31" t="n"/>
      <c r="L860" s="31" t="n"/>
      <c r="M860" s="1" t="n"/>
    </row>
    <row r="861">
      <c r="A861" s="1" t="n"/>
      <c r="B861" s="24" t="n">
        <v>855</v>
      </c>
      <c r="C861" s="61" t="n"/>
      <c r="D861" s="27" t="n"/>
      <c r="E861" s="27" t="n"/>
      <c r="F861" s="27" t="n"/>
      <c r="G861" s="27" t="n"/>
      <c r="H861" s="62" t="n"/>
      <c r="I861" s="31" t="n"/>
      <c r="J861" s="31" t="n"/>
      <c r="K861" s="31" t="n"/>
      <c r="L861" s="31" t="n"/>
      <c r="M861" s="1" t="n"/>
    </row>
    <row r="862">
      <c r="A862" s="1" t="n"/>
      <c r="B862" s="24" t="n">
        <v>856</v>
      </c>
      <c r="C862" s="61" t="n"/>
      <c r="D862" s="27" t="n"/>
      <c r="E862" s="27" t="n"/>
      <c r="F862" s="27" t="n"/>
      <c r="G862" s="27" t="n"/>
      <c r="H862" s="62" t="n"/>
      <c r="I862" s="31" t="n"/>
      <c r="J862" s="31" t="n"/>
      <c r="K862" s="31" t="n"/>
      <c r="L862" s="31" t="n"/>
      <c r="M862" s="1" t="n"/>
    </row>
    <row r="863">
      <c r="A863" s="1" t="n"/>
      <c r="B863" s="24" t="n">
        <v>857</v>
      </c>
      <c r="C863" s="61" t="n"/>
      <c r="D863" s="27" t="n"/>
      <c r="E863" s="27" t="n"/>
      <c r="F863" s="27" t="n"/>
      <c r="G863" s="27" t="n"/>
      <c r="H863" s="62" t="n"/>
      <c r="I863" s="31" t="n"/>
      <c r="J863" s="31" t="n"/>
      <c r="K863" s="31" t="n"/>
      <c r="L863" s="31" t="n"/>
      <c r="M863" s="1" t="n"/>
    </row>
    <row r="864">
      <c r="A864" s="1" t="n"/>
      <c r="B864" s="24" t="n">
        <v>858</v>
      </c>
      <c r="C864" s="61" t="n"/>
      <c r="D864" s="27" t="n"/>
      <c r="E864" s="27" t="n"/>
      <c r="F864" s="27" t="n"/>
      <c r="G864" s="27" t="n"/>
      <c r="H864" s="62" t="n"/>
      <c r="I864" s="31" t="n"/>
      <c r="J864" s="31" t="n"/>
      <c r="K864" s="31" t="n"/>
      <c r="L864" s="31" t="n"/>
      <c r="M864" s="1" t="n"/>
    </row>
    <row r="865">
      <c r="A865" s="1" t="n"/>
      <c r="B865" s="24" t="n">
        <v>859</v>
      </c>
      <c r="C865" s="61" t="n"/>
      <c r="D865" s="27" t="n"/>
      <c r="E865" s="27" t="n"/>
      <c r="F865" s="27" t="n"/>
      <c r="G865" s="27" t="n"/>
      <c r="H865" s="62" t="n"/>
      <c r="I865" s="31" t="n"/>
      <c r="J865" s="31" t="n"/>
      <c r="K865" s="31" t="n"/>
      <c r="L865" s="31" t="n"/>
      <c r="M865" s="1" t="n"/>
    </row>
    <row r="866">
      <c r="A866" s="1" t="n"/>
      <c r="B866" s="24" t="n">
        <v>860</v>
      </c>
      <c r="C866" s="61" t="n"/>
      <c r="D866" s="27" t="n"/>
      <c r="E866" s="27" t="n"/>
      <c r="F866" s="27" t="n"/>
      <c r="G866" s="27" t="n"/>
      <c r="H866" s="62" t="n"/>
      <c r="I866" s="31" t="n"/>
      <c r="J866" s="31" t="n"/>
      <c r="K866" s="31" t="n"/>
      <c r="L866" s="31" t="n"/>
      <c r="M866" s="1" t="n"/>
    </row>
    <row r="867">
      <c r="A867" s="1" t="n"/>
      <c r="B867" s="24" t="n">
        <v>861</v>
      </c>
      <c r="C867" s="61" t="n"/>
      <c r="D867" s="27" t="n"/>
      <c r="E867" s="27" t="n"/>
      <c r="F867" s="27" t="n"/>
      <c r="G867" s="27" t="n"/>
      <c r="H867" s="62" t="n"/>
      <c r="I867" s="31" t="n"/>
      <c r="J867" s="31" t="n"/>
      <c r="K867" s="31" t="n"/>
      <c r="L867" s="31" t="n"/>
      <c r="M867" s="1" t="n"/>
    </row>
    <row r="868">
      <c r="A868" s="1" t="n"/>
      <c r="B868" s="24" t="n">
        <v>862</v>
      </c>
      <c r="C868" s="61" t="n"/>
      <c r="D868" s="27" t="n"/>
      <c r="E868" s="27" t="n"/>
      <c r="F868" s="27" t="n"/>
      <c r="G868" s="27" t="n"/>
      <c r="H868" s="62" t="n"/>
      <c r="I868" s="31" t="n"/>
      <c r="J868" s="31" t="n"/>
      <c r="K868" s="31" t="n"/>
      <c r="L868" s="31" t="n"/>
      <c r="M868" s="1" t="n"/>
    </row>
    <row r="869">
      <c r="A869" s="1" t="n"/>
      <c r="B869" s="24" t="n">
        <v>863</v>
      </c>
      <c r="C869" s="61" t="n"/>
      <c r="D869" s="27" t="n"/>
      <c r="E869" s="27" t="n"/>
      <c r="F869" s="27" t="n"/>
      <c r="G869" s="27" t="n"/>
      <c r="H869" s="62" t="n"/>
      <c r="I869" s="31" t="n"/>
      <c r="J869" s="31" t="n"/>
      <c r="K869" s="31" t="n"/>
      <c r="L869" s="31" t="n"/>
      <c r="M869" s="1" t="n"/>
    </row>
    <row r="870">
      <c r="A870" s="1" t="n"/>
      <c r="B870" s="24" t="n">
        <v>864</v>
      </c>
      <c r="C870" s="61" t="n"/>
      <c r="D870" s="27" t="n"/>
      <c r="E870" s="27" t="n"/>
      <c r="F870" s="27" t="n"/>
      <c r="G870" s="27" t="n"/>
      <c r="H870" s="62" t="n"/>
      <c r="I870" s="31" t="n"/>
      <c r="J870" s="31" t="n"/>
      <c r="K870" s="31" t="n"/>
      <c r="L870" s="31" t="n"/>
      <c r="M870" s="1" t="n"/>
    </row>
    <row r="871">
      <c r="A871" s="1" t="n"/>
      <c r="B871" s="24" t="n">
        <v>865</v>
      </c>
      <c r="C871" s="61" t="n"/>
      <c r="D871" s="27" t="n"/>
      <c r="E871" s="27" t="n"/>
      <c r="F871" s="27" t="n"/>
      <c r="G871" s="27" t="n"/>
      <c r="H871" s="62" t="n"/>
      <c r="I871" s="31" t="n"/>
      <c r="J871" s="31" t="n"/>
      <c r="K871" s="31" t="n"/>
      <c r="L871" s="31" t="n"/>
      <c r="M871" s="1" t="n"/>
    </row>
    <row r="872">
      <c r="A872" s="1" t="n"/>
      <c r="B872" s="24" t="n">
        <v>866</v>
      </c>
      <c r="C872" s="61" t="n"/>
      <c r="D872" s="27" t="n"/>
      <c r="E872" s="27" t="n"/>
      <c r="F872" s="27" t="n"/>
      <c r="G872" s="27" t="n"/>
      <c r="H872" s="62" t="n"/>
      <c r="I872" s="31" t="n"/>
      <c r="J872" s="31" t="n"/>
      <c r="K872" s="31" t="n"/>
      <c r="L872" s="31" t="n"/>
      <c r="M872" s="1" t="n"/>
    </row>
    <row r="873">
      <c r="A873" s="1" t="n"/>
      <c r="B873" s="24" t="n">
        <v>867</v>
      </c>
      <c r="C873" s="61" t="n"/>
      <c r="D873" s="27" t="n"/>
      <c r="E873" s="27" t="n"/>
      <c r="F873" s="27" t="n"/>
      <c r="G873" s="27" t="n"/>
      <c r="H873" s="62" t="n"/>
      <c r="I873" s="31" t="n"/>
      <c r="J873" s="31" t="n"/>
      <c r="K873" s="31" t="n"/>
      <c r="L873" s="31" t="n"/>
      <c r="M873" s="1" t="n"/>
    </row>
    <row r="874">
      <c r="A874" s="1" t="n"/>
      <c r="B874" s="24" t="n">
        <v>868</v>
      </c>
      <c r="C874" s="61" t="n"/>
      <c r="D874" s="27" t="n"/>
      <c r="E874" s="27" t="n"/>
      <c r="F874" s="27" t="n"/>
      <c r="G874" s="27" t="n"/>
      <c r="H874" s="62" t="n"/>
      <c r="I874" s="31" t="n"/>
      <c r="J874" s="31" t="n"/>
      <c r="K874" s="31" t="n"/>
      <c r="L874" s="31" t="n"/>
      <c r="M874" s="1" t="n"/>
    </row>
    <row r="875">
      <c r="A875" s="1" t="n"/>
      <c r="B875" s="24" t="n">
        <v>869</v>
      </c>
      <c r="C875" s="61" t="n"/>
      <c r="D875" s="27" t="n"/>
      <c r="E875" s="27" t="n"/>
      <c r="F875" s="27" t="n"/>
      <c r="G875" s="27" t="n"/>
      <c r="H875" s="62" t="n"/>
      <c r="I875" s="31" t="n"/>
      <c r="J875" s="31" t="n"/>
      <c r="K875" s="31" t="n"/>
      <c r="L875" s="31" t="n"/>
      <c r="M875" s="1" t="n"/>
    </row>
    <row r="876">
      <c r="A876" s="1" t="n"/>
      <c r="B876" s="24" t="n">
        <v>870</v>
      </c>
      <c r="C876" s="61" t="n"/>
      <c r="D876" s="27" t="n"/>
      <c r="E876" s="27" t="n"/>
      <c r="F876" s="27" t="n"/>
      <c r="G876" s="27" t="n"/>
      <c r="H876" s="62" t="n"/>
      <c r="I876" s="31" t="n"/>
      <c r="J876" s="31" t="n"/>
      <c r="K876" s="31" t="n"/>
      <c r="L876" s="31" t="n"/>
      <c r="M876" s="1" t="n"/>
    </row>
    <row r="877">
      <c r="A877" s="1" t="n"/>
      <c r="B877" s="24" t="n">
        <v>871</v>
      </c>
      <c r="C877" s="61" t="n"/>
      <c r="D877" s="27" t="n"/>
      <c r="E877" s="27" t="n"/>
      <c r="F877" s="27" t="n"/>
      <c r="G877" s="27" t="n"/>
      <c r="H877" s="62" t="n"/>
      <c r="I877" s="31" t="n"/>
      <c r="J877" s="31" t="n"/>
      <c r="K877" s="31" t="n"/>
      <c r="L877" s="31" t="n"/>
      <c r="M877" s="1" t="n"/>
    </row>
    <row r="878">
      <c r="A878" s="1" t="n"/>
      <c r="B878" s="24" t="n">
        <v>872</v>
      </c>
      <c r="C878" s="61" t="n"/>
      <c r="D878" s="27" t="n"/>
      <c r="E878" s="27" t="n"/>
      <c r="F878" s="27" t="n"/>
      <c r="G878" s="27" t="n"/>
      <c r="H878" s="62" t="n"/>
      <c r="I878" s="31" t="n"/>
      <c r="J878" s="31" t="n"/>
      <c r="K878" s="31" t="n"/>
      <c r="L878" s="31" t="n"/>
      <c r="M878" s="1" t="n"/>
    </row>
    <row r="879">
      <c r="A879" s="1" t="n"/>
      <c r="B879" s="24" t="n">
        <v>873</v>
      </c>
      <c r="C879" s="61" t="n"/>
      <c r="D879" s="27" t="n"/>
      <c r="E879" s="27" t="n"/>
      <c r="F879" s="27" t="n"/>
      <c r="G879" s="27" t="n"/>
      <c r="H879" s="62" t="n"/>
      <c r="I879" s="31" t="n"/>
      <c r="J879" s="31" t="n"/>
      <c r="K879" s="31" t="n"/>
      <c r="L879" s="31" t="n"/>
      <c r="M879" s="1" t="n"/>
    </row>
    <row r="880">
      <c r="A880" s="1" t="n"/>
      <c r="B880" s="24" t="n">
        <v>874</v>
      </c>
      <c r="C880" s="61" t="n"/>
      <c r="D880" s="27" t="n"/>
      <c r="E880" s="27" t="n"/>
      <c r="F880" s="27" t="n"/>
      <c r="G880" s="27" t="n"/>
      <c r="H880" s="62" t="n"/>
      <c r="I880" s="31" t="n"/>
      <c r="J880" s="31" t="n"/>
      <c r="K880" s="31" t="n"/>
      <c r="L880" s="31" t="n"/>
      <c r="M880" s="1" t="n"/>
    </row>
    <row r="881">
      <c r="A881" s="1" t="n"/>
      <c r="B881" s="24" t="n">
        <v>875</v>
      </c>
      <c r="C881" s="61" t="n"/>
      <c r="D881" s="27" t="n"/>
      <c r="E881" s="27" t="n"/>
      <c r="F881" s="27" t="n"/>
      <c r="G881" s="27" t="n"/>
      <c r="H881" s="62" t="n"/>
      <c r="I881" s="31" t="n"/>
      <c r="J881" s="31" t="n"/>
      <c r="K881" s="31" t="n"/>
      <c r="L881" s="31" t="n"/>
      <c r="M881" s="1" t="n"/>
    </row>
    <row r="882">
      <c r="A882" s="1" t="n"/>
      <c r="B882" s="24" t="n">
        <v>876</v>
      </c>
      <c r="C882" s="61" t="n"/>
      <c r="D882" s="27" t="n"/>
      <c r="E882" s="27" t="n"/>
      <c r="F882" s="27" t="n"/>
      <c r="G882" s="27" t="n"/>
      <c r="H882" s="62" t="n"/>
      <c r="I882" s="31" t="n"/>
      <c r="J882" s="31" t="n"/>
      <c r="K882" s="31" t="n"/>
      <c r="L882" s="31" t="n"/>
      <c r="M882" s="1" t="n"/>
    </row>
    <row r="883">
      <c r="A883" s="1" t="n"/>
      <c r="B883" s="24" t="n">
        <v>877</v>
      </c>
      <c r="C883" s="61" t="n"/>
      <c r="D883" s="27" t="n"/>
      <c r="E883" s="27" t="n"/>
      <c r="F883" s="27" t="n"/>
      <c r="G883" s="27" t="n"/>
      <c r="H883" s="62" t="n"/>
      <c r="I883" s="31" t="n"/>
      <c r="J883" s="31" t="n"/>
      <c r="K883" s="31" t="n"/>
      <c r="L883" s="31" t="n"/>
      <c r="M883" s="1" t="n"/>
    </row>
    <row r="884">
      <c r="A884" s="1" t="n"/>
      <c r="B884" s="24" t="n">
        <v>878</v>
      </c>
      <c r="C884" s="61" t="n"/>
      <c r="D884" s="27" t="n"/>
      <c r="E884" s="27" t="n"/>
      <c r="F884" s="27" t="n"/>
      <c r="G884" s="27" t="n"/>
      <c r="H884" s="62" t="n"/>
      <c r="I884" s="31" t="n"/>
      <c r="J884" s="31" t="n"/>
      <c r="K884" s="31" t="n"/>
      <c r="L884" s="31" t="n"/>
      <c r="M884" s="1" t="n"/>
    </row>
    <row r="885">
      <c r="A885" s="1" t="n"/>
      <c r="B885" s="24" t="n">
        <v>879</v>
      </c>
      <c r="C885" s="61" t="n"/>
      <c r="D885" s="27" t="n"/>
      <c r="E885" s="27" t="n"/>
      <c r="F885" s="27" t="n"/>
      <c r="G885" s="27" t="n"/>
      <c r="H885" s="62" t="n"/>
      <c r="I885" s="31" t="n"/>
      <c r="J885" s="31" t="n"/>
      <c r="K885" s="31" t="n"/>
      <c r="L885" s="31" t="n"/>
      <c r="M885" s="1" t="n"/>
    </row>
    <row r="886">
      <c r="A886" s="1" t="n"/>
      <c r="B886" s="24" t="n">
        <v>880</v>
      </c>
      <c r="C886" s="61" t="n"/>
      <c r="D886" s="27" t="n"/>
      <c r="E886" s="27" t="n"/>
      <c r="F886" s="27" t="n"/>
      <c r="G886" s="27" t="n"/>
      <c r="H886" s="62" t="n"/>
      <c r="I886" s="31" t="n"/>
      <c r="J886" s="31" t="n"/>
      <c r="K886" s="31" t="n"/>
      <c r="L886" s="31" t="n"/>
      <c r="M886" s="1" t="n"/>
    </row>
    <row r="887">
      <c r="A887" s="1" t="n"/>
      <c r="B887" s="24" t="n">
        <v>881</v>
      </c>
      <c r="C887" s="61" t="n"/>
      <c r="D887" s="27" t="n"/>
      <c r="E887" s="27" t="n"/>
      <c r="F887" s="27" t="n"/>
      <c r="G887" s="27" t="n"/>
      <c r="H887" s="62" t="n"/>
      <c r="I887" s="31" t="n"/>
      <c r="J887" s="31" t="n"/>
      <c r="K887" s="31" t="n"/>
      <c r="L887" s="31" t="n"/>
      <c r="M887" s="1" t="n"/>
    </row>
    <row r="888">
      <c r="A888" s="1" t="n"/>
      <c r="B888" s="24" t="n">
        <v>882</v>
      </c>
      <c r="C888" s="61" t="n"/>
      <c r="D888" s="27" t="n"/>
      <c r="E888" s="27" t="n"/>
      <c r="F888" s="27" t="n"/>
      <c r="G888" s="27" t="n"/>
      <c r="H888" s="62" t="n"/>
      <c r="I888" s="31" t="n"/>
      <c r="J888" s="31" t="n"/>
      <c r="K888" s="31" t="n"/>
      <c r="L888" s="31" t="n"/>
      <c r="M888" s="1" t="n"/>
    </row>
    <row r="889">
      <c r="A889" s="1" t="n"/>
      <c r="B889" s="24" t="n">
        <v>883</v>
      </c>
      <c r="C889" s="61" t="n"/>
      <c r="D889" s="27" t="n"/>
      <c r="E889" s="27" t="n"/>
      <c r="F889" s="27" t="n"/>
      <c r="G889" s="27" t="n"/>
      <c r="H889" s="62" t="n"/>
      <c r="I889" s="31" t="n"/>
      <c r="J889" s="31" t="n"/>
      <c r="K889" s="31" t="n"/>
      <c r="L889" s="31" t="n"/>
      <c r="M889" s="1" t="n"/>
    </row>
    <row r="890">
      <c r="A890" s="1" t="n"/>
      <c r="B890" s="24" t="n">
        <v>884</v>
      </c>
      <c r="C890" s="61" t="n"/>
      <c r="D890" s="27" t="n"/>
      <c r="E890" s="27" t="n"/>
      <c r="F890" s="27" t="n"/>
      <c r="G890" s="27" t="n"/>
      <c r="H890" s="62" t="n"/>
      <c r="I890" s="31" t="n"/>
      <c r="J890" s="31" t="n"/>
      <c r="K890" s="31" t="n"/>
      <c r="L890" s="31" t="n"/>
      <c r="M890" s="1" t="n"/>
    </row>
    <row r="891">
      <c r="A891" s="1" t="n"/>
      <c r="B891" s="24" t="n">
        <v>885</v>
      </c>
      <c r="C891" s="61" t="n"/>
      <c r="D891" s="27" t="n"/>
      <c r="E891" s="27" t="n"/>
      <c r="F891" s="27" t="n"/>
      <c r="G891" s="27" t="n"/>
      <c r="H891" s="62" t="n"/>
      <c r="I891" s="31" t="n"/>
      <c r="J891" s="31" t="n"/>
      <c r="K891" s="31" t="n"/>
      <c r="L891" s="31" t="n"/>
      <c r="M891" s="1" t="n"/>
    </row>
    <row r="892">
      <c r="A892" s="1" t="n"/>
      <c r="B892" s="24" t="n">
        <v>886</v>
      </c>
      <c r="C892" s="61" t="n"/>
      <c r="D892" s="27" t="n"/>
      <c r="E892" s="27" t="n"/>
      <c r="F892" s="27" t="n"/>
      <c r="G892" s="27" t="n"/>
      <c r="H892" s="62" t="n"/>
      <c r="I892" s="31" t="n"/>
      <c r="J892" s="31" t="n"/>
      <c r="K892" s="31" t="n"/>
      <c r="L892" s="31" t="n"/>
      <c r="M892" s="1" t="n"/>
    </row>
    <row r="893">
      <c r="A893" s="1" t="n"/>
      <c r="B893" s="24" t="n">
        <v>887</v>
      </c>
      <c r="C893" s="61" t="n"/>
      <c r="D893" s="27" t="n"/>
      <c r="E893" s="27" t="n"/>
      <c r="F893" s="27" t="n"/>
      <c r="G893" s="27" t="n"/>
      <c r="H893" s="62" t="n"/>
      <c r="I893" s="31" t="n"/>
      <c r="J893" s="31" t="n"/>
      <c r="K893" s="31" t="n"/>
      <c r="L893" s="31" t="n"/>
      <c r="M893" s="1" t="n"/>
    </row>
    <row r="894">
      <c r="A894" s="1" t="n"/>
      <c r="B894" s="24" t="n">
        <v>888</v>
      </c>
      <c r="C894" s="61" t="n"/>
      <c r="D894" s="27" t="n"/>
      <c r="E894" s="27" t="n"/>
      <c r="F894" s="27" t="n"/>
      <c r="G894" s="27" t="n"/>
      <c r="H894" s="62" t="n"/>
      <c r="I894" s="31" t="n"/>
      <c r="J894" s="31" t="n"/>
      <c r="K894" s="31" t="n"/>
      <c r="L894" s="31" t="n"/>
      <c r="M894" s="1" t="n"/>
    </row>
    <row r="895">
      <c r="A895" s="1" t="n"/>
      <c r="B895" s="24" t="n">
        <v>889</v>
      </c>
      <c r="C895" s="61" t="n"/>
      <c r="D895" s="27" t="n"/>
      <c r="E895" s="27" t="n"/>
      <c r="F895" s="27" t="n"/>
      <c r="G895" s="27" t="n"/>
      <c r="H895" s="62" t="n"/>
      <c r="I895" s="31" t="n"/>
      <c r="J895" s="31" t="n"/>
      <c r="K895" s="31" t="n"/>
      <c r="L895" s="31" t="n"/>
      <c r="M895" s="1" t="n"/>
    </row>
    <row r="896">
      <c r="A896" s="1" t="n"/>
      <c r="B896" s="24" t="n">
        <v>890</v>
      </c>
      <c r="C896" s="61" t="n"/>
      <c r="D896" s="27" t="n"/>
      <c r="E896" s="27" t="n"/>
      <c r="F896" s="27" t="n"/>
      <c r="G896" s="27" t="n"/>
      <c r="H896" s="62" t="n"/>
      <c r="I896" s="31" t="n"/>
      <c r="J896" s="31" t="n"/>
      <c r="K896" s="31" t="n"/>
      <c r="L896" s="31" t="n"/>
      <c r="M896" s="1" t="n"/>
    </row>
    <row r="897">
      <c r="A897" s="1" t="n"/>
      <c r="B897" s="24" t="n">
        <v>891</v>
      </c>
      <c r="C897" s="61" t="n"/>
      <c r="D897" s="27" t="n"/>
      <c r="E897" s="27" t="n"/>
      <c r="F897" s="27" t="n"/>
      <c r="G897" s="27" t="n"/>
      <c r="H897" s="62" t="n"/>
      <c r="I897" s="31" t="n"/>
      <c r="J897" s="31" t="n"/>
      <c r="K897" s="31" t="n"/>
      <c r="L897" s="31" t="n"/>
      <c r="M897" s="1" t="n"/>
    </row>
    <row r="898">
      <c r="A898" s="1" t="n"/>
      <c r="B898" s="24" t="n">
        <v>892</v>
      </c>
      <c r="C898" s="61" t="n"/>
      <c r="D898" s="27" t="n"/>
      <c r="E898" s="27" t="n"/>
      <c r="F898" s="27" t="n"/>
      <c r="G898" s="27" t="n"/>
      <c r="H898" s="62" t="n"/>
      <c r="I898" s="31" t="n"/>
      <c r="J898" s="31" t="n"/>
      <c r="K898" s="31" t="n"/>
      <c r="L898" s="31" t="n"/>
      <c r="M898" s="1" t="n"/>
    </row>
    <row r="899">
      <c r="A899" s="1" t="n"/>
      <c r="B899" s="24" t="n">
        <v>893</v>
      </c>
      <c r="C899" s="61" t="n"/>
      <c r="D899" s="27" t="n"/>
      <c r="E899" s="27" t="n"/>
      <c r="F899" s="27" t="n"/>
      <c r="G899" s="27" t="n"/>
      <c r="H899" s="62" t="n"/>
      <c r="I899" s="31" t="n"/>
      <c r="J899" s="31" t="n"/>
      <c r="K899" s="31" t="n"/>
      <c r="L899" s="31" t="n"/>
      <c r="M899" s="1" t="n"/>
    </row>
    <row r="900">
      <c r="A900" s="1" t="n"/>
      <c r="B900" s="24" t="n">
        <v>894</v>
      </c>
      <c r="C900" s="61" t="n"/>
      <c r="D900" s="27" t="n"/>
      <c r="E900" s="27" t="n"/>
      <c r="F900" s="27" t="n"/>
      <c r="G900" s="27" t="n"/>
      <c r="H900" s="62" t="n"/>
      <c r="I900" s="31" t="n"/>
      <c r="J900" s="31" t="n"/>
      <c r="K900" s="31" t="n"/>
      <c r="L900" s="31" t="n"/>
      <c r="M900" s="1" t="n"/>
    </row>
    <row r="901">
      <c r="A901" s="1" t="n"/>
      <c r="B901" s="24" t="n">
        <v>895</v>
      </c>
      <c r="C901" s="61" t="n"/>
      <c r="D901" s="27" t="n"/>
      <c r="E901" s="27" t="n"/>
      <c r="F901" s="27" t="n"/>
      <c r="G901" s="27" t="n"/>
      <c r="H901" s="62" t="n"/>
      <c r="I901" s="31" t="n"/>
      <c r="J901" s="31" t="n"/>
      <c r="K901" s="31" t="n"/>
      <c r="L901" s="31" t="n"/>
      <c r="M901" s="1" t="n"/>
    </row>
    <row r="902">
      <c r="A902" s="1" t="n"/>
      <c r="B902" s="24" t="n">
        <v>896</v>
      </c>
      <c r="C902" s="61" t="n"/>
      <c r="D902" s="27" t="n"/>
      <c r="E902" s="27" t="n"/>
      <c r="F902" s="27" t="n"/>
      <c r="G902" s="27" t="n"/>
      <c r="H902" s="62" t="n"/>
      <c r="I902" s="31" t="n"/>
      <c r="J902" s="31" t="n"/>
      <c r="K902" s="31" t="n"/>
      <c r="L902" s="31" t="n"/>
      <c r="M902" s="1" t="n"/>
    </row>
    <row r="903">
      <c r="A903" s="1" t="n"/>
      <c r="B903" s="24" t="n">
        <v>897</v>
      </c>
      <c r="C903" s="61" t="n"/>
      <c r="D903" s="27" t="n"/>
      <c r="E903" s="27" t="n"/>
      <c r="F903" s="27" t="n"/>
      <c r="G903" s="27" t="n"/>
      <c r="H903" s="62" t="n"/>
      <c r="I903" s="31" t="n"/>
      <c r="J903" s="31" t="n"/>
      <c r="K903" s="31" t="n"/>
      <c r="L903" s="31" t="n"/>
      <c r="M903" s="1" t="n"/>
    </row>
    <row r="904">
      <c r="A904" s="1" t="n"/>
      <c r="B904" s="24" t="n">
        <v>898</v>
      </c>
      <c r="C904" s="61" t="n"/>
      <c r="D904" s="27" t="n"/>
      <c r="E904" s="27" t="n"/>
      <c r="F904" s="27" t="n"/>
      <c r="G904" s="27" t="n"/>
      <c r="H904" s="62" t="n"/>
      <c r="I904" s="31" t="n"/>
      <c r="J904" s="31" t="n"/>
      <c r="K904" s="31" t="n"/>
      <c r="L904" s="31" t="n"/>
      <c r="M904" s="1" t="n"/>
    </row>
    <row r="905">
      <c r="A905" s="1" t="n"/>
      <c r="B905" s="24" t="n">
        <v>899</v>
      </c>
      <c r="C905" s="61" t="n"/>
      <c r="D905" s="27" t="n"/>
      <c r="E905" s="27" t="n"/>
      <c r="F905" s="27" t="n"/>
      <c r="G905" s="27" t="n"/>
      <c r="H905" s="62" t="n"/>
      <c r="I905" s="31" t="n"/>
      <c r="J905" s="31" t="n"/>
      <c r="K905" s="31" t="n"/>
      <c r="L905" s="31" t="n"/>
      <c r="M905" s="1" t="n"/>
    </row>
    <row r="906">
      <c r="A906" s="1" t="n"/>
      <c r="B906" s="24" t="n">
        <v>900</v>
      </c>
      <c r="C906" s="61" t="n"/>
      <c r="D906" s="27" t="n"/>
      <c r="E906" s="27" t="n"/>
      <c r="F906" s="27" t="n"/>
      <c r="G906" s="27" t="n"/>
      <c r="H906" s="62" t="n"/>
      <c r="I906" s="31" t="n"/>
      <c r="J906" s="31" t="n"/>
      <c r="K906" s="31" t="n"/>
      <c r="L906" s="31" t="n"/>
      <c r="M906" s="1" t="n"/>
    </row>
    <row r="907">
      <c r="A907" s="1" t="n"/>
      <c r="B907" s="24" t="n">
        <v>901</v>
      </c>
      <c r="C907" s="61" t="n"/>
      <c r="D907" s="27" t="n"/>
      <c r="E907" s="27" t="n"/>
      <c r="F907" s="27" t="n"/>
      <c r="G907" s="27" t="n"/>
      <c r="H907" s="62" t="n"/>
      <c r="I907" s="31" t="n"/>
      <c r="J907" s="31" t="n"/>
      <c r="K907" s="31" t="n"/>
      <c r="L907" s="31" t="n"/>
      <c r="M907" s="1" t="n"/>
    </row>
    <row r="908">
      <c r="A908" s="1" t="n"/>
      <c r="B908" s="24" t="n">
        <v>902</v>
      </c>
      <c r="C908" s="61" t="n"/>
      <c r="D908" s="27" t="n"/>
      <c r="E908" s="27" t="n"/>
      <c r="F908" s="27" t="n"/>
      <c r="G908" s="27" t="n"/>
      <c r="H908" s="62" t="n"/>
      <c r="I908" s="31" t="n"/>
      <c r="J908" s="31" t="n"/>
      <c r="K908" s="31" t="n"/>
      <c r="L908" s="31" t="n"/>
      <c r="M908" s="1" t="n"/>
    </row>
    <row r="909">
      <c r="A909" s="1" t="n"/>
      <c r="B909" s="24" t="n">
        <v>903</v>
      </c>
      <c r="C909" s="61" t="n"/>
      <c r="D909" s="27" t="n"/>
      <c r="E909" s="27" t="n"/>
      <c r="F909" s="27" t="n"/>
      <c r="G909" s="27" t="n"/>
      <c r="H909" s="62" t="n"/>
      <c r="I909" s="31" t="n"/>
      <c r="J909" s="31" t="n"/>
      <c r="K909" s="31" t="n"/>
      <c r="L909" s="31" t="n"/>
      <c r="M909" s="1" t="n"/>
    </row>
    <row r="910">
      <c r="A910" s="1" t="n"/>
      <c r="B910" s="24" t="n">
        <v>904</v>
      </c>
      <c r="C910" s="61" t="n"/>
      <c r="D910" s="27" t="n"/>
      <c r="E910" s="27" t="n"/>
      <c r="F910" s="27" t="n"/>
      <c r="G910" s="27" t="n"/>
      <c r="H910" s="62" t="n"/>
      <c r="I910" s="31" t="n"/>
      <c r="J910" s="31" t="n"/>
      <c r="K910" s="31" t="n"/>
      <c r="L910" s="31" t="n"/>
      <c r="M910" s="1" t="n"/>
    </row>
    <row r="911">
      <c r="A911" s="1" t="n"/>
      <c r="B911" s="24" t="n">
        <v>905</v>
      </c>
      <c r="C911" s="61" t="n"/>
      <c r="D911" s="27" t="n"/>
      <c r="E911" s="27" t="n"/>
      <c r="F911" s="27" t="n"/>
      <c r="G911" s="27" t="n"/>
      <c r="H911" s="62" t="n"/>
      <c r="I911" s="31" t="n"/>
      <c r="J911" s="31" t="n"/>
      <c r="K911" s="31" t="n"/>
      <c r="L911" s="31" t="n"/>
      <c r="M911" s="1" t="n"/>
    </row>
    <row r="912">
      <c r="A912" s="1" t="n"/>
      <c r="B912" s="24" t="n">
        <v>906</v>
      </c>
      <c r="C912" s="61" t="n"/>
      <c r="D912" s="27" t="n"/>
      <c r="E912" s="27" t="n"/>
      <c r="F912" s="27" t="n"/>
      <c r="G912" s="27" t="n"/>
      <c r="H912" s="62" t="n"/>
      <c r="I912" s="31" t="n"/>
      <c r="J912" s="31" t="n"/>
      <c r="K912" s="31" t="n"/>
      <c r="L912" s="31" t="n"/>
      <c r="M912" s="1" t="n"/>
    </row>
    <row r="913">
      <c r="A913" s="1" t="n"/>
      <c r="B913" s="24" t="n">
        <v>907</v>
      </c>
      <c r="C913" s="61" t="n"/>
      <c r="D913" s="27" t="n"/>
      <c r="E913" s="27" t="n"/>
      <c r="F913" s="27" t="n"/>
      <c r="G913" s="27" t="n"/>
      <c r="H913" s="62" t="n"/>
      <c r="I913" s="31" t="n"/>
      <c r="J913" s="31" t="n"/>
      <c r="K913" s="31" t="n"/>
      <c r="L913" s="31" t="n"/>
      <c r="M913" s="1" t="n"/>
    </row>
    <row r="914">
      <c r="A914" s="1" t="n"/>
      <c r="B914" s="24" t="n">
        <v>908</v>
      </c>
      <c r="C914" s="61" t="n"/>
      <c r="D914" s="27" t="n"/>
      <c r="E914" s="27" t="n"/>
      <c r="F914" s="27" t="n"/>
      <c r="G914" s="27" t="n"/>
      <c r="H914" s="62" t="n"/>
      <c r="I914" s="31" t="n"/>
      <c r="J914" s="31" t="n"/>
      <c r="K914" s="31" t="n"/>
      <c r="L914" s="31" t="n"/>
      <c r="M914" s="1" t="n"/>
    </row>
    <row r="915">
      <c r="A915" s="1" t="n"/>
      <c r="B915" s="24" t="n">
        <v>909</v>
      </c>
      <c r="C915" s="61" t="n"/>
      <c r="D915" s="27" t="n"/>
      <c r="E915" s="27" t="n"/>
      <c r="F915" s="27" t="n"/>
      <c r="G915" s="27" t="n"/>
      <c r="H915" s="62" t="n"/>
      <c r="I915" s="31" t="n"/>
      <c r="J915" s="31" t="n"/>
      <c r="K915" s="31" t="n"/>
      <c r="L915" s="31" t="n"/>
      <c r="M915" s="1" t="n"/>
    </row>
    <row r="916">
      <c r="A916" s="1" t="n"/>
      <c r="B916" s="24" t="n">
        <v>910</v>
      </c>
      <c r="C916" s="61" t="n"/>
      <c r="D916" s="27" t="n"/>
      <c r="E916" s="27" t="n"/>
      <c r="F916" s="27" t="n"/>
      <c r="G916" s="27" t="n"/>
      <c r="H916" s="62" t="n"/>
      <c r="I916" s="31" t="n"/>
      <c r="J916" s="31" t="n"/>
      <c r="K916" s="31" t="n"/>
      <c r="L916" s="31" t="n"/>
      <c r="M916" s="1" t="n"/>
    </row>
    <row r="917">
      <c r="A917" s="1" t="n"/>
      <c r="B917" s="24" t="n">
        <v>911</v>
      </c>
      <c r="C917" s="61" t="n"/>
      <c r="D917" s="27" t="n"/>
      <c r="E917" s="27" t="n"/>
      <c r="F917" s="27" t="n"/>
      <c r="G917" s="27" t="n"/>
      <c r="H917" s="62" t="n"/>
      <c r="I917" s="31" t="n"/>
      <c r="J917" s="31" t="n"/>
      <c r="K917" s="31" t="n"/>
      <c r="L917" s="31" t="n"/>
      <c r="M917" s="1" t="n"/>
    </row>
    <row r="918">
      <c r="A918" s="1" t="n"/>
      <c r="B918" s="24" t="n">
        <v>912</v>
      </c>
      <c r="C918" s="61" t="n"/>
      <c r="D918" s="27" t="n"/>
      <c r="E918" s="27" t="n"/>
      <c r="F918" s="27" t="n"/>
      <c r="G918" s="27" t="n"/>
      <c r="H918" s="62" t="n"/>
      <c r="I918" s="31" t="n"/>
      <c r="J918" s="31" t="n"/>
      <c r="K918" s="31" t="n"/>
      <c r="L918" s="31" t="n"/>
      <c r="M918" s="1" t="n"/>
    </row>
    <row r="919">
      <c r="A919" s="1" t="n"/>
      <c r="B919" s="24" t="n">
        <v>913</v>
      </c>
      <c r="C919" s="61" t="n"/>
      <c r="D919" s="27" t="n"/>
      <c r="E919" s="27" t="n"/>
      <c r="F919" s="27" t="n"/>
      <c r="G919" s="27" t="n"/>
      <c r="H919" s="62" t="n"/>
      <c r="I919" s="31" t="n"/>
      <c r="J919" s="31" t="n"/>
      <c r="K919" s="31" t="n"/>
      <c r="L919" s="31" t="n"/>
      <c r="M919" s="1" t="n"/>
    </row>
    <row r="920">
      <c r="A920" s="1" t="n"/>
      <c r="B920" s="24" t="n">
        <v>914</v>
      </c>
      <c r="C920" s="61" t="n"/>
      <c r="D920" s="27" t="n"/>
      <c r="E920" s="27" t="n"/>
      <c r="F920" s="27" t="n"/>
      <c r="G920" s="27" t="n"/>
      <c r="H920" s="62" t="n"/>
      <c r="I920" s="31" t="n"/>
      <c r="J920" s="31" t="n"/>
      <c r="K920" s="31" t="n"/>
      <c r="L920" s="31" t="n"/>
      <c r="M920" s="1" t="n"/>
    </row>
    <row r="921">
      <c r="A921" s="1" t="n"/>
      <c r="B921" s="24" t="n">
        <v>915</v>
      </c>
      <c r="C921" s="61" t="n"/>
      <c r="D921" s="27" t="n"/>
      <c r="E921" s="27" t="n"/>
      <c r="F921" s="27" t="n"/>
      <c r="G921" s="27" t="n"/>
      <c r="H921" s="62" t="n"/>
      <c r="I921" s="31" t="n"/>
      <c r="J921" s="31" t="n"/>
      <c r="K921" s="31" t="n"/>
      <c r="L921" s="31" t="n"/>
      <c r="M921" s="1" t="n"/>
    </row>
    <row r="922">
      <c r="A922" s="1" t="n"/>
      <c r="B922" s="24" t="n">
        <v>916</v>
      </c>
      <c r="C922" s="61" t="n"/>
      <c r="D922" s="27" t="n"/>
      <c r="E922" s="27" t="n"/>
      <c r="F922" s="27" t="n"/>
      <c r="G922" s="27" t="n"/>
      <c r="H922" s="62" t="n"/>
      <c r="I922" s="31" t="n"/>
      <c r="J922" s="31" t="n"/>
      <c r="K922" s="31" t="n"/>
      <c r="L922" s="31" t="n"/>
      <c r="M922" s="1" t="n"/>
    </row>
    <row r="923">
      <c r="A923" s="1" t="n"/>
      <c r="B923" s="24" t="n">
        <v>917</v>
      </c>
      <c r="C923" s="61" t="n"/>
      <c r="D923" s="27" t="n"/>
      <c r="E923" s="27" t="n"/>
      <c r="F923" s="27" t="n"/>
      <c r="G923" s="27" t="n"/>
      <c r="H923" s="62" t="n"/>
      <c r="I923" s="31" t="n"/>
      <c r="J923" s="31" t="n"/>
      <c r="K923" s="31" t="n"/>
      <c r="L923" s="31" t="n"/>
      <c r="M923" s="1" t="n"/>
    </row>
    <row r="924">
      <c r="A924" s="1" t="n"/>
      <c r="B924" s="24" t="n">
        <v>918</v>
      </c>
      <c r="C924" s="61" t="n"/>
      <c r="D924" s="27" t="n"/>
      <c r="E924" s="27" t="n"/>
      <c r="F924" s="27" t="n"/>
      <c r="G924" s="27" t="n"/>
      <c r="H924" s="62" t="n"/>
      <c r="I924" s="31" t="n"/>
      <c r="J924" s="31" t="n"/>
      <c r="K924" s="31" t="n"/>
      <c r="L924" s="31" t="n"/>
      <c r="M924" s="1" t="n"/>
    </row>
    <row r="925">
      <c r="A925" s="1" t="n"/>
      <c r="B925" s="24" t="n">
        <v>919</v>
      </c>
      <c r="C925" s="61" t="n"/>
      <c r="D925" s="27" t="n"/>
      <c r="E925" s="27" t="n"/>
      <c r="F925" s="27" t="n"/>
      <c r="G925" s="27" t="n"/>
      <c r="H925" s="62" t="n"/>
      <c r="I925" s="31" t="n"/>
      <c r="J925" s="31" t="n"/>
      <c r="K925" s="31" t="n"/>
      <c r="L925" s="31" t="n"/>
      <c r="M925" s="1" t="n"/>
    </row>
    <row r="926">
      <c r="A926" s="1" t="n"/>
      <c r="B926" s="24" t="n">
        <v>920</v>
      </c>
      <c r="C926" s="61" t="n"/>
      <c r="D926" s="27" t="n"/>
      <c r="E926" s="27" t="n"/>
      <c r="F926" s="27" t="n"/>
      <c r="G926" s="27" t="n"/>
      <c r="H926" s="62" t="n"/>
      <c r="I926" s="31" t="n"/>
      <c r="J926" s="31" t="n"/>
      <c r="K926" s="31" t="n"/>
      <c r="L926" s="31" t="n"/>
      <c r="M926" s="1" t="n"/>
    </row>
    <row r="927">
      <c r="A927" s="1" t="n"/>
      <c r="B927" s="24" t="n">
        <v>921</v>
      </c>
      <c r="C927" s="61" t="n"/>
      <c r="D927" s="27" t="n"/>
      <c r="E927" s="27" t="n"/>
      <c r="F927" s="27" t="n"/>
      <c r="G927" s="27" t="n"/>
      <c r="H927" s="62" t="n"/>
      <c r="I927" s="31" t="n"/>
      <c r="J927" s="31" t="n"/>
      <c r="K927" s="31" t="n"/>
      <c r="L927" s="31" t="n"/>
      <c r="M927" s="1" t="n"/>
    </row>
    <row r="928">
      <c r="A928" s="1" t="n"/>
      <c r="B928" s="24" t="n">
        <v>922</v>
      </c>
      <c r="C928" s="61" t="n"/>
      <c r="D928" s="27" t="n"/>
      <c r="E928" s="27" t="n"/>
      <c r="F928" s="27" t="n"/>
      <c r="G928" s="27" t="n"/>
      <c r="H928" s="62" t="n"/>
      <c r="I928" s="31" t="n"/>
      <c r="J928" s="31" t="n"/>
      <c r="K928" s="31" t="n"/>
      <c r="L928" s="31" t="n"/>
      <c r="M928" s="1" t="n"/>
    </row>
    <row r="929">
      <c r="A929" s="1" t="n"/>
      <c r="B929" s="24" t="n">
        <v>923</v>
      </c>
      <c r="C929" s="61" t="n"/>
      <c r="D929" s="27" t="n"/>
      <c r="E929" s="27" t="n"/>
      <c r="F929" s="27" t="n"/>
      <c r="G929" s="27" t="n"/>
      <c r="H929" s="62" t="n"/>
      <c r="I929" s="31" t="n"/>
      <c r="J929" s="31" t="n"/>
      <c r="K929" s="31" t="n"/>
      <c r="L929" s="31" t="n"/>
      <c r="M929" s="1" t="n"/>
    </row>
    <row r="930">
      <c r="A930" s="1" t="n"/>
      <c r="B930" s="24" t="n">
        <v>924</v>
      </c>
      <c r="C930" s="61" t="n"/>
      <c r="D930" s="27" t="n"/>
      <c r="E930" s="27" t="n"/>
      <c r="F930" s="27" t="n"/>
      <c r="G930" s="27" t="n"/>
      <c r="H930" s="62" t="n"/>
      <c r="I930" s="31" t="n"/>
      <c r="J930" s="31" t="n"/>
      <c r="K930" s="31" t="n"/>
      <c r="L930" s="31" t="n"/>
      <c r="M930" s="1" t="n"/>
    </row>
    <row r="931">
      <c r="A931" s="1" t="n"/>
      <c r="B931" s="24" t="n">
        <v>925</v>
      </c>
      <c r="C931" s="61" t="n"/>
      <c r="D931" s="27" t="n"/>
      <c r="E931" s="27" t="n"/>
      <c r="F931" s="27" t="n"/>
      <c r="G931" s="27" t="n"/>
      <c r="H931" s="62" t="n"/>
      <c r="I931" s="31" t="n"/>
      <c r="J931" s="31" t="n"/>
      <c r="K931" s="31" t="n"/>
      <c r="L931" s="31" t="n"/>
      <c r="M931" s="1" t="n"/>
    </row>
    <row r="932">
      <c r="A932" s="1" t="n"/>
      <c r="B932" s="24" t="n">
        <v>926</v>
      </c>
      <c r="C932" s="61" t="n"/>
      <c r="D932" s="27" t="n"/>
      <c r="E932" s="27" t="n"/>
      <c r="F932" s="27" t="n"/>
      <c r="G932" s="27" t="n"/>
      <c r="H932" s="62" t="n"/>
      <c r="I932" s="31" t="n"/>
      <c r="J932" s="31" t="n"/>
      <c r="K932" s="31" t="n"/>
      <c r="L932" s="31" t="n"/>
      <c r="M932" s="1" t="n"/>
    </row>
    <row r="933">
      <c r="A933" s="1" t="n"/>
      <c r="B933" s="24" t="n">
        <v>927</v>
      </c>
      <c r="C933" s="61" t="n"/>
      <c r="D933" s="27" t="n"/>
      <c r="E933" s="27" t="n"/>
      <c r="F933" s="27" t="n"/>
      <c r="G933" s="27" t="n"/>
      <c r="H933" s="62" t="n"/>
      <c r="I933" s="31" t="n"/>
      <c r="J933" s="31" t="n"/>
      <c r="K933" s="31" t="n"/>
      <c r="L933" s="31" t="n"/>
      <c r="M933" s="1" t="n"/>
    </row>
    <row r="934">
      <c r="A934" s="1" t="n"/>
      <c r="B934" s="24" t="n">
        <v>928</v>
      </c>
      <c r="C934" s="61" t="n"/>
      <c r="D934" s="27" t="n"/>
      <c r="E934" s="27" t="n"/>
      <c r="F934" s="27" t="n"/>
      <c r="G934" s="27" t="n"/>
      <c r="H934" s="62" t="n"/>
      <c r="I934" s="31" t="n"/>
      <c r="J934" s="31" t="n"/>
      <c r="K934" s="31" t="n"/>
      <c r="L934" s="31" t="n"/>
      <c r="M934" s="1" t="n"/>
    </row>
    <row r="935">
      <c r="A935" s="1" t="n"/>
      <c r="B935" s="24" t="n">
        <v>929</v>
      </c>
      <c r="C935" s="61" t="n"/>
      <c r="D935" s="27" t="n"/>
      <c r="E935" s="27" t="n"/>
      <c r="F935" s="27" t="n"/>
      <c r="G935" s="27" t="n"/>
      <c r="H935" s="62" t="n"/>
      <c r="I935" s="31" t="n"/>
      <c r="J935" s="31" t="n"/>
      <c r="K935" s="31" t="n"/>
      <c r="L935" s="31" t="n"/>
      <c r="M935" s="1" t="n"/>
    </row>
    <row r="936">
      <c r="A936" s="1" t="n"/>
      <c r="B936" s="24" t="n">
        <v>930</v>
      </c>
      <c r="C936" s="61" t="n"/>
      <c r="D936" s="27" t="n"/>
      <c r="E936" s="27" t="n"/>
      <c r="F936" s="27" t="n"/>
      <c r="G936" s="27" t="n"/>
      <c r="H936" s="62" t="n"/>
      <c r="I936" s="31" t="n"/>
      <c r="J936" s="31" t="n"/>
      <c r="K936" s="31" t="n"/>
      <c r="L936" s="31" t="n"/>
      <c r="M936" s="1" t="n"/>
    </row>
    <row r="937">
      <c r="A937" s="1" t="n"/>
      <c r="B937" s="24" t="n">
        <v>931</v>
      </c>
      <c r="C937" s="61" t="n"/>
      <c r="D937" s="27" t="n"/>
      <c r="E937" s="27" t="n"/>
      <c r="F937" s="27" t="n"/>
      <c r="G937" s="27" t="n"/>
      <c r="H937" s="62" t="n"/>
      <c r="I937" s="31" t="n"/>
      <c r="J937" s="31" t="n"/>
      <c r="K937" s="31" t="n"/>
      <c r="L937" s="31" t="n"/>
      <c r="M937" s="1" t="n"/>
    </row>
    <row r="938">
      <c r="A938" s="1" t="n"/>
      <c r="B938" s="24" t="n">
        <v>932</v>
      </c>
      <c r="C938" s="61" t="n"/>
      <c r="D938" s="27" t="n"/>
      <c r="E938" s="27" t="n"/>
      <c r="F938" s="27" t="n"/>
      <c r="G938" s="27" t="n"/>
      <c r="H938" s="62" t="n"/>
      <c r="I938" s="31" t="n"/>
      <c r="J938" s="31" t="n"/>
      <c r="K938" s="31" t="n"/>
      <c r="L938" s="31" t="n"/>
      <c r="M938" s="1" t="n"/>
    </row>
    <row r="939">
      <c r="A939" s="1" t="n"/>
      <c r="B939" s="24" t="n">
        <v>933</v>
      </c>
      <c r="C939" s="61" t="n"/>
      <c r="D939" s="27" t="n"/>
      <c r="E939" s="27" t="n"/>
      <c r="F939" s="27" t="n"/>
      <c r="G939" s="27" t="n"/>
      <c r="H939" s="62" t="n"/>
      <c r="I939" s="31" t="n"/>
      <c r="J939" s="31" t="n"/>
      <c r="K939" s="31" t="n"/>
      <c r="L939" s="31" t="n"/>
      <c r="M939" s="1" t="n"/>
    </row>
    <row r="940">
      <c r="A940" s="1" t="n"/>
      <c r="B940" s="24" t="n">
        <v>934</v>
      </c>
      <c r="C940" s="61" t="n"/>
      <c r="D940" s="27" t="n"/>
      <c r="E940" s="27" t="n"/>
      <c r="F940" s="27" t="n"/>
      <c r="G940" s="27" t="n"/>
      <c r="H940" s="62" t="n"/>
      <c r="I940" s="31" t="n"/>
      <c r="J940" s="31" t="n"/>
      <c r="K940" s="31" t="n"/>
      <c r="L940" s="31" t="n"/>
      <c r="M940" s="1" t="n"/>
    </row>
    <row r="941">
      <c r="A941" s="1" t="n"/>
      <c r="B941" s="24" t="n">
        <v>935</v>
      </c>
      <c r="C941" s="61" t="n"/>
      <c r="D941" s="27" t="n"/>
      <c r="E941" s="27" t="n"/>
      <c r="F941" s="27" t="n"/>
      <c r="G941" s="27" t="n"/>
      <c r="H941" s="62" t="n"/>
      <c r="I941" s="31" t="n"/>
      <c r="J941" s="31" t="n"/>
      <c r="K941" s="31" t="n"/>
      <c r="L941" s="31" t="n"/>
      <c r="M941" s="1" t="n"/>
    </row>
    <row r="942">
      <c r="A942" s="1" t="n"/>
      <c r="B942" s="24" t="n">
        <v>936</v>
      </c>
      <c r="C942" s="61" t="n"/>
      <c r="D942" s="27" t="n"/>
      <c r="E942" s="27" t="n"/>
      <c r="F942" s="27" t="n"/>
      <c r="G942" s="27" t="n"/>
      <c r="H942" s="62" t="n"/>
      <c r="I942" s="31" t="n"/>
      <c r="J942" s="31" t="n"/>
      <c r="K942" s="31" t="n"/>
      <c r="L942" s="31" t="n"/>
      <c r="M942" s="1" t="n"/>
    </row>
    <row r="943">
      <c r="A943" s="1" t="n"/>
      <c r="B943" s="24" t="n">
        <v>937</v>
      </c>
      <c r="C943" s="61" t="n"/>
      <c r="D943" s="27" t="n"/>
      <c r="E943" s="27" t="n"/>
      <c r="F943" s="27" t="n"/>
      <c r="G943" s="27" t="n"/>
      <c r="H943" s="62" t="n"/>
      <c r="I943" s="31" t="n"/>
      <c r="J943" s="31" t="n"/>
      <c r="K943" s="31" t="n"/>
      <c r="L943" s="31" t="n"/>
      <c r="M943" s="1" t="n"/>
    </row>
    <row r="944">
      <c r="A944" s="1" t="n"/>
      <c r="B944" s="24" t="n">
        <v>938</v>
      </c>
      <c r="C944" s="61" t="n"/>
      <c r="D944" s="27" t="n"/>
      <c r="E944" s="27" t="n"/>
      <c r="F944" s="27" t="n"/>
      <c r="G944" s="27" t="n"/>
      <c r="H944" s="62" t="n"/>
      <c r="I944" s="31" t="n"/>
      <c r="J944" s="31" t="n"/>
      <c r="K944" s="31" t="n"/>
      <c r="L944" s="31" t="n"/>
      <c r="M944" s="1" t="n"/>
    </row>
    <row r="945">
      <c r="A945" s="1" t="n"/>
      <c r="B945" s="24" t="n">
        <v>939</v>
      </c>
      <c r="C945" s="61" t="n"/>
      <c r="D945" s="27" t="n"/>
      <c r="E945" s="27" t="n"/>
      <c r="F945" s="27" t="n"/>
      <c r="G945" s="27" t="n"/>
      <c r="H945" s="62" t="n"/>
      <c r="I945" s="31" t="n"/>
      <c r="J945" s="31" t="n"/>
      <c r="K945" s="31" t="n"/>
      <c r="L945" s="31" t="n"/>
      <c r="M945" s="1" t="n"/>
    </row>
    <row r="946">
      <c r="A946" s="1" t="n"/>
      <c r="B946" s="24" t="n">
        <v>940</v>
      </c>
      <c r="C946" s="61" t="n"/>
      <c r="D946" s="27" t="n"/>
      <c r="E946" s="27" t="n"/>
      <c r="F946" s="27" t="n"/>
      <c r="G946" s="27" t="n"/>
      <c r="H946" s="62" t="n"/>
      <c r="I946" s="31" t="n"/>
      <c r="J946" s="31" t="n"/>
      <c r="K946" s="31" t="n"/>
      <c r="L946" s="31" t="n"/>
      <c r="M946" s="1" t="n"/>
    </row>
    <row r="947">
      <c r="A947" s="1" t="n"/>
      <c r="B947" s="24" t="n">
        <v>941</v>
      </c>
      <c r="C947" s="61" t="n"/>
      <c r="D947" s="27" t="n"/>
      <c r="E947" s="27" t="n"/>
      <c r="F947" s="27" t="n"/>
      <c r="G947" s="27" t="n"/>
      <c r="H947" s="62" t="n"/>
      <c r="I947" s="31" t="n"/>
      <c r="J947" s="31" t="n"/>
      <c r="K947" s="31" t="n"/>
      <c r="L947" s="31" t="n"/>
      <c r="M947" s="1" t="n"/>
    </row>
    <row r="948">
      <c r="A948" s="1" t="n"/>
      <c r="B948" s="24" t="n">
        <v>942</v>
      </c>
      <c r="C948" s="61" t="n"/>
      <c r="D948" s="27" t="n"/>
      <c r="E948" s="27" t="n"/>
      <c r="F948" s="27" t="n"/>
      <c r="G948" s="27" t="n"/>
      <c r="H948" s="62" t="n"/>
      <c r="I948" s="31" t="n"/>
      <c r="J948" s="31" t="n"/>
      <c r="K948" s="31" t="n"/>
      <c r="L948" s="31" t="n"/>
      <c r="M948" s="1" t="n"/>
    </row>
    <row r="949">
      <c r="A949" s="1" t="n"/>
      <c r="B949" s="24" t="n">
        <v>943</v>
      </c>
      <c r="C949" s="61" t="n"/>
      <c r="D949" s="27" t="n"/>
      <c r="E949" s="27" t="n"/>
      <c r="F949" s="27" t="n"/>
      <c r="G949" s="27" t="n"/>
      <c r="H949" s="62" t="n"/>
      <c r="I949" s="31" t="n"/>
      <c r="J949" s="31" t="n"/>
      <c r="K949" s="31" t="n"/>
      <c r="L949" s="31" t="n"/>
      <c r="M949" s="1" t="n"/>
    </row>
    <row r="950">
      <c r="A950" s="1" t="n"/>
      <c r="B950" s="24" t="n">
        <v>944</v>
      </c>
      <c r="C950" s="61" t="n"/>
      <c r="D950" s="27" t="n"/>
      <c r="E950" s="27" t="n"/>
      <c r="F950" s="27" t="n"/>
      <c r="G950" s="27" t="n"/>
      <c r="H950" s="62" t="n"/>
      <c r="I950" s="31" t="n"/>
      <c r="J950" s="31" t="n"/>
      <c r="K950" s="31" t="n"/>
      <c r="L950" s="31" t="n"/>
      <c r="M950" s="1" t="n"/>
    </row>
    <row r="951">
      <c r="A951" s="1" t="n"/>
      <c r="B951" s="24" t="n">
        <v>945</v>
      </c>
      <c r="C951" s="61" t="n"/>
      <c r="D951" s="27" t="n"/>
      <c r="E951" s="27" t="n"/>
      <c r="F951" s="27" t="n"/>
      <c r="G951" s="27" t="n"/>
      <c r="H951" s="62" t="n"/>
      <c r="I951" s="31" t="n"/>
      <c r="J951" s="31" t="n"/>
      <c r="K951" s="31" t="n"/>
      <c r="L951" s="31" t="n"/>
      <c r="M951" s="1" t="n"/>
    </row>
    <row r="952">
      <c r="A952" s="1" t="n"/>
      <c r="B952" s="24" t="n">
        <v>946</v>
      </c>
      <c r="C952" s="61" t="n"/>
      <c r="D952" s="27" t="n"/>
      <c r="E952" s="27" t="n"/>
      <c r="F952" s="27" t="n"/>
      <c r="G952" s="27" t="n"/>
      <c r="H952" s="62" t="n"/>
      <c r="I952" s="31" t="n"/>
      <c r="J952" s="31" t="n"/>
      <c r="K952" s="31" t="n"/>
      <c r="L952" s="31" t="n"/>
      <c r="M952" s="1" t="n"/>
    </row>
    <row r="953">
      <c r="A953" s="1" t="n"/>
      <c r="B953" s="24" t="n">
        <v>947</v>
      </c>
      <c r="C953" s="61" t="n"/>
      <c r="D953" s="27" t="n"/>
      <c r="E953" s="27" t="n"/>
      <c r="F953" s="27" t="n"/>
      <c r="G953" s="27" t="n"/>
      <c r="H953" s="62" t="n"/>
      <c r="I953" s="31" t="n"/>
      <c r="J953" s="31" t="n"/>
      <c r="K953" s="31" t="n"/>
      <c r="L953" s="31" t="n"/>
      <c r="M953" s="1" t="n"/>
    </row>
    <row r="954">
      <c r="A954" s="1" t="n"/>
      <c r="B954" s="24" t="n">
        <v>948</v>
      </c>
      <c r="C954" s="61" t="n"/>
      <c r="D954" s="27" t="n"/>
      <c r="E954" s="27" t="n"/>
      <c r="F954" s="27" t="n"/>
      <c r="G954" s="27" t="n"/>
      <c r="H954" s="62" t="n"/>
      <c r="I954" s="31" t="n"/>
      <c r="J954" s="31" t="n"/>
      <c r="K954" s="31" t="n"/>
      <c r="L954" s="31" t="n"/>
      <c r="M954" s="1" t="n"/>
    </row>
    <row r="955">
      <c r="A955" s="1" t="n"/>
      <c r="B955" s="24" t="n">
        <v>949</v>
      </c>
      <c r="C955" s="61" t="n"/>
      <c r="D955" s="27" t="n"/>
      <c r="E955" s="27" t="n"/>
      <c r="F955" s="27" t="n"/>
      <c r="G955" s="27" t="n"/>
      <c r="H955" s="62" t="n"/>
      <c r="I955" s="31" t="n"/>
      <c r="J955" s="31" t="n"/>
      <c r="K955" s="31" t="n"/>
      <c r="L955" s="31" t="n"/>
      <c r="M955" s="1" t="n"/>
    </row>
    <row r="956">
      <c r="A956" s="1" t="n"/>
      <c r="B956" s="24" t="n">
        <v>950</v>
      </c>
      <c r="C956" s="61" t="n"/>
      <c r="D956" s="27" t="n"/>
      <c r="E956" s="27" t="n"/>
      <c r="F956" s="27" t="n"/>
      <c r="G956" s="27" t="n"/>
      <c r="H956" s="62" t="n"/>
      <c r="I956" s="31" t="n"/>
      <c r="J956" s="31" t="n"/>
      <c r="K956" s="31" t="n"/>
      <c r="L956" s="31" t="n"/>
      <c r="M956" s="1" t="n"/>
    </row>
    <row r="957">
      <c r="A957" s="1" t="n"/>
      <c r="B957" s="24" t="n">
        <v>951</v>
      </c>
      <c r="C957" s="61" t="n"/>
      <c r="D957" s="27" t="n"/>
      <c r="E957" s="27" t="n"/>
      <c r="F957" s="27" t="n"/>
      <c r="G957" s="27" t="n"/>
      <c r="H957" s="62" t="n"/>
      <c r="I957" s="31" t="n"/>
      <c r="J957" s="31" t="n"/>
      <c r="K957" s="31" t="n"/>
      <c r="L957" s="31" t="n"/>
      <c r="M957" s="1" t="n"/>
    </row>
    <row r="958">
      <c r="A958" s="1" t="n"/>
      <c r="B958" s="24" t="n">
        <v>952</v>
      </c>
      <c r="C958" s="61" t="n"/>
      <c r="D958" s="27" t="n"/>
      <c r="E958" s="27" t="n"/>
      <c r="F958" s="27" t="n"/>
      <c r="G958" s="27" t="n"/>
      <c r="H958" s="62" t="n"/>
      <c r="I958" s="31" t="n"/>
      <c r="J958" s="31" t="n"/>
      <c r="K958" s="31" t="n"/>
      <c r="L958" s="31" t="n"/>
      <c r="M958" s="1" t="n"/>
    </row>
    <row r="959">
      <c r="A959" s="1" t="n"/>
      <c r="B959" s="24" t="n">
        <v>953</v>
      </c>
      <c r="C959" s="61" t="n"/>
      <c r="D959" s="27" t="n"/>
      <c r="E959" s="27" t="n"/>
      <c r="F959" s="27" t="n"/>
      <c r="G959" s="27" t="n"/>
      <c r="H959" s="62" t="n"/>
      <c r="I959" s="31" t="n"/>
      <c r="J959" s="31" t="n"/>
      <c r="K959" s="31" t="n"/>
      <c r="L959" s="31" t="n"/>
      <c r="M959" s="1" t="n"/>
    </row>
    <row r="960">
      <c r="A960" s="1" t="n"/>
      <c r="B960" s="24" t="n">
        <v>954</v>
      </c>
      <c r="C960" s="61" t="n"/>
      <c r="D960" s="27" t="n"/>
      <c r="E960" s="27" t="n"/>
      <c r="F960" s="27" t="n"/>
      <c r="G960" s="27" t="n"/>
      <c r="H960" s="62" t="n"/>
      <c r="I960" s="31" t="n"/>
      <c r="J960" s="31" t="n"/>
      <c r="K960" s="31" t="n"/>
      <c r="L960" s="31" t="n"/>
      <c r="M960" s="1" t="n"/>
    </row>
    <row r="961">
      <c r="A961" s="1" t="n"/>
      <c r="B961" s="24" t="n">
        <v>955</v>
      </c>
      <c r="C961" s="61" t="n"/>
      <c r="D961" s="27" t="n"/>
      <c r="E961" s="27" t="n"/>
      <c r="F961" s="27" t="n"/>
      <c r="G961" s="27" t="n"/>
      <c r="H961" s="62" t="n"/>
      <c r="I961" s="31" t="n"/>
      <c r="J961" s="31" t="n"/>
      <c r="K961" s="31" t="n"/>
      <c r="L961" s="31" t="n"/>
      <c r="M961" s="1" t="n"/>
    </row>
    <row r="962">
      <c r="A962" s="1" t="n"/>
      <c r="B962" s="24" t="n">
        <v>956</v>
      </c>
      <c r="C962" s="61" t="n"/>
      <c r="D962" s="27" t="n"/>
      <c r="E962" s="27" t="n"/>
      <c r="F962" s="27" t="n"/>
      <c r="G962" s="27" t="n"/>
      <c r="H962" s="62" t="n"/>
      <c r="I962" s="31" t="n"/>
      <c r="J962" s="31" t="n"/>
      <c r="K962" s="31" t="n"/>
      <c r="L962" s="31" t="n"/>
      <c r="M962" s="1" t="n"/>
    </row>
    <row r="963">
      <c r="A963" s="1" t="n"/>
      <c r="B963" s="24" t="n">
        <v>957</v>
      </c>
      <c r="C963" s="61" t="n"/>
      <c r="D963" s="27" t="n"/>
      <c r="E963" s="27" t="n"/>
      <c r="F963" s="27" t="n"/>
      <c r="G963" s="27" t="n"/>
      <c r="H963" s="62" t="n"/>
      <c r="I963" s="31" t="n"/>
      <c r="J963" s="31" t="n"/>
      <c r="K963" s="31" t="n"/>
      <c r="L963" s="31" t="n"/>
      <c r="M963" s="1" t="n"/>
    </row>
    <row r="964">
      <c r="A964" s="1" t="n"/>
      <c r="B964" s="24" t="n">
        <v>958</v>
      </c>
      <c r="C964" s="61" t="n"/>
      <c r="D964" s="27" t="n"/>
      <c r="E964" s="27" t="n"/>
      <c r="F964" s="27" t="n"/>
      <c r="G964" s="27" t="n"/>
      <c r="H964" s="62" t="n"/>
      <c r="I964" s="31" t="n"/>
      <c r="J964" s="31" t="n"/>
      <c r="K964" s="31" t="n"/>
      <c r="L964" s="31" t="n"/>
      <c r="M964" s="1" t="n"/>
    </row>
    <row r="965">
      <c r="A965" s="1" t="n"/>
      <c r="B965" s="24" t="n">
        <v>959</v>
      </c>
      <c r="C965" s="61" t="n"/>
      <c r="D965" s="27" t="n"/>
      <c r="E965" s="27" t="n"/>
      <c r="F965" s="27" t="n"/>
      <c r="G965" s="27" t="n"/>
      <c r="H965" s="62" t="n"/>
      <c r="I965" s="31" t="n"/>
      <c r="J965" s="31" t="n"/>
      <c r="K965" s="31" t="n"/>
      <c r="L965" s="31" t="n"/>
      <c r="M965" s="1" t="n"/>
    </row>
    <row r="966">
      <c r="A966" s="1" t="n"/>
      <c r="B966" s="24" t="n">
        <v>960</v>
      </c>
      <c r="C966" s="61" t="n"/>
      <c r="D966" s="27" t="n"/>
      <c r="E966" s="27" t="n"/>
      <c r="F966" s="27" t="n"/>
      <c r="G966" s="27" t="n"/>
      <c r="H966" s="62" t="n"/>
      <c r="I966" s="31" t="n"/>
      <c r="J966" s="31" t="n"/>
      <c r="K966" s="31" t="n"/>
      <c r="L966" s="31" t="n"/>
      <c r="M966" s="1" t="n"/>
    </row>
    <row r="967">
      <c r="A967" s="1" t="n"/>
      <c r="B967" s="24" t="n">
        <v>961</v>
      </c>
      <c r="C967" s="61" t="n"/>
      <c r="D967" s="27" t="n"/>
      <c r="E967" s="27" t="n"/>
      <c r="F967" s="27" t="n"/>
      <c r="G967" s="27" t="n"/>
      <c r="H967" s="62" t="n"/>
      <c r="I967" s="31" t="n"/>
      <c r="J967" s="31" t="n"/>
      <c r="K967" s="31" t="n"/>
      <c r="L967" s="31" t="n"/>
      <c r="M967" s="1" t="n"/>
    </row>
    <row r="968">
      <c r="A968" s="1" t="n"/>
      <c r="B968" s="24" t="n">
        <v>962</v>
      </c>
      <c r="C968" s="61" t="n"/>
      <c r="D968" s="27" t="n"/>
      <c r="E968" s="27" t="n"/>
      <c r="F968" s="27" t="n"/>
      <c r="G968" s="27" t="n"/>
      <c r="H968" s="62" t="n"/>
      <c r="I968" s="31" t="n"/>
      <c r="J968" s="31" t="n"/>
      <c r="K968" s="31" t="n"/>
      <c r="L968" s="31" t="n"/>
      <c r="M968" s="1" t="n"/>
    </row>
    <row r="969">
      <c r="A969" s="1" t="n"/>
      <c r="B969" s="24" t="n">
        <v>963</v>
      </c>
      <c r="C969" s="61" t="n"/>
      <c r="D969" s="27" t="n"/>
      <c r="E969" s="27" t="n"/>
      <c r="F969" s="27" t="n"/>
      <c r="G969" s="27" t="n"/>
      <c r="H969" s="62" t="n"/>
      <c r="I969" s="31" t="n"/>
      <c r="J969" s="31" t="n"/>
      <c r="K969" s="31" t="n"/>
      <c r="L969" s="31" t="n"/>
      <c r="M969" s="1" t="n"/>
    </row>
    <row r="970">
      <c r="A970" s="1" t="n"/>
      <c r="B970" s="24" t="n">
        <v>964</v>
      </c>
      <c r="C970" s="61" t="n"/>
      <c r="D970" s="27" t="n"/>
      <c r="E970" s="27" t="n"/>
      <c r="F970" s="27" t="n"/>
      <c r="G970" s="27" t="n"/>
      <c r="H970" s="62" t="n"/>
      <c r="I970" s="31" t="n"/>
      <c r="J970" s="31" t="n"/>
      <c r="K970" s="31" t="n"/>
      <c r="L970" s="31" t="n"/>
      <c r="M970" s="1" t="n"/>
    </row>
    <row r="971">
      <c r="A971" s="1" t="n"/>
      <c r="B971" s="24" t="n">
        <v>965</v>
      </c>
      <c r="C971" s="61" t="n"/>
      <c r="D971" s="27" t="n"/>
      <c r="E971" s="27" t="n"/>
      <c r="F971" s="27" t="n"/>
      <c r="G971" s="27" t="n"/>
      <c r="H971" s="62" t="n"/>
      <c r="I971" s="31" t="n"/>
      <c r="J971" s="31" t="n"/>
      <c r="K971" s="31" t="n"/>
      <c r="L971" s="31" t="n"/>
      <c r="M971" s="1" t="n"/>
    </row>
    <row r="972">
      <c r="A972" s="1" t="n"/>
      <c r="B972" s="24" t="n">
        <v>966</v>
      </c>
      <c r="C972" s="61" t="n"/>
      <c r="D972" s="27" t="n"/>
      <c r="E972" s="27" t="n"/>
      <c r="F972" s="27" t="n"/>
      <c r="G972" s="27" t="n"/>
      <c r="H972" s="62" t="n"/>
      <c r="I972" s="31" t="n"/>
      <c r="J972" s="31" t="n"/>
      <c r="K972" s="31" t="n"/>
      <c r="L972" s="31" t="n"/>
      <c r="M972" s="1" t="n"/>
    </row>
    <row r="973">
      <c r="A973" s="1" t="n"/>
      <c r="B973" s="24" t="n">
        <v>967</v>
      </c>
      <c r="C973" s="61" t="n"/>
      <c r="D973" s="27" t="n"/>
      <c r="E973" s="27" t="n"/>
      <c r="F973" s="27" t="n"/>
      <c r="G973" s="27" t="n"/>
      <c r="H973" s="62" t="n"/>
      <c r="I973" s="31" t="n"/>
      <c r="J973" s="31" t="n"/>
      <c r="K973" s="31" t="n"/>
      <c r="L973" s="31" t="n"/>
      <c r="M973" s="1" t="n"/>
    </row>
    <row r="974">
      <c r="A974" s="1" t="n"/>
      <c r="B974" s="24" t="n">
        <v>968</v>
      </c>
      <c r="C974" s="61" t="n"/>
      <c r="D974" s="27" t="n"/>
      <c r="E974" s="27" t="n"/>
      <c r="F974" s="27" t="n"/>
      <c r="G974" s="27" t="n"/>
      <c r="H974" s="62" t="n"/>
      <c r="I974" s="31" t="n"/>
      <c r="J974" s="31" t="n"/>
      <c r="K974" s="31" t="n"/>
      <c r="L974" s="31" t="n"/>
      <c r="M974" s="1" t="n"/>
    </row>
    <row r="975">
      <c r="A975" s="1" t="n"/>
      <c r="B975" s="24" t="n">
        <v>969</v>
      </c>
      <c r="C975" s="61" t="n"/>
      <c r="D975" s="27" t="n"/>
      <c r="E975" s="27" t="n"/>
      <c r="F975" s="27" t="n"/>
      <c r="G975" s="27" t="n"/>
      <c r="H975" s="62" t="n"/>
      <c r="I975" s="31" t="n"/>
      <c r="J975" s="31" t="n"/>
      <c r="K975" s="31" t="n"/>
      <c r="L975" s="31" t="n"/>
      <c r="M975" s="1" t="n"/>
    </row>
    <row r="976">
      <c r="A976" s="1" t="n"/>
      <c r="B976" s="24" t="n">
        <v>970</v>
      </c>
      <c r="C976" s="61" t="n"/>
      <c r="D976" s="27" t="n"/>
      <c r="E976" s="27" t="n"/>
      <c r="F976" s="27" t="n"/>
      <c r="G976" s="27" t="n"/>
      <c r="H976" s="62" t="n"/>
      <c r="I976" s="31" t="n"/>
      <c r="J976" s="31" t="n"/>
      <c r="K976" s="31" t="n"/>
      <c r="L976" s="31" t="n"/>
      <c r="M976" s="1" t="n"/>
    </row>
    <row r="977">
      <c r="A977" s="1" t="n"/>
      <c r="B977" s="24" t="n">
        <v>971</v>
      </c>
      <c r="C977" s="61" t="n"/>
      <c r="D977" s="27" t="n"/>
      <c r="E977" s="27" t="n"/>
      <c r="F977" s="27" t="n"/>
      <c r="G977" s="27" t="n"/>
      <c r="H977" s="62" t="n"/>
      <c r="I977" s="31" t="n"/>
      <c r="J977" s="31" t="n"/>
      <c r="K977" s="31" t="n"/>
      <c r="L977" s="31" t="n"/>
      <c r="M977" s="1" t="n"/>
    </row>
    <row r="978">
      <c r="A978" s="1" t="n"/>
      <c r="B978" s="24" t="n">
        <v>972</v>
      </c>
      <c r="C978" s="61" t="n"/>
      <c r="D978" s="27" t="n"/>
      <c r="E978" s="27" t="n"/>
      <c r="F978" s="27" t="n"/>
      <c r="G978" s="27" t="n"/>
      <c r="H978" s="62" t="n"/>
      <c r="I978" s="31" t="n"/>
      <c r="J978" s="31" t="n"/>
      <c r="K978" s="31" t="n"/>
      <c r="L978" s="31" t="n"/>
      <c r="M978" s="1" t="n"/>
    </row>
    <row r="979">
      <c r="A979" s="1" t="n"/>
      <c r="B979" s="24" t="n">
        <v>973</v>
      </c>
      <c r="C979" s="61" t="n"/>
      <c r="D979" s="27" t="n"/>
      <c r="E979" s="27" t="n"/>
      <c r="F979" s="27" t="n"/>
      <c r="G979" s="27" t="n"/>
      <c r="H979" s="62" t="n"/>
      <c r="I979" s="31" t="n"/>
      <c r="J979" s="31" t="n"/>
      <c r="K979" s="31" t="n"/>
      <c r="L979" s="31" t="n"/>
      <c r="M979" s="1" t="n"/>
    </row>
    <row r="980">
      <c r="A980" s="1" t="n"/>
      <c r="B980" s="24" t="n">
        <v>974</v>
      </c>
      <c r="C980" s="61" t="n"/>
      <c r="D980" s="27" t="n"/>
      <c r="E980" s="27" t="n"/>
      <c r="F980" s="27" t="n"/>
      <c r="G980" s="27" t="n"/>
      <c r="H980" s="62" t="n"/>
      <c r="I980" s="31" t="n"/>
      <c r="J980" s="31" t="n"/>
      <c r="K980" s="31" t="n"/>
      <c r="L980" s="31" t="n"/>
      <c r="M980" s="1" t="n"/>
    </row>
    <row r="981">
      <c r="A981" s="1" t="n"/>
      <c r="B981" s="24" t="n">
        <v>975</v>
      </c>
      <c r="C981" s="61" t="n"/>
      <c r="D981" s="27" t="n"/>
      <c r="E981" s="27" t="n"/>
      <c r="F981" s="27" t="n"/>
      <c r="G981" s="27" t="n"/>
      <c r="H981" s="62" t="n"/>
      <c r="I981" s="31" t="n"/>
      <c r="J981" s="31" t="n"/>
      <c r="K981" s="31" t="n"/>
      <c r="L981" s="31" t="n"/>
      <c r="M981" s="1" t="n"/>
    </row>
    <row r="982">
      <c r="A982" s="1" t="n"/>
      <c r="B982" s="24" t="n">
        <v>976</v>
      </c>
      <c r="C982" s="61" t="n"/>
      <c r="D982" s="27" t="n"/>
      <c r="E982" s="27" t="n"/>
      <c r="F982" s="27" t="n"/>
      <c r="G982" s="27" t="n"/>
      <c r="H982" s="62" t="n"/>
      <c r="I982" s="31" t="n"/>
      <c r="J982" s="31" t="n"/>
      <c r="K982" s="31" t="n"/>
      <c r="L982" s="31" t="n"/>
      <c r="M982" s="1" t="n"/>
    </row>
    <row r="983">
      <c r="A983" s="1" t="n"/>
      <c r="B983" s="24" t="n">
        <v>977</v>
      </c>
      <c r="C983" s="61" t="n"/>
      <c r="D983" s="27" t="n"/>
      <c r="E983" s="27" t="n"/>
      <c r="F983" s="27" t="n"/>
      <c r="G983" s="27" t="n"/>
      <c r="H983" s="62" t="n"/>
      <c r="I983" s="31" t="n"/>
      <c r="J983" s="31" t="n"/>
      <c r="K983" s="31" t="n"/>
      <c r="L983" s="31" t="n"/>
      <c r="M983" s="1" t="n"/>
    </row>
    <row r="984">
      <c r="A984" s="1" t="n"/>
      <c r="B984" s="24" t="n">
        <v>978</v>
      </c>
      <c r="C984" s="61" t="n"/>
      <c r="D984" s="27" t="n"/>
      <c r="E984" s="27" t="n"/>
      <c r="F984" s="27" t="n"/>
      <c r="G984" s="27" t="n"/>
      <c r="H984" s="62" t="n"/>
      <c r="I984" s="31" t="n"/>
      <c r="J984" s="31" t="n"/>
      <c r="K984" s="31" t="n"/>
      <c r="L984" s="31" t="n"/>
      <c r="M984" s="1" t="n"/>
    </row>
    <row r="985">
      <c r="A985" s="1" t="n"/>
      <c r="B985" s="24" t="n">
        <v>979</v>
      </c>
      <c r="C985" s="61" t="n"/>
      <c r="D985" s="27" t="n"/>
      <c r="E985" s="27" t="n"/>
      <c r="F985" s="27" t="n"/>
      <c r="G985" s="27" t="n"/>
      <c r="H985" s="62" t="n"/>
      <c r="I985" s="31" t="n"/>
      <c r="J985" s="31" t="n"/>
      <c r="K985" s="31" t="n"/>
      <c r="L985" s="31" t="n"/>
      <c r="M985" s="1" t="n"/>
    </row>
    <row r="986">
      <c r="A986" s="1" t="n"/>
      <c r="B986" s="24" t="n">
        <v>980</v>
      </c>
      <c r="C986" s="61" t="n"/>
      <c r="D986" s="27" t="n"/>
      <c r="E986" s="27" t="n"/>
      <c r="F986" s="27" t="n"/>
      <c r="G986" s="27" t="n"/>
      <c r="H986" s="62" t="n"/>
      <c r="I986" s="31" t="n"/>
      <c r="J986" s="31" t="n"/>
      <c r="K986" s="31" t="n"/>
      <c r="L986" s="31" t="n"/>
      <c r="M986" s="1" t="n"/>
    </row>
    <row r="987">
      <c r="A987" s="1" t="n"/>
      <c r="B987" s="24" t="n">
        <v>981</v>
      </c>
      <c r="C987" s="61" t="n"/>
      <c r="D987" s="27" t="n"/>
      <c r="E987" s="27" t="n"/>
      <c r="F987" s="27" t="n"/>
      <c r="G987" s="27" t="n"/>
      <c r="H987" s="62" t="n"/>
      <c r="I987" s="31" t="n"/>
      <c r="J987" s="31" t="n"/>
      <c r="K987" s="31" t="n"/>
      <c r="L987" s="31" t="n"/>
      <c r="M987" s="1" t="n"/>
    </row>
    <row r="988">
      <c r="A988" s="1" t="n"/>
      <c r="B988" s="24" t="n">
        <v>982</v>
      </c>
      <c r="C988" s="61" t="n"/>
      <c r="D988" s="27" t="n"/>
      <c r="E988" s="27" t="n"/>
      <c r="F988" s="27" t="n"/>
      <c r="G988" s="27" t="n"/>
      <c r="H988" s="62" t="n"/>
      <c r="I988" s="31" t="n"/>
      <c r="J988" s="31" t="n"/>
      <c r="K988" s="31" t="n"/>
      <c r="L988" s="31" t="n"/>
      <c r="M988" s="1" t="n"/>
    </row>
    <row r="989">
      <c r="A989" s="1" t="n"/>
      <c r="B989" s="24" t="n">
        <v>983</v>
      </c>
      <c r="C989" s="61" t="n"/>
      <c r="D989" s="27" t="n"/>
      <c r="E989" s="27" t="n"/>
      <c r="F989" s="27" t="n"/>
      <c r="G989" s="27" t="n"/>
      <c r="H989" s="62" t="n"/>
      <c r="I989" s="31" t="n"/>
      <c r="J989" s="31" t="n"/>
      <c r="K989" s="31" t="n"/>
      <c r="L989" s="31" t="n"/>
      <c r="M989" s="1" t="n"/>
    </row>
    <row r="990">
      <c r="A990" s="1" t="n"/>
      <c r="B990" s="24" t="n">
        <v>984</v>
      </c>
      <c r="C990" s="61" t="n"/>
      <c r="D990" s="27" t="n"/>
      <c r="E990" s="27" t="n"/>
      <c r="F990" s="27" t="n"/>
      <c r="G990" s="27" t="n"/>
      <c r="H990" s="62" t="n"/>
      <c r="I990" s="31" t="n"/>
      <c r="J990" s="31" t="n"/>
      <c r="K990" s="31" t="n"/>
      <c r="L990" s="31" t="n"/>
      <c r="M990" s="1" t="n"/>
    </row>
    <row r="991">
      <c r="A991" s="1" t="n"/>
      <c r="B991" s="24" t="n">
        <v>985</v>
      </c>
      <c r="C991" s="61" t="n"/>
      <c r="D991" s="27" t="n"/>
      <c r="E991" s="27" t="n"/>
      <c r="F991" s="27" t="n"/>
      <c r="G991" s="27" t="n"/>
      <c r="H991" s="62" t="n"/>
      <c r="I991" s="31" t="n"/>
      <c r="J991" s="31" t="n"/>
      <c r="K991" s="31" t="n"/>
      <c r="L991" s="31" t="n"/>
      <c r="M991" s="1" t="n"/>
    </row>
    <row r="992">
      <c r="A992" s="1" t="n"/>
      <c r="B992" s="24" t="n">
        <v>986</v>
      </c>
      <c r="C992" s="61" t="n"/>
      <c r="D992" s="27" t="n"/>
      <c r="E992" s="27" t="n"/>
      <c r="F992" s="27" t="n"/>
      <c r="G992" s="27" t="n"/>
      <c r="H992" s="62" t="n"/>
      <c r="I992" s="31" t="n"/>
      <c r="J992" s="31" t="n"/>
      <c r="K992" s="31" t="n"/>
      <c r="L992" s="31" t="n"/>
      <c r="M992" s="1" t="n"/>
    </row>
    <row r="993">
      <c r="A993" s="1" t="n"/>
      <c r="B993" s="24" t="n">
        <v>987</v>
      </c>
      <c r="C993" s="61" t="n"/>
      <c r="D993" s="27" t="n"/>
      <c r="E993" s="27" t="n"/>
      <c r="F993" s="27" t="n"/>
      <c r="G993" s="27" t="n"/>
      <c r="H993" s="62" t="n"/>
      <c r="I993" s="31" t="n"/>
      <c r="J993" s="31" t="n"/>
      <c r="K993" s="31" t="n"/>
      <c r="L993" s="31" t="n"/>
      <c r="M993" s="1" t="n"/>
    </row>
    <row r="994">
      <c r="A994" s="1" t="n"/>
      <c r="B994" s="24" t="n">
        <v>988</v>
      </c>
      <c r="C994" s="61" t="n"/>
      <c r="D994" s="27" t="n"/>
      <c r="E994" s="27" t="n"/>
      <c r="F994" s="27" t="n"/>
      <c r="G994" s="27" t="n"/>
      <c r="H994" s="62" t="n"/>
      <c r="I994" s="31" t="n"/>
      <c r="J994" s="31" t="n"/>
      <c r="K994" s="31" t="n"/>
      <c r="L994" s="31" t="n"/>
      <c r="M994" s="1" t="n"/>
    </row>
    <row r="995">
      <c r="A995" s="1" t="n"/>
      <c r="B995" s="24" t="n">
        <v>989</v>
      </c>
      <c r="C995" s="61" t="n"/>
      <c r="D995" s="27" t="n"/>
      <c r="E995" s="27" t="n"/>
      <c r="F995" s="27" t="n"/>
      <c r="G995" s="27" t="n"/>
      <c r="H995" s="62" t="n"/>
      <c r="I995" s="31" t="n"/>
      <c r="J995" s="31" t="n"/>
      <c r="K995" s="31" t="n"/>
      <c r="L995" s="31" t="n"/>
      <c r="M995" s="1" t="n"/>
    </row>
    <row r="996">
      <c r="A996" s="1" t="n"/>
      <c r="B996" s="24" t="n">
        <v>990</v>
      </c>
      <c r="C996" s="61" t="n"/>
      <c r="D996" s="27" t="n"/>
      <c r="E996" s="27" t="n"/>
      <c r="F996" s="27" t="n"/>
      <c r="G996" s="27" t="n"/>
      <c r="H996" s="62" t="n"/>
      <c r="I996" s="31" t="n"/>
      <c r="J996" s="31" t="n"/>
      <c r="K996" s="31" t="n"/>
      <c r="L996" s="31" t="n"/>
      <c r="M996" s="1" t="n"/>
    </row>
    <row r="997">
      <c r="A997" s="1" t="n"/>
      <c r="B997" s="24" t="n">
        <v>991</v>
      </c>
      <c r="C997" s="61" t="n"/>
      <c r="D997" s="27" t="n"/>
      <c r="E997" s="27" t="n"/>
      <c r="F997" s="27" t="n"/>
      <c r="G997" s="27" t="n"/>
      <c r="H997" s="62" t="n"/>
      <c r="I997" s="31" t="n"/>
      <c r="J997" s="31" t="n"/>
      <c r="K997" s="31" t="n"/>
      <c r="L997" s="31" t="n"/>
      <c r="M997" s="1" t="n"/>
    </row>
    <row r="998">
      <c r="A998" s="1" t="n"/>
      <c r="B998" s="24" t="n">
        <v>992</v>
      </c>
      <c r="C998" s="61" t="n"/>
      <c r="D998" s="27" t="n"/>
      <c r="E998" s="27" t="n"/>
      <c r="F998" s="27" t="n"/>
      <c r="G998" s="27" t="n"/>
      <c r="H998" s="62" t="n"/>
      <c r="I998" s="31" t="n"/>
      <c r="J998" s="31" t="n"/>
      <c r="K998" s="31" t="n"/>
      <c r="L998" s="31" t="n"/>
      <c r="M998" s="1" t="n"/>
    </row>
    <row r="999">
      <c r="A999" s="1" t="n"/>
      <c r="B999" s="24" t="n">
        <v>993</v>
      </c>
      <c r="C999" s="61" t="n"/>
      <c r="D999" s="27" t="n"/>
      <c r="E999" s="27" t="n"/>
      <c r="F999" s="27" t="n"/>
      <c r="G999" s="27" t="n"/>
      <c r="H999" s="62" t="n"/>
      <c r="I999" s="31" t="n"/>
      <c r="J999" s="31" t="n"/>
      <c r="K999" s="31" t="n"/>
      <c r="L999" s="31" t="n"/>
      <c r="M999" s="1" t="n"/>
    </row>
    <row r="1000">
      <c r="A1000" s="1" t="n"/>
      <c r="B1000" s="24" t="n">
        <v>994</v>
      </c>
      <c r="C1000" s="61" t="n"/>
      <c r="D1000" s="27" t="n"/>
      <c r="E1000" s="27" t="n"/>
      <c r="F1000" s="27" t="n"/>
      <c r="G1000" s="27" t="n"/>
      <c r="H1000" s="62" t="n"/>
      <c r="I1000" s="31" t="n"/>
      <c r="J1000" s="31" t="n"/>
      <c r="K1000" s="31" t="n"/>
      <c r="L1000" s="31" t="n"/>
      <c r="M1000" s="1" t="n"/>
    </row>
    <row r="1001">
      <c r="A1001" s="1" t="n"/>
      <c r="B1001" s="24" t="n">
        <v>995</v>
      </c>
      <c r="C1001" s="61" t="n"/>
      <c r="D1001" s="27" t="n"/>
      <c r="E1001" s="27" t="n"/>
      <c r="F1001" s="27" t="n"/>
      <c r="G1001" s="27" t="n"/>
      <c r="H1001" s="62" t="n"/>
      <c r="I1001" s="31" t="n"/>
      <c r="J1001" s="31" t="n"/>
      <c r="K1001" s="31" t="n"/>
      <c r="L1001" s="31" t="n"/>
      <c r="M1001" s="1" t="n"/>
    </row>
    <row r="1002">
      <c r="A1002" s="1" t="n"/>
      <c r="B1002" s="24" t="n">
        <v>996</v>
      </c>
      <c r="C1002" s="61" t="n"/>
      <c r="D1002" s="27" t="n"/>
      <c r="E1002" s="27" t="n"/>
      <c r="F1002" s="27" t="n"/>
      <c r="G1002" s="27" t="n"/>
      <c r="H1002" s="62" t="n"/>
      <c r="I1002" s="31" t="n"/>
      <c r="J1002" s="31" t="n"/>
      <c r="K1002" s="31" t="n"/>
      <c r="L1002" s="31" t="n"/>
      <c r="M1002" s="1" t="n"/>
    </row>
    <row r="1003">
      <c r="A1003" s="1" t="n"/>
      <c r="B1003" s="24" t="n">
        <v>997</v>
      </c>
      <c r="C1003" s="61" t="n"/>
      <c r="D1003" s="27" t="n"/>
      <c r="E1003" s="27" t="n"/>
      <c r="F1003" s="27" t="n"/>
      <c r="G1003" s="27" t="n"/>
      <c r="H1003" s="62" t="n"/>
      <c r="I1003" s="31" t="n"/>
      <c r="J1003" s="31" t="n"/>
      <c r="K1003" s="31" t="n"/>
      <c r="L1003" s="31" t="n"/>
      <c r="M1003" s="1" t="n"/>
    </row>
    <row r="1004">
      <c r="A1004" s="1" t="n"/>
      <c r="B1004" s="24" t="n">
        <v>998</v>
      </c>
      <c r="C1004" s="61" t="n"/>
      <c r="D1004" s="27" t="n"/>
      <c r="E1004" s="27" t="n"/>
      <c r="F1004" s="27" t="n"/>
      <c r="G1004" s="27" t="n"/>
      <c r="H1004" s="62" t="n"/>
      <c r="I1004" s="31" t="n"/>
      <c r="J1004" s="31" t="n"/>
      <c r="K1004" s="31" t="n"/>
      <c r="L1004" s="31" t="n"/>
      <c r="M1004" s="1" t="n"/>
    </row>
    <row r="1005">
      <c r="A1005" s="1" t="n"/>
      <c r="B1005" s="24" t="n">
        <v>999</v>
      </c>
      <c r="C1005" s="61" t="n"/>
      <c r="D1005" s="27" t="n"/>
      <c r="E1005" s="27" t="n"/>
      <c r="F1005" s="27" t="n"/>
      <c r="G1005" s="27" t="n"/>
      <c r="H1005" s="62" t="n"/>
      <c r="I1005" s="31" t="n"/>
      <c r="J1005" s="31" t="n"/>
      <c r="K1005" s="31" t="n"/>
      <c r="L1005" s="31" t="n"/>
      <c r="M1005" s="1" t="n"/>
    </row>
    <row r="1006">
      <c r="A1006" s="1" t="n"/>
      <c r="B1006" s="24" t="n">
        <v>1000</v>
      </c>
      <c r="C1006" s="61" t="n"/>
      <c r="D1006" s="27" t="n"/>
      <c r="E1006" s="27" t="n"/>
      <c r="F1006" s="27" t="n"/>
      <c r="G1006" s="27" t="n"/>
      <c r="H1006" s="62" t="n"/>
      <c r="I1006" s="31" t="n"/>
      <c r="J1006" s="31" t="n"/>
      <c r="K1006" s="31" t="n"/>
      <c r="L1006" s="31" t="n"/>
      <c r="M1006" s="1" t="n"/>
    </row>
    <row r="1007">
      <c r="A1007" s="1" t="n"/>
      <c r="B1007" s="24" t="n">
        <v>1001</v>
      </c>
      <c r="C1007" s="61" t="n"/>
      <c r="D1007" s="27" t="n"/>
      <c r="E1007" s="27" t="n"/>
      <c r="F1007" s="27" t="n"/>
      <c r="G1007" s="27" t="n"/>
      <c r="H1007" s="62" t="n"/>
      <c r="I1007" s="31" t="n"/>
      <c r="J1007" s="31" t="n"/>
      <c r="K1007" s="31" t="n"/>
      <c r="L1007" s="31" t="n"/>
      <c r="M1007" s="1" t="n"/>
    </row>
    <row r="1008">
      <c r="A1008" s="1" t="n"/>
      <c r="B1008" s="24" t="n">
        <v>1002</v>
      </c>
      <c r="C1008" s="61" t="n"/>
      <c r="D1008" s="27" t="n"/>
      <c r="E1008" s="27" t="n"/>
      <c r="F1008" s="27" t="n"/>
      <c r="G1008" s="27" t="n"/>
      <c r="H1008" s="62" t="n"/>
      <c r="I1008" s="31" t="n"/>
      <c r="J1008" s="31" t="n"/>
      <c r="K1008" s="31" t="n"/>
      <c r="L1008" s="31" t="n"/>
      <c r="M1008" s="1" t="n"/>
    </row>
    <row r="1009">
      <c r="A1009" s="1" t="n"/>
      <c r="B1009" s="24" t="n">
        <v>1003</v>
      </c>
      <c r="C1009" s="61" t="n"/>
      <c r="D1009" s="27" t="n"/>
      <c r="E1009" s="27" t="n"/>
      <c r="F1009" s="27" t="n"/>
      <c r="G1009" s="27" t="n"/>
      <c r="H1009" s="62" t="n"/>
      <c r="I1009" s="31" t="n"/>
      <c r="J1009" s="31" t="n"/>
      <c r="K1009" s="31" t="n"/>
      <c r="L1009" s="31" t="n"/>
      <c r="M1009" s="1" t="n"/>
    </row>
    <row r="1010">
      <c r="A1010" s="1" t="n"/>
      <c r="B1010" s="24" t="n">
        <v>1004</v>
      </c>
      <c r="C1010" s="61" t="n"/>
      <c r="D1010" s="27" t="n"/>
      <c r="E1010" s="27" t="n"/>
      <c r="F1010" s="27" t="n"/>
      <c r="G1010" s="27" t="n"/>
      <c r="H1010" s="62" t="n"/>
      <c r="I1010" s="31" t="n"/>
      <c r="J1010" s="31" t="n"/>
      <c r="K1010" s="31" t="n"/>
      <c r="L1010" s="31" t="n"/>
      <c r="M1010" s="1" t="n"/>
    </row>
    <row r="1011">
      <c r="A1011" s="1" t="n"/>
      <c r="B1011" s="24" t="n">
        <v>1005</v>
      </c>
      <c r="C1011" s="61" t="n"/>
      <c r="D1011" s="27" t="n"/>
      <c r="E1011" s="27" t="n"/>
      <c r="F1011" s="27" t="n"/>
      <c r="G1011" s="27" t="n"/>
      <c r="H1011" s="62" t="n"/>
      <c r="I1011" s="31" t="n"/>
      <c r="J1011" s="31" t="n"/>
      <c r="K1011" s="31" t="n"/>
      <c r="L1011" s="31" t="n"/>
      <c r="M1011" s="1" t="n"/>
    </row>
    <row r="1012">
      <c r="A1012" s="1" t="n"/>
      <c r="B1012" s="24" t="n">
        <v>1006</v>
      </c>
      <c r="C1012" s="61" t="n"/>
      <c r="D1012" s="27" t="n"/>
      <c r="E1012" s="27" t="n"/>
      <c r="F1012" s="27" t="n"/>
      <c r="G1012" s="27" t="n"/>
      <c r="H1012" s="62" t="n"/>
      <c r="I1012" s="31" t="n"/>
      <c r="J1012" s="31" t="n"/>
      <c r="K1012" s="31" t="n"/>
      <c r="L1012" s="31" t="n"/>
      <c r="M1012" s="1" t="n"/>
    </row>
    <row r="1013">
      <c r="A1013" s="1" t="n"/>
      <c r="B1013" s="24" t="n">
        <v>1007</v>
      </c>
      <c r="C1013" s="61" t="n"/>
      <c r="D1013" s="27" t="n"/>
      <c r="E1013" s="27" t="n"/>
      <c r="F1013" s="27" t="n"/>
      <c r="G1013" s="27" t="n"/>
      <c r="H1013" s="62" t="n"/>
      <c r="I1013" s="31" t="n"/>
      <c r="J1013" s="31" t="n"/>
      <c r="K1013" s="31" t="n"/>
      <c r="L1013" s="31" t="n"/>
      <c r="M1013" s="1" t="n"/>
    </row>
    <row r="1014">
      <c r="A1014" s="1" t="n"/>
      <c r="B1014" s="24" t="n">
        <v>1008</v>
      </c>
      <c r="C1014" s="61" t="n"/>
      <c r="D1014" s="27" t="n"/>
      <c r="E1014" s="27" t="n"/>
      <c r="F1014" s="27" t="n"/>
      <c r="G1014" s="27" t="n"/>
      <c r="H1014" s="62" t="n"/>
      <c r="I1014" s="31" t="n"/>
      <c r="J1014" s="31" t="n"/>
      <c r="K1014" s="31" t="n"/>
      <c r="L1014" s="31" t="n"/>
      <c r="M1014" s="1" t="n"/>
    </row>
    <row r="1015">
      <c r="A1015" s="1" t="n"/>
      <c r="B1015" s="24" t="n">
        <v>1009</v>
      </c>
      <c r="C1015" s="61" t="n"/>
      <c r="D1015" s="27" t="n"/>
      <c r="E1015" s="27" t="n"/>
      <c r="F1015" s="27" t="n"/>
      <c r="G1015" s="27" t="n"/>
      <c r="H1015" s="62" t="n"/>
      <c r="I1015" s="31" t="n"/>
      <c r="J1015" s="31" t="n"/>
      <c r="K1015" s="31" t="n"/>
      <c r="L1015" s="31" t="n"/>
      <c r="M1015" s="1" t="n"/>
    </row>
    <row r="1016">
      <c r="A1016" s="1" t="n"/>
      <c r="B1016" s="24" t="n">
        <v>1010</v>
      </c>
      <c r="C1016" s="61" t="n"/>
      <c r="D1016" s="27" t="n"/>
      <c r="E1016" s="27" t="n"/>
      <c r="F1016" s="27" t="n"/>
      <c r="G1016" s="27" t="n"/>
      <c r="H1016" s="62" t="n"/>
      <c r="I1016" s="31" t="n"/>
      <c r="J1016" s="31" t="n"/>
      <c r="K1016" s="31" t="n"/>
      <c r="L1016" s="31" t="n"/>
      <c r="M1016" s="1" t="n"/>
    </row>
    <row r="1017">
      <c r="A1017" s="1" t="n"/>
      <c r="B1017" s="24" t="n">
        <v>1011</v>
      </c>
      <c r="C1017" s="61" t="n"/>
      <c r="D1017" s="27" t="n"/>
      <c r="E1017" s="27" t="n"/>
      <c r="F1017" s="27" t="n"/>
      <c r="G1017" s="27" t="n"/>
      <c r="H1017" s="62" t="n"/>
      <c r="I1017" s="31" t="n"/>
      <c r="J1017" s="31" t="n"/>
      <c r="K1017" s="31" t="n"/>
      <c r="L1017" s="31" t="n"/>
      <c r="M1017" s="1" t="n"/>
    </row>
    <row r="1018">
      <c r="A1018" s="1" t="n"/>
      <c r="B1018" s="24" t="n">
        <v>1012</v>
      </c>
      <c r="C1018" s="61" t="n"/>
      <c r="D1018" s="27" t="n"/>
      <c r="E1018" s="27" t="n"/>
      <c r="F1018" s="27" t="n"/>
      <c r="G1018" s="27" t="n"/>
      <c r="H1018" s="62" t="n"/>
      <c r="I1018" s="31" t="n"/>
      <c r="J1018" s="31" t="n"/>
      <c r="K1018" s="31" t="n"/>
      <c r="L1018" s="31" t="n"/>
      <c r="M1018" s="1" t="n"/>
    </row>
    <row r="1019">
      <c r="A1019" s="1" t="n"/>
      <c r="B1019" s="24" t="n">
        <v>1013</v>
      </c>
      <c r="C1019" s="61" t="n"/>
      <c r="D1019" s="27" t="n"/>
      <c r="E1019" s="27" t="n"/>
      <c r="F1019" s="27" t="n"/>
      <c r="G1019" s="27" t="n"/>
      <c r="H1019" s="62" t="n"/>
      <c r="I1019" s="31" t="n"/>
      <c r="J1019" s="31" t="n"/>
      <c r="K1019" s="31" t="n"/>
      <c r="L1019" s="31" t="n"/>
      <c r="M1019" s="1" t="n"/>
    </row>
    <row r="1020">
      <c r="A1020" s="1" t="n"/>
      <c r="B1020" s="24" t="n">
        <v>1014</v>
      </c>
      <c r="C1020" s="61" t="n"/>
      <c r="D1020" s="27" t="n"/>
      <c r="E1020" s="27" t="n"/>
      <c r="F1020" s="27" t="n"/>
      <c r="G1020" s="27" t="n"/>
      <c r="H1020" s="62" t="n"/>
      <c r="I1020" s="31" t="n"/>
      <c r="J1020" s="31" t="n"/>
      <c r="K1020" s="31" t="n"/>
      <c r="L1020" s="31" t="n"/>
      <c r="M1020" s="1" t="n"/>
    </row>
    <row r="1021">
      <c r="A1021" s="1" t="n"/>
      <c r="B1021" s="24" t="n">
        <v>1015</v>
      </c>
      <c r="C1021" s="61" t="n"/>
      <c r="D1021" s="27" t="n"/>
      <c r="E1021" s="27" t="n"/>
      <c r="F1021" s="27" t="n"/>
      <c r="G1021" s="27" t="n"/>
      <c r="H1021" s="62" t="n"/>
      <c r="I1021" s="31" t="n"/>
      <c r="J1021" s="31" t="n"/>
      <c r="K1021" s="31" t="n"/>
      <c r="L1021" s="31" t="n"/>
      <c r="M1021" s="1" t="n"/>
    </row>
    <row r="1022">
      <c r="A1022" s="1" t="n"/>
      <c r="B1022" s="24" t="n">
        <v>1016</v>
      </c>
      <c r="C1022" s="61" t="n"/>
      <c r="D1022" s="27" t="n"/>
      <c r="E1022" s="27" t="n"/>
      <c r="F1022" s="27" t="n"/>
      <c r="G1022" s="27" t="n"/>
      <c r="H1022" s="62" t="n"/>
      <c r="I1022" s="31" t="n"/>
      <c r="J1022" s="31" t="n"/>
      <c r="K1022" s="31" t="n"/>
      <c r="L1022" s="31" t="n"/>
      <c r="M1022" s="1" t="n"/>
    </row>
    <row r="1023">
      <c r="A1023" s="1" t="n"/>
      <c r="B1023" s="24" t="n">
        <v>1017</v>
      </c>
      <c r="C1023" s="61" t="n"/>
      <c r="D1023" s="27" t="n"/>
      <c r="E1023" s="27" t="n"/>
      <c r="F1023" s="27" t="n"/>
      <c r="G1023" s="27" t="n"/>
      <c r="H1023" s="62" t="n"/>
      <c r="I1023" s="31" t="n"/>
      <c r="J1023" s="31" t="n"/>
      <c r="K1023" s="31" t="n"/>
      <c r="L1023" s="31" t="n"/>
      <c r="M1023" s="1" t="n"/>
    </row>
    <row r="1024">
      <c r="A1024" s="1" t="n"/>
      <c r="B1024" s="24" t="n">
        <v>1018</v>
      </c>
      <c r="C1024" s="61" t="n"/>
      <c r="D1024" s="27" t="n"/>
      <c r="E1024" s="27" t="n"/>
      <c r="F1024" s="27" t="n"/>
      <c r="G1024" s="27" t="n"/>
      <c r="H1024" s="62" t="n"/>
      <c r="I1024" s="31" t="n"/>
      <c r="J1024" s="31" t="n"/>
      <c r="K1024" s="31" t="n"/>
      <c r="L1024" s="31" t="n"/>
      <c r="M1024" s="1" t="n"/>
    </row>
    <row r="1025">
      <c r="A1025" s="1" t="n"/>
      <c r="B1025" s="24" t="n">
        <v>1019</v>
      </c>
      <c r="C1025" s="61" t="n"/>
      <c r="D1025" s="27" t="n"/>
      <c r="E1025" s="27" t="n"/>
      <c r="F1025" s="27" t="n"/>
      <c r="G1025" s="27" t="n"/>
      <c r="H1025" s="62" t="n"/>
      <c r="I1025" s="31" t="n"/>
      <c r="J1025" s="31" t="n"/>
      <c r="K1025" s="31" t="n"/>
      <c r="L1025" s="31" t="n"/>
      <c r="M1025" s="1" t="n"/>
    </row>
    <row r="1026">
      <c r="A1026" s="1" t="n"/>
      <c r="B1026" s="24" t="n">
        <v>1020</v>
      </c>
      <c r="C1026" s="61" t="n"/>
      <c r="D1026" s="27" t="n"/>
      <c r="E1026" s="27" t="n"/>
      <c r="F1026" s="27" t="n"/>
      <c r="G1026" s="27" t="n"/>
      <c r="H1026" s="62" t="n"/>
      <c r="I1026" s="31" t="n"/>
      <c r="J1026" s="31" t="n"/>
      <c r="K1026" s="31" t="n"/>
      <c r="L1026" s="31" t="n"/>
      <c r="M1026" s="1" t="n"/>
    </row>
    <row r="1027">
      <c r="A1027" s="1" t="n"/>
      <c r="B1027" s="24" t="n">
        <v>1021</v>
      </c>
      <c r="C1027" s="61" t="n"/>
      <c r="D1027" s="27" t="n"/>
      <c r="E1027" s="27" t="n"/>
      <c r="F1027" s="27" t="n"/>
      <c r="G1027" s="27" t="n"/>
      <c r="H1027" s="62" t="n"/>
      <c r="I1027" s="31" t="n"/>
      <c r="J1027" s="31" t="n"/>
      <c r="K1027" s="31" t="n"/>
      <c r="L1027" s="31" t="n"/>
      <c r="M1027" s="1" t="n"/>
    </row>
    <row r="1028">
      <c r="A1028" s="1" t="n"/>
      <c r="B1028" s="24" t="n">
        <v>1022</v>
      </c>
      <c r="C1028" s="61" t="n"/>
      <c r="D1028" s="27" t="n"/>
      <c r="E1028" s="27" t="n"/>
      <c r="F1028" s="27" t="n"/>
      <c r="G1028" s="27" t="n"/>
      <c r="H1028" s="62" t="n"/>
      <c r="I1028" s="31" t="n"/>
      <c r="J1028" s="31" t="n"/>
      <c r="K1028" s="31" t="n"/>
      <c r="L1028" s="31" t="n"/>
      <c r="M1028" s="1" t="n"/>
    </row>
    <row r="1029">
      <c r="A1029" s="1" t="n"/>
      <c r="B1029" s="24" t="n">
        <v>1023</v>
      </c>
      <c r="C1029" s="61" t="n"/>
      <c r="D1029" s="27" t="n"/>
      <c r="E1029" s="27" t="n"/>
      <c r="F1029" s="27" t="n"/>
      <c r="G1029" s="27" t="n"/>
      <c r="H1029" s="62" t="n"/>
      <c r="I1029" s="31" t="n"/>
      <c r="J1029" s="31" t="n"/>
      <c r="K1029" s="31" t="n"/>
      <c r="L1029" s="31" t="n"/>
      <c r="M1029" s="1" t="n"/>
    </row>
    <row r="1030">
      <c r="A1030" s="1" t="n"/>
      <c r="B1030" s="24" t="n">
        <v>1024</v>
      </c>
      <c r="C1030" s="61" t="n"/>
      <c r="D1030" s="27" t="n"/>
      <c r="E1030" s="27" t="n"/>
      <c r="F1030" s="27" t="n"/>
      <c r="G1030" s="27" t="n"/>
      <c r="H1030" s="62" t="n"/>
      <c r="I1030" s="31" t="n"/>
      <c r="J1030" s="31" t="n"/>
      <c r="K1030" s="31" t="n"/>
      <c r="L1030" s="31" t="n"/>
      <c r="M1030" s="1" t="n"/>
    </row>
    <row r="1031">
      <c r="A1031" s="1" t="n"/>
      <c r="B1031" s="24" t="n">
        <v>1025</v>
      </c>
      <c r="C1031" s="61" t="n"/>
      <c r="D1031" s="27" t="n"/>
      <c r="E1031" s="27" t="n"/>
      <c r="F1031" s="27" t="n"/>
      <c r="G1031" s="27" t="n"/>
      <c r="H1031" s="62" t="n"/>
      <c r="I1031" s="31" t="n"/>
      <c r="J1031" s="31" t="n"/>
      <c r="K1031" s="31" t="n"/>
      <c r="L1031" s="31" t="n"/>
      <c r="M1031" s="1" t="n"/>
    </row>
    <row r="1032">
      <c r="A1032" s="1" t="n"/>
      <c r="B1032" s="24" t="n">
        <v>1026</v>
      </c>
      <c r="C1032" s="61" t="n"/>
      <c r="D1032" s="27" t="n"/>
      <c r="E1032" s="27" t="n"/>
      <c r="F1032" s="27" t="n"/>
      <c r="G1032" s="27" t="n"/>
      <c r="H1032" s="62" t="n"/>
      <c r="I1032" s="31" t="n"/>
      <c r="J1032" s="31" t="n"/>
      <c r="K1032" s="31" t="n"/>
      <c r="L1032" s="31" t="n"/>
      <c r="M1032" s="1" t="n"/>
    </row>
    <row r="1033">
      <c r="A1033" s="1" t="n"/>
      <c r="B1033" s="24" t="n">
        <v>1027</v>
      </c>
      <c r="C1033" s="61" t="n"/>
      <c r="D1033" s="27" t="n"/>
      <c r="E1033" s="27" t="n"/>
      <c r="F1033" s="27" t="n"/>
      <c r="G1033" s="27" t="n"/>
      <c r="H1033" s="62" t="n"/>
      <c r="I1033" s="31" t="n"/>
      <c r="J1033" s="31" t="n"/>
      <c r="K1033" s="31" t="n"/>
      <c r="L1033" s="31" t="n"/>
      <c r="M1033" s="1" t="n"/>
    </row>
    <row r="1034">
      <c r="A1034" s="1" t="n"/>
      <c r="B1034" s="24" t="n">
        <v>1028</v>
      </c>
      <c r="C1034" s="61" t="n"/>
      <c r="D1034" s="27" t="n"/>
      <c r="E1034" s="27" t="n"/>
      <c r="F1034" s="27" t="n"/>
      <c r="G1034" s="27" t="n"/>
      <c r="H1034" s="62" t="n"/>
      <c r="I1034" s="31" t="n"/>
      <c r="J1034" s="31" t="n"/>
      <c r="K1034" s="31" t="n"/>
      <c r="L1034" s="31" t="n"/>
      <c r="M1034" s="1" t="n"/>
    </row>
    <row r="1035">
      <c r="A1035" s="1" t="n"/>
      <c r="B1035" s="24" t="n">
        <v>1029</v>
      </c>
      <c r="C1035" s="61" t="n"/>
      <c r="D1035" s="27" t="n"/>
      <c r="E1035" s="27" t="n"/>
      <c r="F1035" s="27" t="n"/>
      <c r="G1035" s="27" t="n"/>
      <c r="H1035" s="62" t="n"/>
      <c r="I1035" s="31" t="n"/>
      <c r="J1035" s="31" t="n"/>
      <c r="K1035" s="31" t="n"/>
      <c r="L1035" s="31" t="n"/>
      <c r="M1035" s="1" t="n"/>
    </row>
    <row r="1036">
      <c r="A1036" s="1" t="n"/>
      <c r="B1036" s="24" t="n">
        <v>1030</v>
      </c>
      <c r="C1036" s="61" t="n"/>
      <c r="D1036" s="27" t="n"/>
      <c r="E1036" s="27" t="n"/>
      <c r="F1036" s="27" t="n"/>
      <c r="G1036" s="27" t="n"/>
      <c r="H1036" s="62" t="n"/>
      <c r="I1036" s="31" t="n"/>
      <c r="J1036" s="31" t="n"/>
      <c r="K1036" s="31" t="n"/>
      <c r="L1036" s="31" t="n"/>
      <c r="M1036" s="1" t="n"/>
    </row>
    <row r="1037">
      <c r="A1037" s="1" t="n"/>
      <c r="B1037" s="24" t="n">
        <v>1031</v>
      </c>
      <c r="C1037" s="61" t="n"/>
      <c r="D1037" s="27" t="n"/>
      <c r="E1037" s="27" t="n"/>
      <c r="F1037" s="27" t="n"/>
      <c r="G1037" s="27" t="n"/>
      <c r="H1037" s="62" t="n"/>
      <c r="I1037" s="31" t="n"/>
      <c r="J1037" s="31" t="n"/>
      <c r="K1037" s="31" t="n"/>
      <c r="L1037" s="31" t="n"/>
      <c r="M1037" s="1" t="n"/>
    </row>
    <row r="1038">
      <c r="A1038" s="1" t="n"/>
      <c r="B1038" s="24" t="n">
        <v>1032</v>
      </c>
      <c r="C1038" s="61" t="n"/>
      <c r="D1038" s="27" t="n"/>
      <c r="E1038" s="27" t="n"/>
      <c r="F1038" s="27" t="n"/>
      <c r="G1038" s="27" t="n"/>
      <c r="H1038" s="62" t="n"/>
      <c r="I1038" s="31" t="n"/>
      <c r="J1038" s="31" t="n"/>
      <c r="K1038" s="31" t="n"/>
      <c r="L1038" s="31" t="n"/>
      <c r="M1038" s="1" t="n"/>
    </row>
    <row r="1039">
      <c r="A1039" s="1" t="n"/>
      <c r="B1039" s="24" t="n">
        <v>1033</v>
      </c>
      <c r="C1039" s="61" t="n"/>
      <c r="D1039" s="27" t="n"/>
      <c r="E1039" s="27" t="n"/>
      <c r="F1039" s="27" t="n"/>
      <c r="G1039" s="27" t="n"/>
      <c r="H1039" s="62" t="n"/>
      <c r="I1039" s="31" t="n"/>
      <c r="J1039" s="31" t="n"/>
      <c r="K1039" s="31" t="n"/>
      <c r="L1039" s="31" t="n"/>
      <c r="M1039" s="1" t="n"/>
    </row>
    <row r="1040">
      <c r="A1040" s="1" t="n"/>
      <c r="B1040" s="24" t="n">
        <v>1034</v>
      </c>
      <c r="C1040" s="61" t="n"/>
      <c r="D1040" s="27" t="n"/>
      <c r="E1040" s="27" t="n"/>
      <c r="F1040" s="27" t="n"/>
      <c r="G1040" s="27" t="n"/>
      <c r="H1040" s="62" t="n"/>
      <c r="I1040" s="31" t="n"/>
      <c r="J1040" s="31" t="n"/>
      <c r="K1040" s="31" t="n"/>
      <c r="L1040" s="31" t="n"/>
      <c r="M1040" s="1" t="n"/>
    </row>
    <row r="1041">
      <c r="A1041" s="1" t="n"/>
      <c r="B1041" s="24" t="n">
        <v>1035</v>
      </c>
      <c r="C1041" s="61" t="n"/>
      <c r="D1041" s="27" t="n"/>
      <c r="E1041" s="27" t="n"/>
      <c r="F1041" s="27" t="n"/>
      <c r="G1041" s="27" t="n"/>
      <c r="H1041" s="62" t="n"/>
      <c r="I1041" s="31" t="n"/>
      <c r="J1041" s="31" t="n"/>
      <c r="K1041" s="31" t="n"/>
      <c r="L1041" s="31" t="n"/>
      <c r="M1041" s="1" t="n"/>
    </row>
    <row r="1042">
      <c r="A1042" s="1" t="n"/>
      <c r="B1042" s="24" t="n">
        <v>1036</v>
      </c>
      <c r="C1042" s="61" t="n"/>
      <c r="D1042" s="27" t="n"/>
      <c r="E1042" s="27" t="n"/>
      <c r="F1042" s="27" t="n"/>
      <c r="G1042" s="27" t="n"/>
      <c r="H1042" s="62" t="n"/>
      <c r="I1042" s="31" t="n"/>
      <c r="J1042" s="31" t="n"/>
      <c r="K1042" s="31" t="n"/>
      <c r="L1042" s="31" t="n"/>
      <c r="M1042" s="1" t="n"/>
    </row>
    <row r="1043">
      <c r="A1043" s="1" t="n"/>
      <c r="B1043" s="24" t="n">
        <v>1037</v>
      </c>
      <c r="C1043" s="61" t="n"/>
      <c r="D1043" s="27" t="n"/>
      <c r="E1043" s="27" t="n"/>
      <c r="F1043" s="27" t="n"/>
      <c r="G1043" s="27" t="n"/>
      <c r="H1043" s="62" t="n"/>
      <c r="I1043" s="31" t="n"/>
      <c r="J1043" s="31" t="n"/>
      <c r="K1043" s="31" t="n"/>
      <c r="L1043" s="31" t="n"/>
      <c r="M1043" s="1" t="n"/>
    </row>
    <row r="1044">
      <c r="A1044" s="1" t="n"/>
      <c r="B1044" s="24" t="n">
        <v>1038</v>
      </c>
      <c r="C1044" s="61" t="n"/>
      <c r="D1044" s="27" t="n"/>
      <c r="E1044" s="27" t="n"/>
      <c r="F1044" s="27" t="n"/>
      <c r="G1044" s="27" t="n"/>
      <c r="H1044" s="62" t="n"/>
      <c r="I1044" s="31" t="n"/>
      <c r="J1044" s="31" t="n"/>
      <c r="K1044" s="31" t="n"/>
      <c r="L1044" s="31" t="n"/>
      <c r="M1044" s="1" t="n"/>
    </row>
    <row r="1045">
      <c r="A1045" s="1" t="n"/>
      <c r="B1045" s="24" t="n">
        <v>1039</v>
      </c>
      <c r="C1045" s="61" t="n"/>
      <c r="D1045" s="27" t="n"/>
      <c r="E1045" s="27" t="n"/>
      <c r="F1045" s="27" t="n"/>
      <c r="G1045" s="27" t="n"/>
      <c r="H1045" s="62" t="n"/>
      <c r="I1045" s="31" t="n"/>
      <c r="J1045" s="31" t="n"/>
      <c r="K1045" s="31" t="n"/>
      <c r="L1045" s="31" t="n"/>
      <c r="M1045" s="1" t="n"/>
    </row>
    <row r="1046">
      <c r="A1046" s="1" t="n"/>
      <c r="B1046" s="24" t="n">
        <v>1040</v>
      </c>
      <c r="C1046" s="61" t="n"/>
      <c r="D1046" s="27" t="n"/>
      <c r="E1046" s="27" t="n"/>
      <c r="F1046" s="27" t="n"/>
      <c r="G1046" s="27" t="n"/>
      <c r="H1046" s="62" t="n"/>
      <c r="I1046" s="31" t="n"/>
      <c r="J1046" s="31" t="n"/>
      <c r="K1046" s="31" t="n"/>
      <c r="L1046" s="31" t="n"/>
      <c r="M1046" s="1" t="n"/>
    </row>
    <row r="1047">
      <c r="A1047" s="1" t="n"/>
      <c r="B1047" s="24" t="n">
        <v>1041</v>
      </c>
      <c r="C1047" s="61" t="n"/>
      <c r="D1047" s="27" t="n"/>
      <c r="E1047" s="27" t="n"/>
      <c r="F1047" s="27" t="n"/>
      <c r="G1047" s="27" t="n"/>
      <c r="H1047" s="62" t="n"/>
      <c r="I1047" s="31" t="n"/>
      <c r="J1047" s="31" t="n"/>
      <c r="K1047" s="31" t="n"/>
      <c r="L1047" s="31" t="n"/>
      <c r="M1047" s="1" t="n"/>
    </row>
    <row r="1048">
      <c r="A1048" s="1" t="n"/>
      <c r="B1048" s="24" t="n">
        <v>1042</v>
      </c>
      <c r="C1048" s="61" t="n"/>
      <c r="D1048" s="27" t="n"/>
      <c r="E1048" s="27" t="n"/>
      <c r="F1048" s="27" t="n"/>
      <c r="G1048" s="27" t="n"/>
      <c r="H1048" s="62" t="n"/>
      <c r="I1048" s="31" t="n"/>
      <c r="J1048" s="31" t="n"/>
      <c r="K1048" s="31" t="n"/>
      <c r="L1048" s="31" t="n"/>
      <c r="M1048" s="1" t="n"/>
    </row>
    <row r="1049">
      <c r="A1049" s="1" t="n"/>
      <c r="B1049" s="24" t="n">
        <v>1043</v>
      </c>
      <c r="C1049" s="61" t="n"/>
      <c r="D1049" s="27" t="n"/>
      <c r="E1049" s="27" t="n"/>
      <c r="F1049" s="27" t="n"/>
      <c r="G1049" s="27" t="n"/>
      <c r="H1049" s="62" t="n"/>
      <c r="I1049" s="31" t="n"/>
      <c r="J1049" s="31" t="n"/>
      <c r="K1049" s="31" t="n"/>
      <c r="L1049" s="31" t="n"/>
      <c r="M1049" s="1" t="n"/>
    </row>
    <row r="1050">
      <c r="A1050" s="1" t="n"/>
      <c r="B1050" s="24" t="n">
        <v>1044</v>
      </c>
      <c r="C1050" s="61" t="n"/>
      <c r="D1050" s="27" t="n"/>
      <c r="E1050" s="27" t="n"/>
      <c r="F1050" s="27" t="n"/>
      <c r="G1050" s="27" t="n"/>
      <c r="H1050" s="62" t="n"/>
      <c r="I1050" s="31" t="n"/>
      <c r="J1050" s="31" t="n"/>
      <c r="K1050" s="31" t="n"/>
      <c r="L1050" s="31" t="n"/>
      <c r="M1050" s="1" t="n"/>
    </row>
    <row r="1051">
      <c r="A1051" s="1" t="n"/>
      <c r="B1051" s="24" t="n">
        <v>1045</v>
      </c>
      <c r="C1051" s="61" t="n"/>
      <c r="D1051" s="27" t="n"/>
      <c r="E1051" s="27" t="n"/>
      <c r="F1051" s="27" t="n"/>
      <c r="G1051" s="27" t="n"/>
      <c r="H1051" s="62" t="n"/>
      <c r="I1051" s="31" t="n"/>
      <c r="J1051" s="31" t="n"/>
      <c r="K1051" s="31" t="n"/>
      <c r="L1051" s="31" t="n"/>
      <c r="M1051" s="1" t="n"/>
    </row>
    <row r="1052">
      <c r="A1052" s="1" t="n"/>
      <c r="B1052" s="24" t="n">
        <v>1046</v>
      </c>
      <c r="C1052" s="61" t="n"/>
      <c r="D1052" s="27" t="n"/>
      <c r="E1052" s="27" t="n"/>
      <c r="F1052" s="27" t="n"/>
      <c r="G1052" s="27" t="n"/>
      <c r="H1052" s="62" t="n"/>
      <c r="I1052" s="31" t="n"/>
      <c r="J1052" s="31" t="n"/>
      <c r="K1052" s="31" t="n"/>
      <c r="L1052" s="31" t="n"/>
      <c r="M1052" s="1" t="n"/>
    </row>
    <row r="1053">
      <c r="A1053" s="1" t="n"/>
      <c r="B1053" s="24" t="n">
        <v>1047</v>
      </c>
      <c r="C1053" s="61" t="n"/>
      <c r="D1053" s="27" t="n"/>
      <c r="E1053" s="27" t="n"/>
      <c r="F1053" s="27" t="n"/>
      <c r="G1053" s="27" t="n"/>
      <c r="H1053" s="62" t="n"/>
      <c r="I1053" s="31" t="n"/>
      <c r="J1053" s="31" t="n"/>
      <c r="K1053" s="31" t="n"/>
      <c r="L1053" s="31" t="n"/>
      <c r="M1053" s="1" t="n"/>
    </row>
    <row r="1054">
      <c r="A1054" s="1" t="n"/>
      <c r="B1054" s="24" t="n">
        <v>1048</v>
      </c>
      <c r="C1054" s="61" t="n"/>
      <c r="D1054" s="27" t="n"/>
      <c r="E1054" s="27" t="n"/>
      <c r="F1054" s="27" t="n"/>
      <c r="G1054" s="27" t="n"/>
      <c r="H1054" s="62" t="n"/>
      <c r="I1054" s="31" t="n"/>
      <c r="J1054" s="31" t="n"/>
      <c r="K1054" s="31" t="n"/>
      <c r="L1054" s="31" t="n"/>
      <c r="M1054" s="1" t="n"/>
    </row>
    <row r="1055">
      <c r="A1055" s="1" t="n"/>
      <c r="B1055" s="24" t="n">
        <v>1049</v>
      </c>
      <c r="C1055" s="61" t="n"/>
      <c r="D1055" s="27" t="n"/>
      <c r="E1055" s="27" t="n"/>
      <c r="F1055" s="27" t="n"/>
      <c r="G1055" s="27" t="n"/>
      <c r="H1055" s="62" t="n"/>
      <c r="I1055" s="31" t="n"/>
      <c r="J1055" s="31" t="n"/>
      <c r="K1055" s="31" t="n"/>
      <c r="L1055" s="31" t="n"/>
      <c r="M1055" s="1" t="n"/>
    </row>
    <row r="1056">
      <c r="A1056" s="1" t="n"/>
      <c r="B1056" s="24" t="n">
        <v>1050</v>
      </c>
      <c r="C1056" s="61" t="n"/>
      <c r="D1056" s="27" t="n"/>
      <c r="E1056" s="27" t="n"/>
      <c r="F1056" s="27" t="n"/>
      <c r="G1056" s="27" t="n"/>
      <c r="H1056" s="62" t="n"/>
      <c r="I1056" s="31" t="n"/>
      <c r="J1056" s="31" t="n"/>
      <c r="K1056" s="31" t="n"/>
      <c r="L1056" s="31" t="n"/>
      <c r="M1056" s="1" t="n"/>
    </row>
    <row r="1057">
      <c r="A1057" s="1" t="n"/>
      <c r="B1057" s="24" t="n">
        <v>1051</v>
      </c>
      <c r="C1057" s="61" t="n"/>
      <c r="D1057" s="27" t="n"/>
      <c r="E1057" s="27" t="n"/>
      <c r="F1057" s="27" t="n"/>
      <c r="G1057" s="27" t="n"/>
      <c r="H1057" s="62" t="n"/>
      <c r="I1057" s="31" t="n"/>
      <c r="J1057" s="31" t="n"/>
      <c r="K1057" s="31" t="n"/>
      <c r="L1057" s="31" t="n"/>
      <c r="M1057" s="1" t="n"/>
    </row>
    <row r="1058">
      <c r="A1058" s="1" t="n"/>
      <c r="B1058" s="24" t="n">
        <v>1052</v>
      </c>
      <c r="C1058" s="61" t="n"/>
      <c r="D1058" s="27" t="n"/>
      <c r="E1058" s="27" t="n"/>
      <c r="F1058" s="27" t="n"/>
      <c r="G1058" s="27" t="n"/>
      <c r="H1058" s="62" t="n"/>
      <c r="I1058" s="31" t="n"/>
      <c r="J1058" s="31" t="n"/>
      <c r="K1058" s="31" t="n"/>
      <c r="L1058" s="31" t="n"/>
      <c r="M1058" s="1" t="n"/>
    </row>
    <row r="1059">
      <c r="A1059" s="1" t="n"/>
      <c r="B1059" s="24" t="n">
        <v>1053</v>
      </c>
      <c r="C1059" s="61" t="n"/>
      <c r="D1059" s="27" t="n"/>
      <c r="E1059" s="27" t="n"/>
      <c r="F1059" s="27" t="n"/>
      <c r="G1059" s="27" t="n"/>
      <c r="H1059" s="62" t="n"/>
      <c r="I1059" s="31" t="n"/>
      <c r="J1059" s="31" t="n"/>
      <c r="K1059" s="31" t="n"/>
      <c r="L1059" s="31" t="n"/>
      <c r="M1059" s="1" t="n"/>
    </row>
    <row r="1060">
      <c r="A1060" s="1" t="n"/>
      <c r="B1060" s="24" t="n">
        <v>1054</v>
      </c>
      <c r="C1060" s="61" t="n"/>
      <c r="D1060" s="27" t="n"/>
      <c r="E1060" s="27" t="n"/>
      <c r="F1060" s="27" t="n"/>
      <c r="G1060" s="27" t="n"/>
      <c r="H1060" s="62" t="n"/>
      <c r="I1060" s="31" t="n"/>
      <c r="J1060" s="31" t="n"/>
      <c r="K1060" s="31" t="n"/>
      <c r="L1060" s="31" t="n"/>
      <c r="M1060" s="1" t="n"/>
    </row>
    <row r="1061">
      <c r="A1061" s="1" t="n"/>
      <c r="B1061" s="24" t="n">
        <v>1055</v>
      </c>
      <c r="C1061" s="61" t="n"/>
      <c r="D1061" s="27" t="n"/>
      <c r="E1061" s="27" t="n"/>
      <c r="F1061" s="27" t="n"/>
      <c r="G1061" s="27" t="n"/>
      <c r="H1061" s="62" t="n"/>
      <c r="I1061" s="31" t="n"/>
      <c r="J1061" s="31" t="n"/>
      <c r="K1061" s="31" t="n"/>
      <c r="L1061" s="31" t="n"/>
      <c r="M1061" s="1" t="n"/>
    </row>
    <row r="1062">
      <c r="A1062" s="1" t="n"/>
      <c r="B1062" s="24" t="n">
        <v>1056</v>
      </c>
      <c r="C1062" s="61" t="n"/>
      <c r="D1062" s="27" t="n"/>
      <c r="E1062" s="27" t="n"/>
      <c r="F1062" s="27" t="n"/>
      <c r="G1062" s="27" t="n"/>
      <c r="H1062" s="62" t="n"/>
      <c r="I1062" s="31" t="n"/>
      <c r="J1062" s="31" t="n"/>
      <c r="K1062" s="31" t="n"/>
      <c r="L1062" s="31" t="n"/>
      <c r="M1062" s="1" t="n"/>
    </row>
    <row r="1063">
      <c r="A1063" s="1" t="n"/>
      <c r="B1063" s="24" t="n">
        <v>1057</v>
      </c>
      <c r="C1063" s="61" t="n"/>
      <c r="D1063" s="27" t="n"/>
      <c r="E1063" s="27" t="n"/>
      <c r="F1063" s="27" t="n"/>
      <c r="G1063" s="27" t="n"/>
      <c r="H1063" s="62" t="n"/>
      <c r="I1063" s="31" t="n"/>
      <c r="J1063" s="31" t="n"/>
      <c r="K1063" s="31" t="n"/>
      <c r="L1063" s="31" t="n"/>
      <c r="M1063" s="1" t="n"/>
    </row>
    <row r="1064">
      <c r="A1064" s="1" t="n"/>
      <c r="B1064" s="24" t="n">
        <v>1058</v>
      </c>
      <c r="C1064" s="61" t="n"/>
      <c r="D1064" s="27" t="n"/>
      <c r="E1064" s="27" t="n"/>
      <c r="F1064" s="27" t="n"/>
      <c r="G1064" s="27" t="n"/>
      <c r="H1064" s="62" t="n"/>
      <c r="I1064" s="31" t="n"/>
      <c r="J1064" s="31" t="n"/>
      <c r="K1064" s="31" t="n"/>
      <c r="L1064" s="31" t="n"/>
      <c r="M1064" s="1" t="n"/>
    </row>
    <row r="1065">
      <c r="A1065" s="1" t="n"/>
      <c r="B1065" s="24" t="n">
        <v>1059</v>
      </c>
      <c r="C1065" s="61" t="n"/>
      <c r="D1065" s="27" t="n"/>
      <c r="E1065" s="27" t="n"/>
      <c r="F1065" s="27" t="n"/>
      <c r="G1065" s="27" t="n"/>
      <c r="H1065" s="62" t="n"/>
      <c r="I1065" s="31" t="n"/>
      <c r="J1065" s="31" t="n"/>
      <c r="K1065" s="31" t="n"/>
      <c r="L1065" s="31" t="n"/>
      <c r="M1065" s="1" t="n"/>
    </row>
    <row r="1066">
      <c r="A1066" s="1" t="n"/>
      <c r="B1066" s="24" t="n">
        <v>1060</v>
      </c>
      <c r="C1066" s="61" t="n"/>
      <c r="D1066" s="27" t="n"/>
      <c r="E1066" s="27" t="n"/>
      <c r="F1066" s="27" t="n"/>
      <c r="G1066" s="27" t="n"/>
      <c r="H1066" s="62" t="n"/>
      <c r="I1066" s="31" t="n"/>
      <c r="J1066" s="31" t="n"/>
      <c r="K1066" s="31" t="n"/>
      <c r="L1066" s="31" t="n"/>
      <c r="M1066" s="1" t="n"/>
    </row>
    <row r="1067">
      <c r="A1067" s="1" t="n"/>
      <c r="B1067" s="24" t="n">
        <v>1061</v>
      </c>
      <c r="C1067" s="61" t="n"/>
      <c r="D1067" s="27" t="n"/>
      <c r="E1067" s="27" t="n"/>
      <c r="F1067" s="27" t="n"/>
      <c r="G1067" s="27" t="n"/>
      <c r="H1067" s="62" t="n"/>
      <c r="I1067" s="31" t="n"/>
      <c r="J1067" s="31" t="n"/>
      <c r="K1067" s="31" t="n"/>
      <c r="L1067" s="31" t="n"/>
      <c r="M1067" s="1" t="n"/>
    </row>
    <row r="1068">
      <c r="A1068" s="1" t="n"/>
      <c r="B1068" s="24" t="n">
        <v>1062</v>
      </c>
      <c r="C1068" s="61" t="n"/>
      <c r="D1068" s="27" t="n"/>
      <c r="E1068" s="27" t="n"/>
      <c r="F1068" s="27" t="n"/>
      <c r="G1068" s="27" t="n"/>
      <c r="H1068" s="62" t="n"/>
      <c r="I1068" s="31" t="n"/>
      <c r="J1068" s="31" t="n"/>
      <c r="K1068" s="31" t="n"/>
      <c r="L1068" s="31" t="n"/>
      <c r="M1068" s="1" t="n"/>
    </row>
    <row r="1069">
      <c r="A1069" s="1" t="n"/>
      <c r="B1069" s="24" t="n">
        <v>1063</v>
      </c>
      <c r="C1069" s="61" t="n"/>
      <c r="D1069" s="27" t="n"/>
      <c r="E1069" s="27" t="n"/>
      <c r="F1069" s="27" t="n"/>
      <c r="G1069" s="27" t="n"/>
      <c r="H1069" s="62" t="n"/>
      <c r="I1069" s="31" t="n"/>
      <c r="J1069" s="31" t="n"/>
      <c r="K1069" s="31" t="n"/>
      <c r="L1069" s="31" t="n"/>
      <c r="M1069" s="1" t="n"/>
    </row>
    <row r="1070">
      <c r="A1070" s="1" t="n"/>
      <c r="B1070" s="24" t="n">
        <v>1064</v>
      </c>
      <c r="C1070" s="61" t="n"/>
      <c r="D1070" s="27" t="n"/>
      <c r="E1070" s="27" t="n"/>
      <c r="F1070" s="27" t="n"/>
      <c r="G1070" s="27" t="n"/>
      <c r="H1070" s="62" t="n"/>
      <c r="I1070" s="31" t="n"/>
      <c r="J1070" s="31" t="n"/>
      <c r="K1070" s="31" t="n"/>
      <c r="L1070" s="31" t="n"/>
      <c r="M1070" s="1" t="n"/>
    </row>
    <row r="1071">
      <c r="A1071" s="1" t="n"/>
      <c r="B1071" s="24" t="n">
        <v>1065</v>
      </c>
      <c r="C1071" s="61" t="n"/>
      <c r="D1071" s="27" t="n"/>
      <c r="E1071" s="27" t="n"/>
      <c r="F1071" s="27" t="n"/>
      <c r="G1071" s="27" t="n"/>
      <c r="H1071" s="62" t="n"/>
      <c r="I1071" s="31" t="n"/>
      <c r="J1071" s="31" t="n"/>
      <c r="K1071" s="31" t="n"/>
      <c r="L1071" s="31" t="n"/>
      <c r="M1071" s="1" t="n"/>
    </row>
    <row r="1072">
      <c r="A1072" s="1" t="n"/>
      <c r="B1072" s="24" t="n">
        <v>1066</v>
      </c>
      <c r="C1072" s="61" t="n"/>
      <c r="D1072" s="27" t="n"/>
      <c r="E1072" s="27" t="n"/>
      <c r="F1072" s="27" t="n"/>
      <c r="G1072" s="27" t="n"/>
      <c r="H1072" s="62" t="n"/>
      <c r="I1072" s="31" t="n"/>
      <c r="J1072" s="31" t="n"/>
      <c r="K1072" s="31" t="n"/>
      <c r="L1072" s="31" t="n"/>
      <c r="M1072" s="1" t="n"/>
    </row>
    <row r="1073">
      <c r="A1073" s="1" t="n"/>
      <c r="B1073" s="24" t="n">
        <v>1067</v>
      </c>
      <c r="C1073" s="61" t="n"/>
      <c r="D1073" s="27" t="n"/>
      <c r="E1073" s="27" t="n"/>
      <c r="F1073" s="27" t="n"/>
      <c r="G1073" s="27" t="n"/>
      <c r="H1073" s="62" t="n"/>
      <c r="I1073" s="31" t="n"/>
      <c r="J1073" s="31" t="n"/>
      <c r="K1073" s="31" t="n"/>
      <c r="L1073" s="31" t="n"/>
      <c r="M1073" s="1" t="n"/>
    </row>
    <row r="1074">
      <c r="A1074" s="1" t="n"/>
      <c r="B1074" s="24" t="n">
        <v>1068</v>
      </c>
      <c r="C1074" s="61" t="n"/>
      <c r="D1074" s="27" t="n"/>
      <c r="E1074" s="27" t="n"/>
      <c r="F1074" s="27" t="n"/>
      <c r="G1074" s="27" t="n"/>
      <c r="H1074" s="62" t="n"/>
      <c r="I1074" s="31" t="n"/>
      <c r="J1074" s="31" t="n"/>
      <c r="K1074" s="31" t="n"/>
      <c r="L1074" s="31" t="n"/>
      <c r="M1074" s="1" t="n"/>
    </row>
    <row r="1075">
      <c r="A1075" s="1" t="n"/>
      <c r="B1075" s="24" t="n">
        <v>1069</v>
      </c>
      <c r="C1075" s="61" t="n"/>
      <c r="D1075" s="27" t="n"/>
      <c r="E1075" s="27" t="n"/>
      <c r="F1075" s="27" t="n"/>
      <c r="G1075" s="27" t="n"/>
      <c r="H1075" s="62" t="n"/>
      <c r="I1075" s="31" t="n"/>
      <c r="J1075" s="31" t="n"/>
      <c r="K1075" s="31" t="n"/>
      <c r="L1075" s="31" t="n"/>
      <c r="M1075" s="1" t="n"/>
    </row>
    <row r="1076">
      <c r="A1076" s="1" t="n"/>
      <c r="B1076" s="24" t="n">
        <v>1070</v>
      </c>
      <c r="C1076" s="61" t="n"/>
      <c r="D1076" s="27" t="n"/>
      <c r="E1076" s="27" t="n"/>
      <c r="F1076" s="27" t="n"/>
      <c r="G1076" s="27" t="n"/>
      <c r="H1076" s="62" t="n"/>
      <c r="I1076" s="31" t="n"/>
      <c r="J1076" s="31" t="n"/>
      <c r="K1076" s="31" t="n"/>
      <c r="L1076" s="31" t="n"/>
      <c r="M1076" s="1" t="n"/>
    </row>
    <row r="1077">
      <c r="A1077" s="1" t="n"/>
      <c r="B1077" s="24" t="n">
        <v>1071</v>
      </c>
      <c r="C1077" s="61" t="n"/>
      <c r="D1077" s="27" t="n"/>
      <c r="E1077" s="27" t="n"/>
      <c r="F1077" s="27" t="n"/>
      <c r="G1077" s="27" t="n"/>
      <c r="H1077" s="62" t="n"/>
      <c r="I1077" s="31" t="n"/>
      <c r="J1077" s="31" t="n"/>
      <c r="K1077" s="31" t="n"/>
      <c r="L1077" s="31" t="n"/>
      <c r="M1077" s="1" t="n"/>
    </row>
    <row r="1078">
      <c r="A1078" s="1" t="n"/>
      <c r="B1078" s="24" t="n">
        <v>1072</v>
      </c>
      <c r="C1078" s="61" t="n"/>
      <c r="D1078" s="27" t="n"/>
      <c r="E1078" s="27" t="n"/>
      <c r="F1078" s="27" t="n"/>
      <c r="G1078" s="27" t="n"/>
      <c r="H1078" s="62" t="n"/>
      <c r="I1078" s="31" t="n"/>
      <c r="J1078" s="31" t="n"/>
      <c r="K1078" s="31" t="n"/>
      <c r="L1078" s="31" t="n"/>
      <c r="M1078" s="1" t="n"/>
    </row>
    <row r="1079">
      <c r="A1079" s="1" t="n"/>
      <c r="B1079" s="24" t="n">
        <v>1073</v>
      </c>
      <c r="C1079" s="61" t="n"/>
      <c r="D1079" s="27" t="n"/>
      <c r="E1079" s="27" t="n"/>
      <c r="F1079" s="27" t="n"/>
      <c r="G1079" s="27" t="n"/>
      <c r="H1079" s="62" t="n"/>
      <c r="I1079" s="31" t="n"/>
      <c r="J1079" s="31" t="n"/>
      <c r="K1079" s="31" t="n"/>
      <c r="L1079" s="31" t="n"/>
      <c r="M1079" s="1" t="n"/>
    </row>
    <row r="1080">
      <c r="A1080" s="1" t="n"/>
      <c r="B1080" s="24" t="n">
        <v>1074</v>
      </c>
      <c r="C1080" s="61" t="n"/>
      <c r="D1080" s="27" t="n"/>
      <c r="E1080" s="27" t="n"/>
      <c r="F1080" s="27" t="n"/>
      <c r="G1080" s="27" t="n"/>
      <c r="H1080" s="62" t="n"/>
      <c r="I1080" s="31" t="n"/>
      <c r="J1080" s="31" t="n"/>
      <c r="K1080" s="31" t="n"/>
      <c r="L1080" s="31" t="n"/>
      <c r="M1080" s="1" t="n"/>
    </row>
    <row r="1081">
      <c r="A1081" s="1" t="n"/>
      <c r="B1081" s="24" t="n">
        <v>1075</v>
      </c>
      <c r="C1081" s="61" t="n"/>
      <c r="D1081" s="27" t="n"/>
      <c r="E1081" s="27" t="n"/>
      <c r="F1081" s="27" t="n"/>
      <c r="G1081" s="27" t="n"/>
      <c r="H1081" s="62" t="n"/>
      <c r="I1081" s="31" t="n"/>
      <c r="J1081" s="31" t="n"/>
      <c r="K1081" s="31" t="n"/>
      <c r="L1081" s="31" t="n"/>
      <c r="M1081" s="1" t="n"/>
    </row>
    <row r="1082">
      <c r="A1082" s="1" t="n"/>
      <c r="B1082" s="24" t="n">
        <v>1076</v>
      </c>
      <c r="C1082" s="61" t="n"/>
      <c r="D1082" s="27" t="n"/>
      <c r="E1082" s="27" t="n"/>
      <c r="F1082" s="27" t="n"/>
      <c r="G1082" s="27" t="n"/>
      <c r="H1082" s="62" t="n"/>
      <c r="I1082" s="31" t="n"/>
      <c r="J1082" s="31" t="n"/>
      <c r="K1082" s="31" t="n"/>
      <c r="L1082" s="31" t="n"/>
      <c r="M1082" s="1" t="n"/>
    </row>
    <row r="1083">
      <c r="A1083" s="1" t="n"/>
      <c r="B1083" s="24" t="n">
        <v>1077</v>
      </c>
      <c r="C1083" s="61" t="n"/>
      <c r="D1083" s="27" t="n"/>
      <c r="E1083" s="27" t="n"/>
      <c r="F1083" s="27" t="n"/>
      <c r="G1083" s="27" t="n"/>
      <c r="H1083" s="62" t="n"/>
      <c r="I1083" s="31" t="n"/>
      <c r="J1083" s="31" t="n"/>
      <c r="K1083" s="31" t="n"/>
      <c r="L1083" s="31" t="n"/>
      <c r="M1083" s="1" t="n"/>
    </row>
    <row r="1084">
      <c r="A1084" s="1" t="n"/>
      <c r="B1084" s="24" t="n">
        <v>1078</v>
      </c>
      <c r="C1084" s="61" t="n"/>
      <c r="D1084" s="27" t="n"/>
      <c r="E1084" s="27" t="n"/>
      <c r="F1084" s="27" t="n"/>
      <c r="G1084" s="27" t="n"/>
      <c r="H1084" s="62" t="n"/>
      <c r="I1084" s="31" t="n"/>
      <c r="J1084" s="31" t="n"/>
      <c r="K1084" s="31" t="n"/>
      <c r="L1084" s="31" t="n"/>
      <c r="M1084" s="1" t="n"/>
    </row>
    <row r="1085">
      <c r="A1085" s="1" t="n"/>
      <c r="B1085" s="24" t="n">
        <v>1079</v>
      </c>
      <c r="C1085" s="61" t="n"/>
      <c r="D1085" s="27" t="n"/>
      <c r="E1085" s="27" t="n"/>
      <c r="F1085" s="27" t="n"/>
      <c r="G1085" s="27" t="n"/>
      <c r="H1085" s="62" t="n"/>
      <c r="I1085" s="31" t="n"/>
      <c r="J1085" s="31" t="n"/>
      <c r="K1085" s="31" t="n"/>
      <c r="L1085" s="31" t="n"/>
      <c r="M1085" s="1" t="n"/>
    </row>
    <row r="1086">
      <c r="A1086" s="1" t="n"/>
      <c r="B1086" s="24" t="n">
        <v>1080</v>
      </c>
      <c r="C1086" s="61" t="n"/>
      <c r="D1086" s="27" t="n"/>
      <c r="E1086" s="27" t="n"/>
      <c r="F1086" s="27" t="n"/>
      <c r="G1086" s="27" t="n"/>
      <c r="H1086" s="62" t="n"/>
      <c r="I1086" s="31" t="n"/>
      <c r="J1086" s="31" t="n"/>
      <c r="K1086" s="31" t="n"/>
      <c r="L1086" s="31" t="n"/>
      <c r="M1086" s="1" t="n"/>
    </row>
    <row r="1087">
      <c r="A1087" s="1" t="n"/>
      <c r="B1087" s="24" t="n">
        <v>1081</v>
      </c>
      <c r="C1087" s="61" t="n"/>
      <c r="D1087" s="27" t="n"/>
      <c r="E1087" s="27" t="n"/>
      <c r="F1087" s="27" t="n"/>
      <c r="G1087" s="27" t="n"/>
      <c r="H1087" s="62" t="n"/>
      <c r="I1087" s="31" t="n"/>
      <c r="J1087" s="31" t="n"/>
      <c r="K1087" s="31" t="n"/>
      <c r="L1087" s="31" t="n"/>
      <c r="M1087" s="1" t="n"/>
    </row>
    <row r="1088">
      <c r="A1088" s="1" t="n"/>
      <c r="B1088" s="24" t="n">
        <v>1082</v>
      </c>
      <c r="C1088" s="61" t="n"/>
      <c r="D1088" s="27" t="n"/>
      <c r="E1088" s="27" t="n"/>
      <c r="F1088" s="27" t="n"/>
      <c r="G1088" s="27" t="n"/>
      <c r="H1088" s="62" t="n"/>
      <c r="I1088" s="31" t="n"/>
      <c r="J1088" s="31" t="n"/>
      <c r="K1088" s="31" t="n"/>
      <c r="L1088" s="31" t="n"/>
      <c r="M1088" s="1" t="n"/>
    </row>
    <row r="1089">
      <c r="A1089" s="1" t="n"/>
      <c r="B1089" s="24" t="n">
        <v>1083</v>
      </c>
      <c r="C1089" s="61" t="n"/>
      <c r="D1089" s="27" t="n"/>
      <c r="E1089" s="27" t="n"/>
      <c r="F1089" s="27" t="n"/>
      <c r="G1089" s="27" t="n"/>
      <c r="H1089" s="62" t="n"/>
      <c r="I1089" s="31" t="n"/>
      <c r="J1089" s="31" t="n"/>
      <c r="K1089" s="31" t="n"/>
      <c r="L1089" s="31" t="n"/>
      <c r="M1089" s="1" t="n"/>
    </row>
    <row r="1090">
      <c r="A1090" s="1" t="n"/>
      <c r="B1090" s="24" t="n">
        <v>1084</v>
      </c>
      <c r="C1090" s="61" t="n"/>
      <c r="D1090" s="27" t="n"/>
      <c r="E1090" s="27" t="n"/>
      <c r="F1090" s="27" t="n"/>
      <c r="G1090" s="27" t="n"/>
      <c r="H1090" s="62" t="n"/>
      <c r="I1090" s="31" t="n"/>
      <c r="J1090" s="31" t="n"/>
      <c r="K1090" s="31" t="n"/>
      <c r="L1090" s="31" t="n"/>
      <c r="M1090" s="1" t="n"/>
    </row>
    <row r="1091">
      <c r="A1091" s="1" t="n"/>
      <c r="B1091" s="24" t="n">
        <v>1085</v>
      </c>
      <c r="C1091" s="61" t="n"/>
      <c r="D1091" s="27" t="n"/>
      <c r="E1091" s="27" t="n"/>
      <c r="F1091" s="27" t="n"/>
      <c r="G1091" s="27" t="n"/>
      <c r="H1091" s="62" t="n"/>
      <c r="I1091" s="31" t="n"/>
      <c r="J1091" s="31" t="n"/>
      <c r="K1091" s="31" t="n"/>
      <c r="L1091" s="31" t="n"/>
      <c r="M1091" s="1" t="n"/>
    </row>
    <row r="1092">
      <c r="A1092" s="1" t="n"/>
      <c r="B1092" s="24" t="n">
        <v>1086</v>
      </c>
      <c r="C1092" s="61" t="n"/>
      <c r="D1092" s="27" t="n"/>
      <c r="E1092" s="27" t="n"/>
      <c r="F1092" s="27" t="n"/>
      <c r="G1092" s="27" t="n"/>
      <c r="H1092" s="62" t="n"/>
      <c r="I1092" s="31" t="n"/>
      <c r="J1092" s="31" t="n"/>
      <c r="K1092" s="31" t="n"/>
      <c r="L1092" s="31" t="n"/>
      <c r="M1092" s="1" t="n"/>
    </row>
    <row r="1093">
      <c r="A1093" s="1" t="n"/>
      <c r="B1093" s="24" t="n">
        <v>1087</v>
      </c>
      <c r="C1093" s="61" t="n"/>
      <c r="D1093" s="27" t="n"/>
      <c r="E1093" s="27" t="n"/>
      <c r="F1093" s="27" t="n"/>
      <c r="G1093" s="27" t="n"/>
      <c r="H1093" s="62" t="n"/>
      <c r="I1093" s="31" t="n"/>
      <c r="J1093" s="31" t="n"/>
      <c r="K1093" s="31" t="n"/>
      <c r="L1093" s="31" t="n"/>
      <c r="M1093" s="1" t="n"/>
    </row>
    <row r="1094">
      <c r="A1094" s="1" t="n"/>
      <c r="B1094" s="24" t="n">
        <v>1088</v>
      </c>
      <c r="C1094" s="61" t="n"/>
      <c r="D1094" s="27" t="n"/>
      <c r="E1094" s="27" t="n"/>
      <c r="F1094" s="27" t="n"/>
      <c r="G1094" s="27" t="n"/>
      <c r="H1094" s="62" t="n"/>
      <c r="I1094" s="31" t="n"/>
      <c r="J1094" s="31" t="n"/>
      <c r="K1094" s="31" t="n"/>
      <c r="L1094" s="31" t="n"/>
      <c r="M1094" s="1" t="n"/>
    </row>
    <row r="1095">
      <c r="A1095" s="1" t="n"/>
      <c r="B1095" s="24" t="n">
        <v>1089</v>
      </c>
      <c r="C1095" s="61" t="n"/>
      <c r="D1095" s="27" t="n"/>
      <c r="E1095" s="27" t="n"/>
      <c r="F1095" s="27" t="n"/>
      <c r="G1095" s="27" t="n"/>
      <c r="H1095" s="62" t="n"/>
      <c r="I1095" s="31" t="n"/>
      <c r="J1095" s="31" t="n"/>
      <c r="K1095" s="31" t="n"/>
      <c r="L1095" s="31" t="n"/>
      <c r="M1095" s="1" t="n"/>
    </row>
    <row r="1096">
      <c r="A1096" s="1" t="n"/>
      <c r="B1096" s="24" t="n">
        <v>1090</v>
      </c>
      <c r="C1096" s="61" t="n"/>
      <c r="D1096" s="27" t="n"/>
      <c r="E1096" s="27" t="n"/>
      <c r="F1096" s="27" t="n"/>
      <c r="G1096" s="27" t="n"/>
      <c r="H1096" s="62" t="n"/>
      <c r="I1096" s="31" t="n"/>
      <c r="J1096" s="31" t="n"/>
      <c r="K1096" s="31" t="n"/>
      <c r="L1096" s="31" t="n"/>
      <c r="M1096" s="1" t="n"/>
    </row>
    <row r="1097">
      <c r="A1097" s="1" t="n"/>
      <c r="B1097" s="24" t="n">
        <v>1091</v>
      </c>
      <c r="C1097" s="61" t="n"/>
      <c r="D1097" s="27" t="n"/>
      <c r="E1097" s="27" t="n"/>
      <c r="F1097" s="27" t="n"/>
      <c r="G1097" s="27" t="n"/>
      <c r="H1097" s="62" t="n"/>
      <c r="I1097" s="31" t="n"/>
      <c r="J1097" s="31" t="n"/>
      <c r="K1097" s="31" t="n"/>
      <c r="L1097" s="31" t="n"/>
      <c r="M1097" s="1" t="n"/>
    </row>
    <row r="1098">
      <c r="A1098" s="1" t="n"/>
      <c r="B1098" s="24" t="n">
        <v>1092</v>
      </c>
      <c r="C1098" s="61" t="n"/>
      <c r="D1098" s="27" t="n"/>
      <c r="E1098" s="27" t="n"/>
      <c r="F1098" s="27" t="n"/>
      <c r="G1098" s="27" t="n"/>
      <c r="H1098" s="62" t="n"/>
      <c r="I1098" s="31" t="n"/>
      <c r="J1098" s="31" t="n"/>
      <c r="K1098" s="31" t="n"/>
      <c r="L1098" s="31" t="n"/>
      <c r="M1098" s="1" t="n"/>
    </row>
    <row r="1099">
      <c r="A1099" s="1" t="n"/>
      <c r="B1099" s="24" t="n">
        <v>1093</v>
      </c>
      <c r="C1099" s="61" t="n"/>
      <c r="D1099" s="27" t="n"/>
      <c r="E1099" s="27" t="n"/>
      <c r="F1099" s="27" t="n"/>
      <c r="G1099" s="27" t="n"/>
      <c r="H1099" s="62" t="n"/>
      <c r="I1099" s="31" t="n"/>
      <c r="J1099" s="31" t="n"/>
      <c r="K1099" s="31" t="n"/>
      <c r="L1099" s="31" t="n"/>
      <c r="M1099" s="1" t="n"/>
    </row>
    <row r="1100">
      <c r="A1100" s="1" t="n"/>
      <c r="B1100" s="24" t="n">
        <v>1094</v>
      </c>
      <c r="C1100" s="61" t="n"/>
      <c r="D1100" s="27" t="n"/>
      <c r="E1100" s="27" t="n"/>
      <c r="F1100" s="27" t="n"/>
      <c r="G1100" s="27" t="n"/>
      <c r="H1100" s="62" t="n"/>
      <c r="I1100" s="31" t="n"/>
      <c r="J1100" s="31" t="n"/>
      <c r="K1100" s="31" t="n"/>
      <c r="L1100" s="31" t="n"/>
      <c r="M1100" s="1" t="n"/>
    </row>
    <row r="1101">
      <c r="A1101" s="1" t="n"/>
      <c r="B1101" s="24" t="n">
        <v>1095</v>
      </c>
      <c r="C1101" s="61" t="n"/>
      <c r="D1101" s="27" t="n"/>
      <c r="E1101" s="27" t="n"/>
      <c r="F1101" s="27" t="n"/>
      <c r="G1101" s="27" t="n"/>
      <c r="H1101" s="62" t="n"/>
      <c r="I1101" s="31" t="n"/>
      <c r="J1101" s="31" t="n"/>
      <c r="K1101" s="31" t="n"/>
      <c r="L1101" s="31" t="n"/>
      <c r="M1101" s="1" t="n"/>
    </row>
    <row r="1102">
      <c r="A1102" s="1" t="n"/>
      <c r="B1102" s="24" t="n">
        <v>1096</v>
      </c>
      <c r="C1102" s="61" t="n"/>
      <c r="D1102" s="27" t="n"/>
      <c r="E1102" s="27" t="n"/>
      <c r="F1102" s="27" t="n"/>
      <c r="G1102" s="27" t="n"/>
      <c r="H1102" s="62" t="n"/>
      <c r="I1102" s="31" t="n"/>
      <c r="J1102" s="31" t="n"/>
      <c r="K1102" s="31" t="n"/>
      <c r="L1102" s="31" t="n"/>
      <c r="M1102" s="1" t="n"/>
    </row>
    <row r="1103">
      <c r="A1103" s="1" t="n"/>
      <c r="B1103" s="24" t="n">
        <v>1097</v>
      </c>
      <c r="C1103" s="61" t="n"/>
      <c r="D1103" s="27" t="n"/>
      <c r="E1103" s="27" t="n"/>
      <c r="F1103" s="27" t="n"/>
      <c r="G1103" s="27" t="n"/>
      <c r="H1103" s="62" t="n"/>
      <c r="I1103" s="31" t="n"/>
      <c r="J1103" s="31" t="n"/>
      <c r="K1103" s="31" t="n"/>
      <c r="L1103" s="31" t="n"/>
      <c r="M1103" s="1" t="n"/>
    </row>
    <row r="1104">
      <c r="A1104" s="1" t="n"/>
      <c r="B1104" s="24" t="n">
        <v>1098</v>
      </c>
      <c r="C1104" s="61" t="n"/>
      <c r="D1104" s="27" t="n"/>
      <c r="E1104" s="27" t="n"/>
      <c r="F1104" s="27" t="n"/>
      <c r="G1104" s="27" t="n"/>
      <c r="H1104" s="62" t="n"/>
      <c r="I1104" s="31" t="n"/>
      <c r="J1104" s="31" t="n"/>
      <c r="K1104" s="31" t="n"/>
      <c r="L1104" s="31" t="n"/>
      <c r="M1104" s="1" t="n"/>
    </row>
    <row r="1105">
      <c r="A1105" s="1" t="n"/>
      <c r="B1105" s="24" t="n">
        <v>1099</v>
      </c>
      <c r="C1105" s="61" t="n"/>
      <c r="D1105" s="27" t="n"/>
      <c r="E1105" s="27" t="n"/>
      <c r="F1105" s="27" t="n"/>
      <c r="G1105" s="27" t="n"/>
      <c r="H1105" s="62" t="n"/>
      <c r="I1105" s="31" t="n"/>
      <c r="J1105" s="31" t="n"/>
      <c r="K1105" s="31" t="n"/>
      <c r="L1105" s="31" t="n"/>
      <c r="M1105" s="1" t="n"/>
    </row>
    <row r="1106">
      <c r="A1106" s="1" t="n"/>
      <c r="B1106" s="24" t="n">
        <v>1100</v>
      </c>
      <c r="C1106" s="61" t="n"/>
      <c r="D1106" s="27" t="n"/>
      <c r="E1106" s="27" t="n"/>
      <c r="F1106" s="27" t="n"/>
      <c r="G1106" s="27" t="n"/>
      <c r="H1106" s="62" t="n"/>
      <c r="I1106" s="31" t="n"/>
      <c r="J1106" s="31" t="n"/>
      <c r="K1106" s="31" t="n"/>
      <c r="L1106" s="31" t="n"/>
      <c r="M1106" s="1" t="n"/>
    </row>
    <row r="1107">
      <c r="A1107" s="1" t="n"/>
      <c r="B1107" s="24" t="n">
        <v>1101</v>
      </c>
      <c r="C1107" s="61" t="n"/>
      <c r="D1107" s="27" t="n"/>
      <c r="E1107" s="27" t="n"/>
      <c r="F1107" s="27" t="n"/>
      <c r="G1107" s="27" t="n"/>
      <c r="H1107" s="62" t="n"/>
      <c r="I1107" s="31" t="n"/>
      <c r="J1107" s="31" t="n"/>
      <c r="K1107" s="31" t="n"/>
      <c r="L1107" s="31" t="n"/>
      <c r="M1107" s="1" t="n"/>
    </row>
    <row r="1108">
      <c r="A1108" s="1" t="n"/>
      <c r="B1108" s="24" t="n">
        <v>1102</v>
      </c>
      <c r="C1108" s="61" t="n"/>
      <c r="D1108" s="27" t="n"/>
      <c r="E1108" s="27" t="n"/>
      <c r="F1108" s="27" t="n"/>
      <c r="G1108" s="27" t="n"/>
      <c r="H1108" s="62" t="n"/>
      <c r="I1108" s="31" t="n"/>
      <c r="J1108" s="31" t="n"/>
      <c r="K1108" s="31" t="n"/>
      <c r="L1108" s="31" t="n"/>
      <c r="M1108" s="1" t="n"/>
    </row>
    <row r="1109">
      <c r="A1109" s="1" t="n"/>
      <c r="B1109" s="24" t="n">
        <v>1103</v>
      </c>
      <c r="C1109" s="61" t="n"/>
      <c r="D1109" s="27" t="n"/>
      <c r="E1109" s="27" t="n"/>
      <c r="F1109" s="27" t="n"/>
      <c r="G1109" s="27" t="n"/>
      <c r="H1109" s="62" t="n"/>
      <c r="I1109" s="31" t="n"/>
      <c r="J1109" s="31" t="n"/>
      <c r="K1109" s="31" t="n"/>
      <c r="L1109" s="31" t="n"/>
      <c r="M1109" s="1" t="n"/>
    </row>
    <row r="1110">
      <c r="A1110" s="1" t="n"/>
      <c r="B1110" s="24" t="n">
        <v>1104</v>
      </c>
      <c r="C1110" s="61" t="n"/>
      <c r="D1110" s="27" t="n"/>
      <c r="E1110" s="27" t="n"/>
      <c r="F1110" s="27" t="n"/>
      <c r="G1110" s="27" t="n"/>
      <c r="H1110" s="62" t="n"/>
      <c r="I1110" s="31" t="n"/>
      <c r="J1110" s="31" t="n"/>
      <c r="K1110" s="31" t="n"/>
      <c r="L1110" s="31" t="n"/>
      <c r="M1110" s="1" t="n"/>
    </row>
    <row r="1111">
      <c r="A1111" s="1" t="n"/>
      <c r="B1111" s="24" t="n">
        <v>1105</v>
      </c>
      <c r="C1111" s="61" t="n"/>
      <c r="D1111" s="27" t="n"/>
      <c r="E1111" s="27" t="n"/>
      <c r="F1111" s="27" t="n"/>
      <c r="G1111" s="27" t="n"/>
      <c r="H1111" s="62" t="n"/>
      <c r="I1111" s="31" t="n"/>
      <c r="J1111" s="31" t="n"/>
      <c r="K1111" s="31" t="n"/>
      <c r="L1111" s="31" t="n"/>
      <c r="M1111" s="1" t="n"/>
    </row>
    <row r="1112">
      <c r="A1112" s="1" t="n"/>
      <c r="B1112" s="24" t="n">
        <v>1106</v>
      </c>
      <c r="C1112" s="61" t="n"/>
      <c r="D1112" s="27" t="n"/>
      <c r="E1112" s="27" t="n"/>
      <c r="F1112" s="27" t="n"/>
      <c r="G1112" s="27" t="n"/>
      <c r="H1112" s="62" t="n"/>
      <c r="I1112" s="31" t="n"/>
      <c r="J1112" s="31" t="n"/>
      <c r="K1112" s="31" t="n"/>
      <c r="L1112" s="31" t="n"/>
      <c r="M1112" s="1" t="n"/>
    </row>
    <row r="1113">
      <c r="A1113" s="1" t="n"/>
      <c r="B1113" s="24" t="n">
        <v>1107</v>
      </c>
      <c r="C1113" s="61" t="n"/>
      <c r="D1113" s="27" t="n"/>
      <c r="E1113" s="27" t="n"/>
      <c r="F1113" s="27" t="n"/>
      <c r="G1113" s="27" t="n"/>
      <c r="H1113" s="62" t="n"/>
      <c r="I1113" s="31" t="n"/>
      <c r="J1113" s="31" t="n"/>
      <c r="K1113" s="31" t="n"/>
      <c r="L1113" s="31" t="n"/>
      <c r="M1113" s="1" t="n"/>
    </row>
    <row r="1114">
      <c r="A1114" s="1" t="n"/>
      <c r="B1114" s="24" t="n">
        <v>1108</v>
      </c>
      <c r="C1114" s="61" t="n"/>
      <c r="D1114" s="27" t="n"/>
      <c r="E1114" s="27" t="n"/>
      <c r="F1114" s="27" t="n"/>
      <c r="G1114" s="27" t="n"/>
      <c r="H1114" s="62" t="n"/>
      <c r="I1114" s="31" t="n"/>
      <c r="J1114" s="31" t="n"/>
      <c r="K1114" s="31" t="n"/>
      <c r="L1114" s="31" t="n"/>
      <c r="M1114" s="1" t="n"/>
    </row>
    <row r="1115">
      <c r="A1115" s="1" t="n"/>
      <c r="B1115" s="24" t="n">
        <v>1109</v>
      </c>
      <c r="C1115" s="61" t="n"/>
      <c r="D1115" s="27" t="n"/>
      <c r="E1115" s="27" t="n"/>
      <c r="F1115" s="27" t="n"/>
      <c r="G1115" s="27" t="n"/>
      <c r="H1115" s="62" t="n"/>
      <c r="I1115" s="31" t="n"/>
      <c r="J1115" s="31" t="n"/>
      <c r="K1115" s="31" t="n"/>
      <c r="L1115" s="31" t="n"/>
      <c r="M1115" s="1" t="n"/>
    </row>
    <row r="1116">
      <c r="A1116" s="1" t="n"/>
      <c r="B1116" s="24" t="n">
        <v>1110</v>
      </c>
      <c r="C1116" s="61" t="n"/>
      <c r="D1116" s="27" t="n"/>
      <c r="E1116" s="27" t="n"/>
      <c r="F1116" s="27" t="n"/>
      <c r="G1116" s="27" t="n"/>
      <c r="H1116" s="62" t="n"/>
      <c r="I1116" s="31" t="n"/>
      <c r="J1116" s="31" t="n"/>
      <c r="K1116" s="31" t="n"/>
      <c r="L1116" s="31" t="n"/>
      <c r="M1116" s="1" t="n"/>
    </row>
    <row r="1117">
      <c r="A1117" s="1" t="n"/>
      <c r="B1117" s="24" t="n">
        <v>1111</v>
      </c>
      <c r="C1117" s="61" t="n"/>
      <c r="D1117" s="27" t="n"/>
      <c r="E1117" s="27" t="n"/>
      <c r="F1117" s="27" t="n"/>
      <c r="G1117" s="27" t="n"/>
      <c r="H1117" s="62" t="n"/>
      <c r="I1117" s="31" t="n"/>
      <c r="J1117" s="31" t="n"/>
      <c r="K1117" s="31" t="n"/>
      <c r="L1117" s="31" t="n"/>
      <c r="M1117" s="1" t="n"/>
    </row>
    <row r="1118">
      <c r="A1118" s="1" t="n"/>
      <c r="B1118" s="24" t="n">
        <v>1112</v>
      </c>
      <c r="C1118" s="61" t="n"/>
      <c r="D1118" s="27" t="n"/>
      <c r="E1118" s="27" t="n"/>
      <c r="F1118" s="27" t="n"/>
      <c r="G1118" s="27" t="n"/>
      <c r="H1118" s="62" t="n"/>
      <c r="I1118" s="31" t="n"/>
      <c r="J1118" s="31" t="n"/>
      <c r="K1118" s="31" t="n"/>
      <c r="L1118" s="31" t="n"/>
      <c r="M1118" s="1" t="n"/>
    </row>
    <row r="1119">
      <c r="A1119" s="1" t="n"/>
      <c r="B1119" s="24" t="n">
        <v>1113</v>
      </c>
      <c r="C1119" s="61" t="n"/>
      <c r="D1119" s="27" t="n"/>
      <c r="E1119" s="27" t="n"/>
      <c r="F1119" s="27" t="n"/>
      <c r="G1119" s="27" t="n"/>
      <c r="H1119" s="62" t="n"/>
      <c r="I1119" s="31" t="n"/>
      <c r="J1119" s="31" t="n"/>
      <c r="K1119" s="31" t="n"/>
      <c r="L1119" s="31" t="n"/>
      <c r="M1119" s="1" t="n"/>
    </row>
    <row r="1120">
      <c r="A1120" s="1" t="n"/>
      <c r="B1120" s="24" t="n">
        <v>1114</v>
      </c>
      <c r="C1120" s="61" t="n"/>
      <c r="D1120" s="27" t="n"/>
      <c r="E1120" s="27" t="n"/>
      <c r="F1120" s="27" t="n"/>
      <c r="G1120" s="27" t="n"/>
      <c r="H1120" s="62" t="n"/>
      <c r="I1120" s="31" t="n"/>
      <c r="J1120" s="31" t="n"/>
      <c r="K1120" s="31" t="n"/>
      <c r="L1120" s="31" t="n"/>
      <c r="M1120" s="1" t="n"/>
    </row>
    <row r="1121">
      <c r="A1121" s="1" t="n"/>
      <c r="B1121" s="24" t="n">
        <v>1115</v>
      </c>
      <c r="C1121" s="61" t="n"/>
      <c r="D1121" s="27" t="n"/>
      <c r="E1121" s="27" t="n"/>
      <c r="F1121" s="27" t="n"/>
      <c r="G1121" s="27" t="n"/>
      <c r="H1121" s="62" t="n"/>
      <c r="I1121" s="31" t="n"/>
      <c r="J1121" s="31" t="n"/>
      <c r="K1121" s="31" t="n"/>
      <c r="L1121" s="31" t="n"/>
      <c r="M1121" s="1" t="n"/>
    </row>
    <row r="1122">
      <c r="A1122" s="1" t="n"/>
      <c r="B1122" s="24" t="n">
        <v>1116</v>
      </c>
      <c r="C1122" s="61" t="n"/>
      <c r="D1122" s="27" t="n"/>
      <c r="E1122" s="27" t="n"/>
      <c r="F1122" s="27" t="n"/>
      <c r="G1122" s="27" t="n"/>
      <c r="H1122" s="62" t="n"/>
      <c r="I1122" s="31" t="n"/>
      <c r="J1122" s="31" t="n"/>
      <c r="K1122" s="31" t="n"/>
      <c r="L1122" s="31" t="n"/>
      <c r="M1122" s="1" t="n"/>
    </row>
    <row r="1123">
      <c r="A1123" s="1" t="n"/>
      <c r="B1123" s="24" t="n">
        <v>1117</v>
      </c>
      <c r="C1123" s="61" t="n"/>
      <c r="D1123" s="27" t="n"/>
      <c r="E1123" s="27" t="n"/>
      <c r="F1123" s="27" t="n"/>
      <c r="G1123" s="27" t="n"/>
      <c r="H1123" s="62" t="n"/>
      <c r="I1123" s="31" t="n"/>
      <c r="J1123" s="31" t="n"/>
      <c r="K1123" s="31" t="n"/>
      <c r="L1123" s="31" t="n"/>
      <c r="M1123" s="1" t="n"/>
    </row>
    <row r="1124">
      <c r="A1124" s="1" t="n"/>
      <c r="B1124" s="24" t="n">
        <v>1118</v>
      </c>
      <c r="C1124" s="61" t="n"/>
      <c r="D1124" s="27" t="n"/>
      <c r="E1124" s="27" t="n"/>
      <c r="F1124" s="27" t="n"/>
      <c r="G1124" s="27" t="n"/>
      <c r="H1124" s="62" t="n"/>
      <c r="I1124" s="31" t="n"/>
      <c r="J1124" s="31" t="n"/>
      <c r="K1124" s="31" t="n"/>
      <c r="L1124" s="31" t="n"/>
      <c r="M1124" s="1" t="n"/>
    </row>
    <row r="1125">
      <c r="A1125" s="1" t="n"/>
      <c r="B1125" s="24" t="n">
        <v>1119</v>
      </c>
      <c r="C1125" s="61" t="n"/>
      <c r="D1125" s="27" t="n"/>
      <c r="E1125" s="27" t="n"/>
      <c r="F1125" s="27" t="n"/>
      <c r="G1125" s="27" t="n"/>
      <c r="H1125" s="62" t="n"/>
      <c r="I1125" s="31" t="n"/>
      <c r="J1125" s="31" t="n"/>
      <c r="K1125" s="31" t="n"/>
      <c r="L1125" s="31" t="n"/>
      <c r="M1125" s="1" t="n"/>
    </row>
    <row r="1126">
      <c r="A1126" s="1" t="n"/>
      <c r="B1126" s="24" t="n">
        <v>1120</v>
      </c>
      <c r="C1126" s="61" t="n"/>
      <c r="D1126" s="27" t="n"/>
      <c r="E1126" s="27" t="n"/>
      <c r="F1126" s="27" t="n"/>
      <c r="G1126" s="27" t="n"/>
      <c r="H1126" s="62" t="n"/>
      <c r="I1126" s="31" t="n"/>
      <c r="J1126" s="31" t="n"/>
      <c r="K1126" s="31" t="n"/>
      <c r="L1126" s="31" t="n"/>
      <c r="M1126" s="1" t="n"/>
    </row>
    <row r="1127">
      <c r="A1127" s="1" t="n"/>
      <c r="B1127" s="24" t="n">
        <v>1121</v>
      </c>
      <c r="C1127" s="61" t="n"/>
      <c r="D1127" s="27" t="n"/>
      <c r="E1127" s="27" t="n"/>
      <c r="F1127" s="27" t="n"/>
      <c r="G1127" s="27" t="n"/>
      <c r="H1127" s="62" t="n"/>
      <c r="I1127" s="31" t="n"/>
      <c r="J1127" s="31" t="n"/>
      <c r="K1127" s="31" t="n"/>
      <c r="L1127" s="31" t="n"/>
      <c r="M1127" s="1" t="n"/>
    </row>
    <row r="1128">
      <c r="A1128" s="1" t="n"/>
      <c r="B1128" s="24" t="n">
        <v>1122</v>
      </c>
      <c r="C1128" s="61" t="n"/>
      <c r="D1128" s="27" t="n"/>
      <c r="E1128" s="27" t="n"/>
      <c r="F1128" s="27" t="n"/>
      <c r="G1128" s="27" t="n"/>
      <c r="H1128" s="62" t="n"/>
      <c r="I1128" s="31" t="n"/>
      <c r="J1128" s="31" t="n"/>
      <c r="K1128" s="31" t="n"/>
      <c r="L1128" s="31" t="n"/>
      <c r="M1128" s="1" t="n"/>
    </row>
    <row r="1129">
      <c r="A1129" s="1" t="n"/>
      <c r="B1129" s="24" t="n">
        <v>1123</v>
      </c>
      <c r="C1129" s="61" t="n"/>
      <c r="D1129" s="27" t="n"/>
      <c r="E1129" s="27" t="n"/>
      <c r="F1129" s="27" t="n"/>
      <c r="G1129" s="27" t="n"/>
      <c r="H1129" s="62" t="n"/>
      <c r="I1129" s="31" t="n"/>
      <c r="J1129" s="31" t="n"/>
      <c r="K1129" s="31" t="n"/>
      <c r="L1129" s="31" t="n"/>
      <c r="M1129" s="1" t="n"/>
    </row>
    <row r="1130">
      <c r="A1130" s="1" t="n"/>
      <c r="B1130" s="24" t="n">
        <v>1124</v>
      </c>
      <c r="C1130" s="61" t="n"/>
      <c r="D1130" s="27" t="n"/>
      <c r="E1130" s="27" t="n"/>
      <c r="F1130" s="27" t="n"/>
      <c r="G1130" s="27" t="n"/>
      <c r="H1130" s="62" t="n"/>
      <c r="I1130" s="31" t="n"/>
      <c r="J1130" s="31" t="n"/>
      <c r="K1130" s="31" t="n"/>
      <c r="L1130" s="31" t="n"/>
      <c r="M1130" s="1" t="n"/>
    </row>
    <row r="1131">
      <c r="A1131" s="1" t="n"/>
      <c r="B1131" s="24" t="n">
        <v>1125</v>
      </c>
      <c r="C1131" s="61" t="n"/>
      <c r="D1131" s="27" t="n"/>
      <c r="E1131" s="27" t="n"/>
      <c r="F1131" s="27" t="n"/>
      <c r="G1131" s="27" t="n"/>
      <c r="H1131" s="62" t="n"/>
      <c r="I1131" s="31" t="n"/>
      <c r="J1131" s="31" t="n"/>
      <c r="K1131" s="31" t="n"/>
      <c r="L1131" s="31" t="n"/>
      <c r="M1131" s="1" t="n"/>
    </row>
    <row r="1132">
      <c r="A1132" s="1" t="n"/>
      <c r="B1132" s="24" t="n">
        <v>1126</v>
      </c>
      <c r="C1132" s="61" t="n"/>
      <c r="D1132" s="27" t="n"/>
      <c r="E1132" s="27" t="n"/>
      <c r="F1132" s="27" t="n"/>
      <c r="G1132" s="27" t="n"/>
      <c r="H1132" s="62" t="n"/>
      <c r="I1132" s="31" t="n"/>
      <c r="J1132" s="31" t="n"/>
      <c r="K1132" s="31" t="n"/>
      <c r="L1132" s="31" t="n"/>
      <c r="M1132" s="1" t="n"/>
    </row>
    <row r="1133">
      <c r="A1133" s="1" t="n"/>
      <c r="B1133" s="24" t="n">
        <v>1127</v>
      </c>
      <c r="C1133" s="61" t="n"/>
      <c r="D1133" s="27" t="n"/>
      <c r="E1133" s="27" t="n"/>
      <c r="F1133" s="27" t="n"/>
      <c r="G1133" s="27" t="n"/>
      <c r="H1133" s="62" t="n"/>
      <c r="I1133" s="31" t="n"/>
      <c r="J1133" s="31" t="n"/>
      <c r="K1133" s="31" t="n"/>
      <c r="L1133" s="31" t="n"/>
      <c r="M1133" s="1" t="n"/>
    </row>
    <row r="1134">
      <c r="A1134" s="1" t="n"/>
      <c r="B1134" s="24" t="n">
        <v>1128</v>
      </c>
      <c r="C1134" s="61" t="n"/>
      <c r="D1134" s="27" t="n"/>
      <c r="E1134" s="27" t="n"/>
      <c r="F1134" s="27" t="n"/>
      <c r="G1134" s="27" t="n"/>
      <c r="H1134" s="62" t="n"/>
      <c r="I1134" s="31" t="n"/>
      <c r="J1134" s="31" t="n"/>
      <c r="K1134" s="31" t="n"/>
      <c r="L1134" s="31" t="n"/>
      <c r="M1134" s="1" t="n"/>
    </row>
    <row r="1135">
      <c r="A1135" s="1" t="n"/>
      <c r="B1135" s="24" t="n">
        <v>1129</v>
      </c>
      <c r="C1135" s="61" t="n"/>
      <c r="D1135" s="27" t="n"/>
      <c r="E1135" s="27" t="n"/>
      <c r="F1135" s="27" t="n"/>
      <c r="G1135" s="27" t="n"/>
      <c r="H1135" s="62" t="n"/>
      <c r="I1135" s="31" t="n"/>
      <c r="J1135" s="31" t="n"/>
      <c r="K1135" s="31" t="n"/>
      <c r="L1135" s="31" t="n"/>
      <c r="M1135" s="1" t="n"/>
    </row>
    <row r="1136">
      <c r="A1136" s="1" t="n"/>
      <c r="B1136" s="24" t="n">
        <v>1130</v>
      </c>
      <c r="C1136" s="61" t="n"/>
      <c r="D1136" s="27" t="n"/>
      <c r="E1136" s="27" t="n"/>
      <c r="F1136" s="27" t="n"/>
      <c r="G1136" s="27" t="n"/>
      <c r="H1136" s="62" t="n"/>
      <c r="I1136" s="31" t="n"/>
      <c r="J1136" s="31" t="n"/>
      <c r="K1136" s="31" t="n"/>
      <c r="L1136" s="31" t="n"/>
      <c r="M1136" s="1" t="n"/>
    </row>
    <row r="1137">
      <c r="A1137" s="1" t="n"/>
      <c r="B1137" s="24" t="n">
        <v>1131</v>
      </c>
      <c r="C1137" s="61" t="n"/>
      <c r="D1137" s="27" t="n"/>
      <c r="E1137" s="27" t="n"/>
      <c r="F1137" s="27" t="n"/>
      <c r="G1137" s="27" t="n"/>
      <c r="H1137" s="62" t="n"/>
      <c r="I1137" s="31" t="n"/>
      <c r="J1137" s="31" t="n"/>
      <c r="K1137" s="31" t="n"/>
      <c r="L1137" s="31" t="n"/>
      <c r="M1137" s="1" t="n"/>
    </row>
    <row r="1138">
      <c r="A1138" s="1" t="n"/>
      <c r="B1138" s="24" t="n">
        <v>1132</v>
      </c>
      <c r="C1138" s="61" t="n"/>
      <c r="D1138" s="27" t="n"/>
      <c r="E1138" s="27" t="n"/>
      <c r="F1138" s="27" t="n"/>
      <c r="G1138" s="27" t="n"/>
      <c r="H1138" s="62" t="n"/>
      <c r="I1138" s="31" t="n"/>
      <c r="J1138" s="31" t="n"/>
      <c r="K1138" s="31" t="n"/>
      <c r="L1138" s="31" t="n"/>
      <c r="M1138" s="1" t="n"/>
    </row>
    <row r="1139">
      <c r="A1139" s="1" t="n"/>
      <c r="B1139" s="24" t="n">
        <v>1133</v>
      </c>
      <c r="C1139" s="61" t="n"/>
      <c r="D1139" s="27" t="n"/>
      <c r="E1139" s="27" t="n"/>
      <c r="F1139" s="27" t="n"/>
      <c r="G1139" s="27" t="n"/>
      <c r="H1139" s="62" t="n"/>
      <c r="I1139" s="31" t="n"/>
      <c r="J1139" s="31" t="n"/>
      <c r="K1139" s="31" t="n"/>
      <c r="L1139" s="31" t="n"/>
      <c r="M1139" s="1" t="n"/>
    </row>
    <row r="1140">
      <c r="A1140" s="1" t="n"/>
      <c r="B1140" s="24" t="n">
        <v>1134</v>
      </c>
      <c r="C1140" s="61" t="n"/>
      <c r="D1140" s="27" t="n"/>
      <c r="E1140" s="27" t="n"/>
      <c r="F1140" s="27" t="n"/>
      <c r="G1140" s="27" t="n"/>
      <c r="H1140" s="62" t="n"/>
      <c r="I1140" s="31" t="n"/>
      <c r="J1140" s="31" t="n"/>
      <c r="K1140" s="31" t="n"/>
      <c r="L1140" s="31" t="n"/>
      <c r="M1140" s="1" t="n"/>
    </row>
    <row r="1141">
      <c r="A1141" s="1" t="n"/>
      <c r="B1141" s="24" t="n">
        <v>1135</v>
      </c>
      <c r="C1141" s="61" t="n"/>
      <c r="D1141" s="27" t="n"/>
      <c r="E1141" s="27" t="n"/>
      <c r="F1141" s="27" t="n"/>
      <c r="G1141" s="27" t="n"/>
      <c r="H1141" s="62" t="n"/>
      <c r="I1141" s="31" t="n"/>
      <c r="J1141" s="31" t="n"/>
      <c r="K1141" s="31" t="n"/>
      <c r="L1141" s="31" t="n"/>
      <c r="M1141" s="1" t="n"/>
    </row>
    <row r="1142">
      <c r="A1142" s="1" t="n"/>
      <c r="B1142" s="24" t="n">
        <v>1136</v>
      </c>
      <c r="C1142" s="61" t="n"/>
      <c r="D1142" s="27" t="n"/>
      <c r="E1142" s="27" t="n"/>
      <c r="F1142" s="27" t="n"/>
      <c r="G1142" s="27" t="n"/>
      <c r="H1142" s="62" t="n"/>
      <c r="I1142" s="31" t="n"/>
      <c r="J1142" s="31" t="n"/>
      <c r="K1142" s="31" t="n"/>
      <c r="L1142" s="31" t="n"/>
      <c r="M1142" s="1" t="n"/>
    </row>
    <row r="1143">
      <c r="A1143" s="1" t="n"/>
      <c r="B1143" s="24" t="n">
        <v>1137</v>
      </c>
      <c r="C1143" s="61" t="n"/>
      <c r="D1143" s="27" t="n"/>
      <c r="E1143" s="27" t="n"/>
      <c r="F1143" s="27" t="n"/>
      <c r="G1143" s="27" t="n"/>
      <c r="H1143" s="62" t="n"/>
      <c r="I1143" s="31" t="n"/>
      <c r="J1143" s="31" t="n"/>
      <c r="K1143" s="31" t="n"/>
      <c r="L1143" s="31" t="n"/>
      <c r="M1143" s="1" t="n"/>
    </row>
    <row r="1144">
      <c r="A1144" s="1" t="n"/>
      <c r="B1144" s="24" t="n">
        <v>1138</v>
      </c>
      <c r="C1144" s="61" t="n"/>
      <c r="D1144" s="27" t="n"/>
      <c r="E1144" s="27" t="n"/>
      <c r="F1144" s="27" t="n"/>
      <c r="G1144" s="27" t="n"/>
      <c r="H1144" s="62" t="n"/>
      <c r="I1144" s="31" t="n"/>
      <c r="J1144" s="31" t="n"/>
      <c r="K1144" s="31" t="n"/>
      <c r="L1144" s="31" t="n"/>
      <c r="M1144" s="1" t="n"/>
    </row>
    <row r="1145">
      <c r="A1145" s="1" t="n"/>
      <c r="B1145" s="24" t="n">
        <v>1139</v>
      </c>
      <c r="C1145" s="61" t="n"/>
      <c r="D1145" s="27" t="n"/>
      <c r="E1145" s="27" t="n"/>
      <c r="F1145" s="27" t="n"/>
      <c r="G1145" s="27" t="n"/>
      <c r="H1145" s="62" t="n"/>
      <c r="I1145" s="31" t="n"/>
      <c r="J1145" s="31" t="n"/>
      <c r="K1145" s="31" t="n"/>
      <c r="L1145" s="31" t="n"/>
      <c r="M1145" s="1" t="n"/>
    </row>
    <row r="1146">
      <c r="A1146" s="1" t="n"/>
      <c r="B1146" s="24" t="n">
        <v>1140</v>
      </c>
      <c r="C1146" s="61" t="n"/>
      <c r="D1146" s="27" t="n"/>
      <c r="E1146" s="27" t="n"/>
      <c r="F1146" s="27" t="n"/>
      <c r="G1146" s="27" t="n"/>
      <c r="H1146" s="62" t="n"/>
      <c r="I1146" s="31" t="n"/>
      <c r="J1146" s="31" t="n"/>
      <c r="K1146" s="31" t="n"/>
      <c r="L1146" s="31" t="n"/>
      <c r="M1146" s="1" t="n"/>
    </row>
    <row r="1147">
      <c r="A1147" s="1" t="n"/>
      <c r="B1147" s="24" t="n">
        <v>1141</v>
      </c>
      <c r="C1147" s="61" t="n"/>
      <c r="D1147" s="27" t="n"/>
      <c r="E1147" s="27" t="n"/>
      <c r="F1147" s="27" t="n"/>
      <c r="G1147" s="27" t="n"/>
      <c r="H1147" s="62" t="n"/>
      <c r="I1147" s="31" t="n"/>
      <c r="J1147" s="31" t="n"/>
      <c r="K1147" s="31" t="n"/>
      <c r="L1147" s="31" t="n"/>
      <c r="M1147" s="1" t="n"/>
    </row>
    <row r="1148">
      <c r="A1148" s="1" t="n"/>
      <c r="B1148" s="24" t="n">
        <v>1142</v>
      </c>
      <c r="C1148" s="61" t="n"/>
      <c r="D1148" s="27" t="n"/>
      <c r="E1148" s="27" t="n"/>
      <c r="F1148" s="27" t="n"/>
      <c r="G1148" s="27" t="n"/>
      <c r="H1148" s="62" t="n"/>
      <c r="I1148" s="31" t="n"/>
      <c r="J1148" s="31" t="n"/>
      <c r="K1148" s="31" t="n"/>
      <c r="L1148" s="31" t="n"/>
      <c r="M1148" s="1" t="n"/>
    </row>
    <row r="1149">
      <c r="A1149" s="1" t="n"/>
      <c r="B1149" s="24" t="n">
        <v>1143</v>
      </c>
      <c r="C1149" s="61" t="n"/>
      <c r="D1149" s="27" t="n"/>
      <c r="E1149" s="27" t="n"/>
      <c r="F1149" s="27" t="n"/>
      <c r="G1149" s="27" t="n"/>
      <c r="H1149" s="62" t="n"/>
      <c r="I1149" s="31" t="n"/>
      <c r="J1149" s="31" t="n"/>
      <c r="K1149" s="31" t="n"/>
      <c r="L1149" s="31" t="n"/>
      <c r="M1149" s="1" t="n"/>
    </row>
    <row r="1150">
      <c r="A1150" s="1" t="n"/>
      <c r="B1150" s="24" t="n">
        <v>1144</v>
      </c>
      <c r="C1150" s="61" t="n"/>
      <c r="D1150" s="27" t="n"/>
      <c r="E1150" s="27" t="n"/>
      <c r="F1150" s="27" t="n"/>
      <c r="G1150" s="27" t="n"/>
      <c r="H1150" s="62" t="n"/>
      <c r="I1150" s="31" t="n"/>
      <c r="J1150" s="31" t="n"/>
      <c r="K1150" s="31" t="n"/>
      <c r="L1150" s="31" t="n"/>
      <c r="M1150" s="1" t="n"/>
    </row>
    <row r="1151">
      <c r="A1151" s="1" t="n"/>
      <c r="B1151" s="24" t="n">
        <v>1145</v>
      </c>
      <c r="C1151" s="61" t="n"/>
      <c r="D1151" s="27" t="n"/>
      <c r="E1151" s="27" t="n"/>
      <c r="F1151" s="27" t="n"/>
      <c r="G1151" s="27" t="n"/>
      <c r="H1151" s="62" t="n"/>
      <c r="I1151" s="31" t="n"/>
      <c r="J1151" s="31" t="n"/>
      <c r="K1151" s="31" t="n"/>
      <c r="L1151" s="31" t="n"/>
      <c r="M1151" s="1" t="n"/>
    </row>
    <row r="1152">
      <c r="A1152" s="1" t="n"/>
      <c r="B1152" s="24" t="n">
        <v>1146</v>
      </c>
      <c r="C1152" s="61" t="n"/>
      <c r="D1152" s="27" t="n"/>
      <c r="E1152" s="27" t="n"/>
      <c r="F1152" s="27" t="n"/>
      <c r="G1152" s="27" t="n"/>
      <c r="H1152" s="62" t="n"/>
      <c r="I1152" s="31" t="n"/>
      <c r="J1152" s="31" t="n"/>
      <c r="K1152" s="31" t="n"/>
      <c r="L1152" s="31" t="n"/>
      <c r="M1152" s="1" t="n"/>
    </row>
    <row r="1153">
      <c r="A1153" s="1" t="n"/>
      <c r="B1153" s="24" t="n">
        <v>1147</v>
      </c>
      <c r="C1153" s="61" t="n"/>
      <c r="D1153" s="27" t="n"/>
      <c r="E1153" s="27" t="n"/>
      <c r="F1153" s="27" t="n"/>
      <c r="G1153" s="27" t="n"/>
      <c r="H1153" s="62" t="n"/>
      <c r="I1153" s="31" t="n"/>
      <c r="J1153" s="31" t="n"/>
      <c r="K1153" s="31" t="n"/>
      <c r="L1153" s="31" t="n"/>
      <c r="M1153" s="1" t="n"/>
    </row>
    <row r="1154">
      <c r="A1154" s="1" t="n"/>
      <c r="B1154" s="24" t="n">
        <v>1148</v>
      </c>
      <c r="C1154" s="61" t="n"/>
      <c r="D1154" s="27" t="n"/>
      <c r="E1154" s="27" t="n"/>
      <c r="F1154" s="27" t="n"/>
      <c r="G1154" s="27" t="n"/>
      <c r="H1154" s="62" t="n"/>
      <c r="I1154" s="31" t="n"/>
      <c r="J1154" s="31" t="n"/>
      <c r="K1154" s="31" t="n"/>
      <c r="L1154" s="31" t="n"/>
      <c r="M1154" s="1" t="n"/>
    </row>
    <row r="1155">
      <c r="A1155" s="1" t="n"/>
      <c r="B1155" s="24" t="n">
        <v>1149</v>
      </c>
      <c r="C1155" s="61" t="n"/>
      <c r="D1155" s="27" t="n"/>
      <c r="E1155" s="27" t="n"/>
      <c r="F1155" s="27" t="n"/>
      <c r="G1155" s="27" t="n"/>
      <c r="H1155" s="62" t="n"/>
      <c r="I1155" s="31" t="n"/>
      <c r="J1155" s="31" t="n"/>
      <c r="K1155" s="31" t="n"/>
      <c r="L1155" s="31" t="n"/>
      <c r="M1155" s="1" t="n"/>
    </row>
    <row r="1156">
      <c r="A1156" s="1" t="n"/>
      <c r="B1156" s="24" t="n">
        <v>1150</v>
      </c>
      <c r="C1156" s="61" t="n"/>
      <c r="D1156" s="27" t="n"/>
      <c r="E1156" s="27" t="n"/>
      <c r="F1156" s="27" t="n"/>
      <c r="G1156" s="27" t="n"/>
      <c r="H1156" s="62" t="n"/>
      <c r="I1156" s="31" t="n"/>
      <c r="J1156" s="31" t="n"/>
      <c r="K1156" s="31" t="n"/>
      <c r="L1156" s="31" t="n"/>
      <c r="M1156" s="1" t="n"/>
    </row>
    <row r="1157">
      <c r="A1157" s="1" t="n"/>
      <c r="B1157" s="24" t="n">
        <v>1151</v>
      </c>
      <c r="C1157" s="61" t="n"/>
      <c r="D1157" s="27" t="n"/>
      <c r="E1157" s="27" t="n"/>
      <c r="F1157" s="27" t="n"/>
      <c r="G1157" s="27" t="n"/>
      <c r="H1157" s="62" t="n"/>
      <c r="I1157" s="31" t="n"/>
      <c r="J1157" s="31" t="n"/>
      <c r="K1157" s="31" t="n"/>
      <c r="L1157" s="31" t="n"/>
      <c r="M1157" s="1" t="n"/>
    </row>
    <row r="1158">
      <c r="A1158" s="1" t="n"/>
      <c r="B1158" s="24" t="n">
        <v>1152</v>
      </c>
      <c r="C1158" s="61" t="n"/>
      <c r="D1158" s="27" t="n"/>
      <c r="E1158" s="27" t="n"/>
      <c r="F1158" s="27" t="n"/>
      <c r="G1158" s="27" t="n"/>
      <c r="H1158" s="62" t="n"/>
      <c r="I1158" s="31" t="n"/>
      <c r="J1158" s="31" t="n"/>
      <c r="K1158" s="31" t="n"/>
      <c r="L1158" s="31" t="n"/>
      <c r="M1158" s="1" t="n"/>
    </row>
    <row r="1159">
      <c r="A1159" s="1" t="n"/>
      <c r="B1159" s="24" t="n">
        <v>1153</v>
      </c>
      <c r="C1159" s="61" t="n"/>
      <c r="D1159" s="27" t="n"/>
      <c r="E1159" s="27" t="n"/>
      <c r="F1159" s="27" t="n"/>
      <c r="G1159" s="27" t="n"/>
      <c r="H1159" s="62" t="n"/>
      <c r="I1159" s="31" t="n"/>
      <c r="J1159" s="31" t="n"/>
      <c r="K1159" s="31" t="n"/>
      <c r="L1159" s="31" t="n"/>
      <c r="M1159" s="1" t="n"/>
    </row>
    <row r="1160">
      <c r="A1160" s="1" t="n"/>
      <c r="B1160" s="24" t="n">
        <v>1154</v>
      </c>
      <c r="C1160" s="61" t="n"/>
      <c r="D1160" s="27" t="n"/>
      <c r="E1160" s="27" t="n"/>
      <c r="F1160" s="27" t="n"/>
      <c r="G1160" s="27" t="n"/>
      <c r="H1160" s="62" t="n"/>
      <c r="I1160" s="31" t="n"/>
      <c r="J1160" s="31" t="n"/>
      <c r="K1160" s="31" t="n"/>
      <c r="L1160" s="31" t="n"/>
      <c r="M1160" s="1" t="n"/>
    </row>
    <row r="1161">
      <c r="A1161" s="1" t="n"/>
      <c r="B1161" s="24" t="n">
        <v>1155</v>
      </c>
      <c r="C1161" s="61" t="n"/>
      <c r="D1161" s="27" t="n"/>
      <c r="E1161" s="27" t="n"/>
      <c r="F1161" s="27" t="n"/>
      <c r="G1161" s="27" t="n"/>
      <c r="H1161" s="62" t="n"/>
      <c r="I1161" s="31" t="n"/>
      <c r="J1161" s="31" t="n"/>
      <c r="K1161" s="31" t="n"/>
      <c r="L1161" s="31" t="n"/>
      <c r="M1161" s="1" t="n"/>
    </row>
    <row r="1162">
      <c r="A1162" s="1" t="n"/>
      <c r="B1162" s="24" t="n">
        <v>1156</v>
      </c>
      <c r="C1162" s="61" t="n"/>
      <c r="D1162" s="27" t="n"/>
      <c r="E1162" s="27" t="n"/>
      <c r="F1162" s="27" t="n"/>
      <c r="G1162" s="27" t="n"/>
      <c r="H1162" s="62" t="n"/>
      <c r="I1162" s="31" t="n"/>
      <c r="J1162" s="31" t="n"/>
      <c r="K1162" s="31" t="n"/>
      <c r="L1162" s="31" t="n"/>
      <c r="M1162" s="1" t="n"/>
    </row>
    <row r="1163">
      <c r="A1163" s="1" t="n"/>
      <c r="B1163" s="24" t="n">
        <v>1157</v>
      </c>
      <c r="C1163" s="61" t="n"/>
      <c r="D1163" s="27" t="n"/>
      <c r="E1163" s="27" t="n"/>
      <c r="F1163" s="27" t="n"/>
      <c r="G1163" s="27" t="n"/>
      <c r="H1163" s="62" t="n"/>
      <c r="I1163" s="31" t="n"/>
      <c r="J1163" s="31" t="n"/>
      <c r="K1163" s="31" t="n"/>
      <c r="L1163" s="31" t="n"/>
      <c r="M1163" s="1" t="n"/>
    </row>
    <row r="1164">
      <c r="A1164" s="1" t="n"/>
      <c r="B1164" s="24" t="n">
        <v>1158</v>
      </c>
      <c r="C1164" s="61" t="n"/>
      <c r="D1164" s="27" t="n"/>
      <c r="E1164" s="27" t="n"/>
      <c r="F1164" s="27" t="n"/>
      <c r="G1164" s="27" t="n"/>
      <c r="H1164" s="62" t="n"/>
      <c r="I1164" s="31" t="n"/>
      <c r="J1164" s="31" t="n"/>
      <c r="K1164" s="31" t="n"/>
      <c r="L1164" s="31" t="n"/>
      <c r="M1164" s="1" t="n"/>
    </row>
    <row r="1165">
      <c r="A1165" s="1" t="n"/>
      <c r="B1165" s="24" t="n">
        <v>1159</v>
      </c>
      <c r="C1165" s="61" t="n"/>
      <c r="D1165" s="27" t="n"/>
      <c r="E1165" s="27" t="n"/>
      <c r="F1165" s="27" t="n"/>
      <c r="G1165" s="27" t="n"/>
      <c r="H1165" s="62" t="n"/>
      <c r="I1165" s="31" t="n"/>
      <c r="J1165" s="31" t="n"/>
      <c r="K1165" s="31" t="n"/>
      <c r="L1165" s="31" t="n"/>
      <c r="M1165" s="1" t="n"/>
    </row>
    <row r="1166">
      <c r="A1166" s="1" t="n"/>
      <c r="B1166" s="24" t="n">
        <v>1160</v>
      </c>
      <c r="C1166" s="61" t="n"/>
      <c r="D1166" s="27" t="n"/>
      <c r="E1166" s="27" t="n"/>
      <c r="F1166" s="27" t="n"/>
      <c r="G1166" s="27" t="n"/>
      <c r="H1166" s="62" t="n"/>
      <c r="I1166" s="31" t="n"/>
      <c r="J1166" s="31" t="n"/>
      <c r="K1166" s="31" t="n"/>
      <c r="L1166" s="31" t="n"/>
      <c r="M1166" s="1" t="n"/>
    </row>
    <row r="1167">
      <c r="A1167" s="1" t="n"/>
      <c r="B1167" s="24" t="n">
        <v>1161</v>
      </c>
      <c r="C1167" s="61" t="n"/>
      <c r="D1167" s="27" t="n"/>
      <c r="E1167" s="27" t="n"/>
      <c r="F1167" s="27" t="n"/>
      <c r="G1167" s="27" t="n"/>
      <c r="H1167" s="62" t="n"/>
      <c r="I1167" s="31" t="n"/>
      <c r="J1167" s="31" t="n"/>
      <c r="K1167" s="31" t="n"/>
      <c r="L1167" s="31" t="n"/>
      <c r="M1167" s="1" t="n"/>
    </row>
    <row r="1168">
      <c r="A1168" s="1" t="n"/>
      <c r="B1168" s="24" t="n">
        <v>1162</v>
      </c>
      <c r="C1168" s="61" t="n"/>
      <c r="D1168" s="27" t="n"/>
      <c r="E1168" s="27" t="n"/>
      <c r="F1168" s="27" t="n"/>
      <c r="G1168" s="27" t="n"/>
      <c r="H1168" s="62" t="n"/>
      <c r="I1168" s="31" t="n"/>
      <c r="J1168" s="31" t="n"/>
      <c r="K1168" s="31" t="n"/>
      <c r="L1168" s="31" t="n"/>
      <c r="M1168" s="1" t="n"/>
    </row>
    <row r="1169">
      <c r="A1169" s="1" t="n"/>
      <c r="B1169" s="24" t="n">
        <v>1163</v>
      </c>
      <c r="C1169" s="61" t="n"/>
      <c r="D1169" s="27" t="n"/>
      <c r="E1169" s="27" t="n"/>
      <c r="F1169" s="27" t="n"/>
      <c r="G1169" s="27" t="n"/>
      <c r="H1169" s="62" t="n"/>
      <c r="I1169" s="31" t="n"/>
      <c r="J1169" s="31" t="n"/>
      <c r="K1169" s="31" t="n"/>
      <c r="L1169" s="31" t="n"/>
      <c r="M1169" s="1" t="n"/>
    </row>
    <row r="1170">
      <c r="A1170" s="1" t="n"/>
      <c r="B1170" s="24" t="n">
        <v>1164</v>
      </c>
      <c r="C1170" s="61" t="n"/>
      <c r="D1170" s="27" t="n"/>
      <c r="E1170" s="27" t="n"/>
      <c r="F1170" s="27" t="n"/>
      <c r="G1170" s="27" t="n"/>
      <c r="H1170" s="62" t="n"/>
      <c r="I1170" s="31" t="n"/>
      <c r="J1170" s="31" t="n"/>
      <c r="K1170" s="31" t="n"/>
      <c r="L1170" s="31" t="n"/>
      <c r="M1170" s="1" t="n"/>
    </row>
    <row r="1171">
      <c r="A1171" s="1" t="n"/>
      <c r="B1171" s="24" t="n">
        <v>1165</v>
      </c>
      <c r="C1171" s="61" t="n"/>
      <c r="D1171" s="27" t="n"/>
      <c r="E1171" s="27" t="n"/>
      <c r="F1171" s="27" t="n"/>
      <c r="G1171" s="27" t="n"/>
      <c r="H1171" s="62" t="n"/>
      <c r="I1171" s="31" t="n"/>
      <c r="J1171" s="31" t="n"/>
      <c r="K1171" s="31" t="n"/>
      <c r="L1171" s="31" t="n"/>
      <c r="M1171" s="1" t="n"/>
    </row>
    <row r="1172">
      <c r="A1172" s="1" t="n"/>
      <c r="B1172" s="24" t="n">
        <v>1166</v>
      </c>
      <c r="C1172" s="61" t="n"/>
      <c r="D1172" s="27" t="n"/>
      <c r="E1172" s="27" t="n"/>
      <c r="F1172" s="27" t="n"/>
      <c r="G1172" s="27" t="n"/>
      <c r="H1172" s="62" t="n"/>
      <c r="I1172" s="31" t="n"/>
      <c r="J1172" s="31" t="n"/>
      <c r="K1172" s="31" t="n"/>
      <c r="L1172" s="31" t="n"/>
      <c r="M1172" s="1" t="n"/>
    </row>
    <row r="1173">
      <c r="A1173" s="1" t="n"/>
      <c r="B1173" s="24" t="n">
        <v>1167</v>
      </c>
      <c r="C1173" s="61" t="n"/>
      <c r="D1173" s="27" t="n"/>
      <c r="E1173" s="27" t="n"/>
      <c r="F1173" s="27" t="n"/>
      <c r="G1173" s="27" t="n"/>
      <c r="H1173" s="62" t="n"/>
      <c r="I1173" s="31" t="n"/>
      <c r="J1173" s="31" t="n"/>
      <c r="K1173" s="31" t="n"/>
      <c r="L1173" s="31" t="n"/>
      <c r="M1173" s="1" t="n"/>
    </row>
    <row r="1174">
      <c r="A1174" s="1" t="n"/>
      <c r="B1174" s="24" t="n">
        <v>1168</v>
      </c>
      <c r="C1174" s="61" t="n"/>
      <c r="D1174" s="27" t="n"/>
      <c r="E1174" s="27" t="n"/>
      <c r="F1174" s="27" t="n"/>
      <c r="G1174" s="27" t="n"/>
      <c r="H1174" s="62" t="n"/>
      <c r="I1174" s="31" t="n"/>
      <c r="J1174" s="31" t="n"/>
      <c r="K1174" s="31" t="n"/>
      <c r="L1174" s="31" t="n"/>
      <c r="M1174" s="1" t="n"/>
    </row>
    <row r="1175">
      <c r="A1175" s="1" t="n"/>
      <c r="B1175" s="24" t="n">
        <v>1169</v>
      </c>
      <c r="C1175" s="61" t="n"/>
      <c r="D1175" s="27" t="n"/>
      <c r="E1175" s="27" t="n"/>
      <c r="F1175" s="27" t="n"/>
      <c r="G1175" s="27" t="n"/>
      <c r="H1175" s="62" t="n"/>
      <c r="I1175" s="31" t="n"/>
      <c r="J1175" s="31" t="n"/>
      <c r="K1175" s="31" t="n"/>
      <c r="L1175" s="31" t="n"/>
      <c r="M1175" s="1" t="n"/>
    </row>
    <row r="1176">
      <c r="A1176" s="1" t="n"/>
      <c r="B1176" s="24" t="n">
        <v>1170</v>
      </c>
      <c r="C1176" s="61" t="n"/>
      <c r="D1176" s="27" t="n"/>
      <c r="E1176" s="27" t="n"/>
      <c r="F1176" s="27" t="n"/>
      <c r="G1176" s="27" t="n"/>
      <c r="H1176" s="62" t="n"/>
      <c r="I1176" s="31" t="n"/>
      <c r="J1176" s="31" t="n"/>
      <c r="K1176" s="31" t="n"/>
      <c r="L1176" s="31" t="n"/>
      <c r="M1176" s="1" t="n"/>
    </row>
    <row r="1177">
      <c r="A1177" s="1" t="n"/>
      <c r="B1177" s="24" t="n">
        <v>1171</v>
      </c>
      <c r="C1177" s="61" t="n"/>
      <c r="D1177" s="27" t="n"/>
      <c r="E1177" s="27" t="n"/>
      <c r="F1177" s="27" t="n"/>
      <c r="G1177" s="27" t="n"/>
      <c r="H1177" s="62" t="n"/>
      <c r="I1177" s="31" t="n"/>
      <c r="J1177" s="31" t="n"/>
      <c r="K1177" s="31" t="n"/>
      <c r="L1177" s="31" t="n"/>
      <c r="M1177" s="1" t="n"/>
    </row>
    <row r="1178">
      <c r="A1178" s="1" t="n"/>
      <c r="B1178" s="24" t="n">
        <v>1172</v>
      </c>
      <c r="C1178" s="61" t="n"/>
      <c r="D1178" s="27" t="n"/>
      <c r="E1178" s="27" t="n"/>
      <c r="F1178" s="27" t="n"/>
      <c r="G1178" s="27" t="n"/>
      <c r="H1178" s="62" t="n"/>
      <c r="I1178" s="31" t="n"/>
      <c r="J1178" s="31" t="n"/>
      <c r="K1178" s="31" t="n"/>
      <c r="L1178" s="31" t="n"/>
      <c r="M1178" s="1" t="n"/>
    </row>
    <row r="1179">
      <c r="A1179" s="1" t="n"/>
      <c r="B1179" s="24" t="n">
        <v>1173</v>
      </c>
      <c r="C1179" s="61" t="n"/>
      <c r="D1179" s="27" t="n"/>
      <c r="E1179" s="27" t="n"/>
      <c r="F1179" s="27" t="n"/>
      <c r="G1179" s="27" t="n"/>
      <c r="H1179" s="62" t="n"/>
      <c r="I1179" s="31" t="n"/>
      <c r="J1179" s="31" t="n"/>
      <c r="K1179" s="31" t="n"/>
      <c r="L1179" s="31" t="n"/>
      <c r="M1179" s="1" t="n"/>
    </row>
    <row r="1180">
      <c r="A1180" s="1" t="n"/>
      <c r="B1180" s="24" t="n">
        <v>1174</v>
      </c>
      <c r="C1180" s="61" t="n"/>
      <c r="D1180" s="27" t="n"/>
      <c r="E1180" s="27" t="n"/>
      <c r="F1180" s="27" t="n"/>
      <c r="G1180" s="27" t="n"/>
      <c r="H1180" s="62" t="n"/>
      <c r="I1180" s="31" t="n"/>
      <c r="J1180" s="31" t="n"/>
      <c r="K1180" s="31" t="n"/>
      <c r="L1180" s="31" t="n"/>
      <c r="M1180" s="1" t="n"/>
    </row>
    <row r="1181">
      <c r="A1181" s="1" t="n"/>
      <c r="B1181" s="24" t="n">
        <v>1175</v>
      </c>
      <c r="C1181" s="61" t="n"/>
      <c r="D1181" s="27" t="n"/>
      <c r="E1181" s="27" t="n"/>
      <c r="F1181" s="27" t="n"/>
      <c r="G1181" s="27" t="n"/>
      <c r="H1181" s="62" t="n"/>
      <c r="I1181" s="31" t="n"/>
      <c r="J1181" s="31" t="n"/>
      <c r="K1181" s="31" t="n"/>
      <c r="L1181" s="31" t="n"/>
      <c r="M1181" s="1" t="n"/>
    </row>
    <row r="1182">
      <c r="A1182" s="1" t="n"/>
      <c r="B1182" s="24" t="n">
        <v>1176</v>
      </c>
      <c r="C1182" s="61" t="n"/>
      <c r="D1182" s="27" t="n"/>
      <c r="E1182" s="27" t="n"/>
      <c r="F1182" s="27" t="n"/>
      <c r="G1182" s="27" t="n"/>
      <c r="H1182" s="62" t="n"/>
      <c r="I1182" s="31" t="n"/>
      <c r="J1182" s="31" t="n"/>
      <c r="K1182" s="31" t="n"/>
      <c r="L1182" s="31" t="n"/>
      <c r="M1182" s="1" t="n"/>
    </row>
    <row r="1183">
      <c r="A1183" s="1" t="n"/>
      <c r="B1183" s="24" t="n">
        <v>1177</v>
      </c>
      <c r="C1183" s="61" t="n"/>
      <c r="D1183" s="27" t="n"/>
      <c r="E1183" s="27" t="n"/>
      <c r="F1183" s="27" t="n"/>
      <c r="G1183" s="27" t="n"/>
      <c r="H1183" s="62" t="n"/>
      <c r="I1183" s="31" t="n"/>
      <c r="J1183" s="31" t="n"/>
      <c r="K1183" s="31" t="n"/>
      <c r="L1183" s="31" t="n"/>
      <c r="M1183" s="1" t="n"/>
    </row>
    <row r="1184">
      <c r="A1184" s="1" t="n"/>
      <c r="B1184" s="24" t="n">
        <v>1178</v>
      </c>
      <c r="C1184" s="61" t="n"/>
      <c r="D1184" s="27" t="n"/>
      <c r="E1184" s="27" t="n"/>
      <c r="F1184" s="27" t="n"/>
      <c r="G1184" s="27" t="n"/>
      <c r="H1184" s="62" t="n"/>
      <c r="I1184" s="31" t="n"/>
      <c r="J1184" s="31" t="n"/>
      <c r="K1184" s="31" t="n"/>
      <c r="L1184" s="31" t="n"/>
      <c r="M1184" s="1" t="n"/>
    </row>
    <row r="1185">
      <c r="A1185" s="1" t="n"/>
      <c r="B1185" s="24" t="n">
        <v>1179</v>
      </c>
      <c r="C1185" s="61" t="n"/>
      <c r="D1185" s="27" t="n"/>
      <c r="E1185" s="27" t="n"/>
      <c r="F1185" s="27" t="n"/>
      <c r="G1185" s="27" t="n"/>
      <c r="H1185" s="62" t="n"/>
      <c r="I1185" s="31" t="n"/>
      <c r="J1185" s="31" t="n"/>
      <c r="K1185" s="31" t="n"/>
      <c r="L1185" s="31" t="n"/>
      <c r="M1185" s="1" t="n"/>
    </row>
    <row r="1186">
      <c r="A1186" s="1" t="n"/>
      <c r="B1186" s="24" t="n">
        <v>1180</v>
      </c>
      <c r="C1186" s="61" t="n"/>
      <c r="D1186" s="27" t="n"/>
      <c r="E1186" s="27" t="n"/>
      <c r="F1186" s="27" t="n"/>
      <c r="G1186" s="27" t="n"/>
      <c r="H1186" s="62" t="n"/>
      <c r="I1186" s="31" t="n"/>
      <c r="J1186" s="31" t="n"/>
      <c r="K1186" s="31" t="n"/>
      <c r="L1186" s="31" t="n"/>
      <c r="M1186" s="1" t="n"/>
    </row>
    <row r="1187">
      <c r="A1187" s="1" t="n"/>
      <c r="B1187" s="24" t="n">
        <v>1181</v>
      </c>
      <c r="C1187" s="61" t="n"/>
      <c r="D1187" s="27" t="n"/>
      <c r="E1187" s="27" t="n"/>
      <c r="F1187" s="27" t="n"/>
      <c r="G1187" s="27" t="n"/>
      <c r="H1187" s="62" t="n"/>
      <c r="I1187" s="31" t="n"/>
      <c r="J1187" s="31" t="n"/>
      <c r="K1187" s="31" t="n"/>
      <c r="L1187" s="31" t="n"/>
      <c r="M1187" s="1" t="n"/>
    </row>
    <row r="1188">
      <c r="A1188" s="1" t="n"/>
      <c r="B1188" s="24" t="n">
        <v>1182</v>
      </c>
      <c r="C1188" s="61" t="n"/>
      <c r="D1188" s="27" t="n"/>
      <c r="E1188" s="27" t="n"/>
      <c r="F1188" s="27" t="n"/>
      <c r="G1188" s="27" t="n"/>
      <c r="H1188" s="62" t="n"/>
      <c r="I1188" s="31" t="n"/>
      <c r="J1188" s="31" t="n"/>
      <c r="K1188" s="31" t="n"/>
      <c r="L1188" s="31" t="n"/>
      <c r="M1188" s="1" t="n"/>
    </row>
    <row r="1189">
      <c r="A1189" s="1" t="n"/>
      <c r="B1189" s="24" t="n">
        <v>1183</v>
      </c>
      <c r="C1189" s="61" t="n"/>
      <c r="D1189" s="27" t="n"/>
      <c r="E1189" s="27" t="n"/>
      <c r="F1189" s="27" t="n"/>
      <c r="G1189" s="27" t="n"/>
      <c r="H1189" s="62" t="n"/>
      <c r="I1189" s="31" t="n"/>
      <c r="J1189" s="31" t="n"/>
      <c r="K1189" s="31" t="n"/>
      <c r="L1189" s="31" t="n"/>
      <c r="M1189" s="1" t="n"/>
    </row>
    <row r="1190">
      <c r="A1190" s="1" t="n"/>
      <c r="B1190" s="24" t="n">
        <v>1184</v>
      </c>
      <c r="C1190" s="61" t="n"/>
      <c r="D1190" s="27" t="n"/>
      <c r="E1190" s="27" t="n"/>
      <c r="F1190" s="27" t="n"/>
      <c r="G1190" s="27" t="n"/>
      <c r="H1190" s="62" t="n"/>
      <c r="I1190" s="31" t="n"/>
      <c r="J1190" s="31" t="n"/>
      <c r="K1190" s="31" t="n"/>
      <c r="L1190" s="31" t="n"/>
      <c r="M1190" s="1" t="n"/>
    </row>
    <row r="1191">
      <c r="A1191" s="1" t="n"/>
      <c r="B1191" s="24" t="n">
        <v>1185</v>
      </c>
      <c r="C1191" s="61" t="n"/>
      <c r="D1191" s="27" t="n"/>
      <c r="E1191" s="27" t="n"/>
      <c r="F1191" s="27" t="n"/>
      <c r="G1191" s="27" t="n"/>
      <c r="H1191" s="62" t="n"/>
      <c r="I1191" s="31" t="n"/>
      <c r="J1191" s="31" t="n"/>
      <c r="K1191" s="31" t="n"/>
      <c r="L1191" s="31" t="n"/>
      <c r="M1191" s="1" t="n"/>
    </row>
    <row r="1192">
      <c r="A1192" s="1" t="n"/>
      <c r="B1192" s="24" t="n">
        <v>1186</v>
      </c>
      <c r="C1192" s="61" t="n"/>
      <c r="D1192" s="27" t="n"/>
      <c r="E1192" s="27" t="n"/>
      <c r="F1192" s="27" t="n"/>
      <c r="G1192" s="27" t="n"/>
      <c r="H1192" s="62" t="n"/>
      <c r="I1192" s="31" t="n"/>
      <c r="J1192" s="31" t="n"/>
      <c r="K1192" s="31" t="n"/>
      <c r="L1192" s="31" t="n"/>
      <c r="M1192" s="1" t="n"/>
    </row>
    <row r="1193">
      <c r="A1193" s="1" t="n"/>
      <c r="B1193" s="24" t="n">
        <v>1187</v>
      </c>
      <c r="C1193" s="61" t="n"/>
      <c r="D1193" s="27" t="n"/>
      <c r="E1193" s="27" t="n"/>
      <c r="F1193" s="27" t="n"/>
      <c r="G1193" s="27" t="n"/>
      <c r="H1193" s="62" t="n"/>
      <c r="I1193" s="31" t="n"/>
      <c r="J1193" s="31" t="n"/>
      <c r="K1193" s="31" t="n"/>
      <c r="L1193" s="31" t="n"/>
      <c r="M1193" s="1" t="n"/>
    </row>
    <row r="1194">
      <c r="A1194" s="1" t="n"/>
      <c r="B1194" s="24" t="n">
        <v>1188</v>
      </c>
      <c r="C1194" s="61" t="n"/>
      <c r="D1194" s="27" t="n"/>
      <c r="E1194" s="27" t="n"/>
      <c r="F1194" s="27" t="n"/>
      <c r="G1194" s="27" t="n"/>
      <c r="H1194" s="62" t="n"/>
      <c r="I1194" s="31" t="n"/>
      <c r="J1194" s="31" t="n"/>
      <c r="K1194" s="31" t="n"/>
      <c r="L1194" s="31" t="n"/>
      <c r="M1194" s="1" t="n"/>
    </row>
    <row r="1195">
      <c r="A1195" s="1" t="n"/>
      <c r="B1195" s="24" t="n">
        <v>1189</v>
      </c>
      <c r="C1195" s="61" t="n"/>
      <c r="D1195" s="27" t="n"/>
      <c r="E1195" s="27" t="n"/>
      <c r="F1195" s="27" t="n"/>
      <c r="G1195" s="27" t="n"/>
      <c r="H1195" s="62" t="n"/>
      <c r="I1195" s="31" t="n"/>
      <c r="J1195" s="31" t="n"/>
      <c r="K1195" s="31" t="n"/>
      <c r="L1195" s="31" t="n"/>
      <c r="M1195" s="1" t="n"/>
    </row>
    <row r="1196">
      <c r="A1196" s="1" t="n"/>
      <c r="B1196" s="24" t="n">
        <v>1190</v>
      </c>
      <c r="C1196" s="61" t="n"/>
      <c r="D1196" s="27" t="n"/>
      <c r="E1196" s="27" t="n"/>
      <c r="F1196" s="27" t="n"/>
      <c r="G1196" s="27" t="n"/>
      <c r="H1196" s="62" t="n"/>
      <c r="I1196" s="31" t="n"/>
      <c r="J1196" s="31" t="n"/>
      <c r="K1196" s="31" t="n"/>
      <c r="L1196" s="31" t="n"/>
      <c r="M1196" s="1" t="n"/>
    </row>
    <row r="1197">
      <c r="A1197" s="1" t="n"/>
      <c r="B1197" s="24" t="n">
        <v>1191</v>
      </c>
      <c r="C1197" s="61" t="n"/>
      <c r="D1197" s="27" t="n"/>
      <c r="E1197" s="27" t="n"/>
      <c r="F1197" s="27" t="n"/>
      <c r="G1197" s="27" t="n"/>
      <c r="H1197" s="62" t="n"/>
      <c r="I1197" s="31" t="n"/>
      <c r="J1197" s="31" t="n"/>
      <c r="K1197" s="31" t="n"/>
      <c r="L1197" s="31" t="n"/>
      <c r="M1197" s="1" t="n"/>
    </row>
    <row r="1198">
      <c r="A1198" s="1" t="n"/>
      <c r="B1198" s="24" t="n">
        <v>1192</v>
      </c>
      <c r="C1198" s="61" t="n"/>
      <c r="D1198" s="27" t="n"/>
      <c r="E1198" s="27" t="n"/>
      <c r="F1198" s="27" t="n"/>
      <c r="G1198" s="27" t="n"/>
      <c r="H1198" s="62" t="n"/>
      <c r="I1198" s="31" t="n"/>
      <c r="J1198" s="31" t="n"/>
      <c r="K1198" s="31" t="n"/>
      <c r="L1198" s="31" t="n"/>
      <c r="M1198" s="1" t="n"/>
    </row>
    <row r="1199">
      <c r="A1199" s="1" t="n"/>
      <c r="B1199" s="24" t="n">
        <v>1193</v>
      </c>
      <c r="C1199" s="61" t="n"/>
      <c r="D1199" s="27" t="n"/>
      <c r="E1199" s="27" t="n"/>
      <c r="F1199" s="27" t="n"/>
      <c r="G1199" s="27" t="n"/>
      <c r="H1199" s="62" t="n"/>
      <c r="I1199" s="31" t="n"/>
      <c r="J1199" s="31" t="n"/>
      <c r="K1199" s="31" t="n"/>
      <c r="L1199" s="31" t="n"/>
      <c r="M1199" s="1" t="n"/>
    </row>
    <row r="1200">
      <c r="A1200" s="1" t="n"/>
      <c r="B1200" s="24" t="n">
        <v>1194</v>
      </c>
      <c r="C1200" s="61" t="n"/>
      <c r="D1200" s="27" t="n"/>
      <c r="E1200" s="27" t="n"/>
      <c r="F1200" s="27" t="n"/>
      <c r="G1200" s="27" t="n"/>
      <c r="H1200" s="62" t="n"/>
      <c r="I1200" s="31" t="n"/>
      <c r="J1200" s="31" t="n"/>
      <c r="K1200" s="31" t="n"/>
      <c r="L1200" s="31" t="n"/>
      <c r="M1200" s="1" t="n"/>
    </row>
    <row r="1201">
      <c r="A1201" s="1" t="n"/>
      <c r="B1201" s="24" t="n">
        <v>1195</v>
      </c>
      <c r="C1201" s="61" t="n"/>
      <c r="D1201" s="27" t="n"/>
      <c r="E1201" s="27" t="n"/>
      <c r="F1201" s="27" t="n"/>
      <c r="G1201" s="27" t="n"/>
      <c r="H1201" s="62" t="n"/>
      <c r="I1201" s="31" t="n"/>
      <c r="J1201" s="31" t="n"/>
      <c r="K1201" s="31" t="n"/>
      <c r="L1201" s="31" t="n"/>
      <c r="M1201" s="1" t="n"/>
    </row>
    <row r="1202">
      <c r="A1202" s="1" t="n"/>
      <c r="B1202" s="24" t="n">
        <v>1196</v>
      </c>
      <c r="C1202" s="61" t="n"/>
      <c r="D1202" s="27" t="n"/>
      <c r="E1202" s="27" t="n"/>
      <c r="F1202" s="27" t="n"/>
      <c r="G1202" s="27" t="n"/>
      <c r="H1202" s="62" t="n"/>
      <c r="I1202" s="31" t="n"/>
      <c r="J1202" s="31" t="n"/>
      <c r="K1202" s="31" t="n"/>
      <c r="L1202" s="31" t="n"/>
      <c r="M1202" s="1" t="n"/>
    </row>
    <row r="1203">
      <c r="A1203" s="1" t="n"/>
      <c r="B1203" s="24" t="n">
        <v>1197</v>
      </c>
      <c r="C1203" s="61" t="n"/>
      <c r="D1203" s="27" t="n"/>
      <c r="E1203" s="27" t="n"/>
      <c r="F1203" s="27" t="n"/>
      <c r="G1203" s="27" t="n"/>
      <c r="H1203" s="62" t="n"/>
      <c r="I1203" s="31" t="n"/>
      <c r="J1203" s="31" t="n"/>
      <c r="K1203" s="31" t="n"/>
      <c r="L1203" s="31" t="n"/>
      <c r="M1203" s="1" t="n"/>
    </row>
    <row r="1204">
      <c r="A1204" s="1" t="n"/>
      <c r="B1204" s="24" t="n">
        <v>1198</v>
      </c>
      <c r="C1204" s="61" t="n"/>
      <c r="D1204" s="27" t="n"/>
      <c r="E1204" s="27" t="n"/>
      <c r="F1204" s="27" t="n"/>
      <c r="G1204" s="27" t="n"/>
      <c r="H1204" s="62" t="n"/>
      <c r="I1204" s="31" t="n"/>
      <c r="J1204" s="31" t="n"/>
      <c r="K1204" s="31" t="n"/>
      <c r="L1204" s="31" t="n"/>
      <c r="M1204" s="1" t="n"/>
    </row>
    <row r="1205">
      <c r="A1205" s="1" t="n"/>
      <c r="B1205" s="24" t="n">
        <v>1199</v>
      </c>
      <c r="C1205" s="61" t="n"/>
      <c r="D1205" s="27" t="n"/>
      <c r="E1205" s="27" t="n"/>
      <c r="F1205" s="27" t="n"/>
      <c r="G1205" s="27" t="n"/>
      <c r="H1205" s="62" t="n"/>
      <c r="I1205" s="31" t="n"/>
      <c r="J1205" s="31" t="n"/>
      <c r="K1205" s="31" t="n"/>
      <c r="L1205" s="31" t="n"/>
      <c r="M1205" s="1" t="n"/>
    </row>
    <row r="1206">
      <c r="A1206" s="1" t="n"/>
      <c r="B1206" s="24" t="n">
        <v>1200</v>
      </c>
      <c r="C1206" s="61" t="n"/>
      <c r="D1206" s="27" t="n"/>
      <c r="E1206" s="27" t="n"/>
      <c r="F1206" s="27" t="n"/>
      <c r="G1206" s="27" t="n"/>
      <c r="H1206" s="62" t="n"/>
      <c r="I1206" s="31" t="n"/>
      <c r="J1206" s="31" t="n"/>
      <c r="K1206" s="31" t="n"/>
      <c r="L1206" s="31" t="n"/>
      <c r="M1206" s="1" t="n"/>
    </row>
    <row r="1207">
      <c r="A1207" s="1" t="n"/>
      <c r="B1207" s="24" t="n">
        <v>1201</v>
      </c>
      <c r="C1207" s="61" t="n"/>
      <c r="D1207" s="27" t="n"/>
      <c r="E1207" s="27" t="n"/>
      <c r="F1207" s="27" t="n"/>
      <c r="G1207" s="27" t="n"/>
      <c r="H1207" s="62" t="n"/>
      <c r="I1207" s="31" t="n"/>
      <c r="J1207" s="31" t="n"/>
      <c r="K1207" s="31" t="n"/>
      <c r="L1207" s="31" t="n"/>
      <c r="M1207" s="1" t="n"/>
    </row>
    <row r="1208">
      <c r="A1208" s="1" t="n"/>
      <c r="B1208" s="24" t="n">
        <v>1202</v>
      </c>
      <c r="C1208" s="61" t="n"/>
      <c r="D1208" s="27" t="n"/>
      <c r="E1208" s="27" t="n"/>
      <c r="F1208" s="27" t="n"/>
      <c r="G1208" s="27" t="n"/>
      <c r="H1208" s="62" t="n"/>
      <c r="I1208" s="31" t="n"/>
      <c r="J1208" s="31" t="n"/>
      <c r="K1208" s="31" t="n"/>
      <c r="L1208" s="31" t="n"/>
      <c r="M1208" s="1" t="n"/>
    </row>
    <row r="1209">
      <c r="A1209" s="1" t="n"/>
      <c r="B1209" s="24" t="n">
        <v>1203</v>
      </c>
      <c r="C1209" s="61" t="n"/>
      <c r="D1209" s="27" t="n"/>
      <c r="E1209" s="27" t="n"/>
      <c r="F1209" s="27" t="n"/>
      <c r="G1209" s="27" t="n"/>
      <c r="H1209" s="62" t="n"/>
      <c r="I1209" s="31" t="n"/>
      <c r="J1209" s="31" t="n"/>
      <c r="K1209" s="31" t="n"/>
      <c r="L1209" s="31" t="n"/>
      <c r="M1209" s="1" t="n"/>
    </row>
    <row r="1210">
      <c r="A1210" s="1" t="n"/>
      <c r="B1210" s="24" t="n">
        <v>1204</v>
      </c>
      <c r="C1210" s="61" t="n"/>
      <c r="D1210" s="27" t="n"/>
      <c r="E1210" s="27" t="n"/>
      <c r="F1210" s="27" t="n"/>
      <c r="G1210" s="27" t="n"/>
      <c r="H1210" s="62" t="n"/>
      <c r="I1210" s="31" t="n"/>
      <c r="J1210" s="31" t="n"/>
      <c r="K1210" s="31" t="n"/>
      <c r="L1210" s="31" t="n"/>
      <c r="M1210" s="1" t="n"/>
    </row>
    <row r="1211">
      <c r="A1211" s="1" t="n"/>
      <c r="B1211" s="24" t="n">
        <v>1205</v>
      </c>
      <c r="C1211" s="61" t="n"/>
      <c r="D1211" s="27" t="n"/>
      <c r="E1211" s="27" t="n"/>
      <c r="F1211" s="27" t="n"/>
      <c r="G1211" s="27" t="n"/>
      <c r="H1211" s="62" t="n"/>
      <c r="I1211" s="31" t="n"/>
      <c r="J1211" s="31" t="n"/>
      <c r="K1211" s="31" t="n"/>
      <c r="L1211" s="31" t="n"/>
      <c r="M1211" s="1" t="n"/>
    </row>
    <row r="1212">
      <c r="A1212" s="1" t="n"/>
      <c r="B1212" s="24" t="n">
        <v>1206</v>
      </c>
      <c r="C1212" s="61" t="n"/>
      <c r="D1212" s="27" t="n"/>
      <c r="E1212" s="27" t="n"/>
      <c r="F1212" s="27" t="n"/>
      <c r="G1212" s="27" t="n"/>
      <c r="H1212" s="62" t="n"/>
      <c r="I1212" s="31" t="n"/>
      <c r="J1212" s="31" t="n"/>
      <c r="K1212" s="31" t="n"/>
      <c r="L1212" s="31" t="n"/>
      <c r="M1212" s="1" t="n"/>
    </row>
    <row r="1213">
      <c r="A1213" s="1" t="n"/>
      <c r="B1213" s="24" t="n">
        <v>1207</v>
      </c>
      <c r="C1213" s="61" t="n"/>
      <c r="D1213" s="27" t="n"/>
      <c r="E1213" s="27" t="n"/>
      <c r="F1213" s="27" t="n"/>
      <c r="G1213" s="27" t="n"/>
      <c r="H1213" s="62" t="n"/>
      <c r="I1213" s="31" t="n"/>
      <c r="J1213" s="31" t="n"/>
      <c r="K1213" s="31" t="n"/>
      <c r="L1213" s="31" t="n"/>
      <c r="M1213" s="1" t="n"/>
    </row>
    <row r="1214">
      <c r="A1214" s="1" t="n"/>
      <c r="B1214" s="24" t="n">
        <v>1208</v>
      </c>
      <c r="C1214" s="61" t="n"/>
      <c r="D1214" s="27" t="n"/>
      <c r="E1214" s="27" t="n"/>
      <c r="F1214" s="27" t="n"/>
      <c r="G1214" s="27" t="n"/>
      <c r="H1214" s="62" t="n"/>
      <c r="I1214" s="31" t="n"/>
      <c r="J1214" s="31" t="n"/>
      <c r="K1214" s="31" t="n"/>
      <c r="L1214" s="31" t="n"/>
      <c r="M1214" s="1" t="n"/>
    </row>
    <row r="1215">
      <c r="A1215" s="1" t="n"/>
      <c r="B1215" s="24" t="n">
        <v>1209</v>
      </c>
      <c r="C1215" s="61" t="n"/>
      <c r="D1215" s="27" t="n"/>
      <c r="E1215" s="27" t="n"/>
      <c r="F1215" s="27" t="n"/>
      <c r="G1215" s="27" t="n"/>
      <c r="H1215" s="62" t="n"/>
      <c r="I1215" s="31" t="n"/>
      <c r="J1215" s="31" t="n"/>
      <c r="K1215" s="31" t="n"/>
      <c r="L1215" s="31" t="n"/>
      <c r="M1215" s="1" t="n"/>
    </row>
    <row r="1216">
      <c r="A1216" s="1" t="n"/>
      <c r="B1216" s="24" t="n">
        <v>1210</v>
      </c>
      <c r="C1216" s="61" t="n"/>
      <c r="D1216" s="27" t="n"/>
      <c r="E1216" s="27" t="n"/>
      <c r="F1216" s="27" t="n"/>
      <c r="G1216" s="27" t="n"/>
      <c r="H1216" s="62" t="n"/>
      <c r="I1216" s="31" t="n"/>
      <c r="J1216" s="31" t="n"/>
      <c r="K1216" s="31" t="n"/>
      <c r="L1216" s="31" t="n"/>
      <c r="M1216" s="1" t="n"/>
    </row>
    <row r="1217">
      <c r="A1217" s="1" t="n"/>
      <c r="B1217" s="24" t="n">
        <v>1211</v>
      </c>
      <c r="C1217" s="61" t="n"/>
      <c r="D1217" s="27" t="n"/>
      <c r="E1217" s="27" t="n"/>
      <c r="F1217" s="27" t="n"/>
      <c r="G1217" s="27" t="n"/>
      <c r="H1217" s="62" t="n"/>
      <c r="I1217" s="31" t="n"/>
      <c r="J1217" s="31" t="n"/>
      <c r="K1217" s="31" t="n"/>
      <c r="L1217" s="31" t="n"/>
      <c r="M1217" s="1" t="n"/>
    </row>
    <row r="1218">
      <c r="A1218" s="1" t="n"/>
      <c r="B1218" s="24" t="n">
        <v>1212</v>
      </c>
      <c r="C1218" s="61" t="n"/>
      <c r="D1218" s="27" t="n"/>
      <c r="E1218" s="27" t="n"/>
      <c r="F1218" s="27" t="n"/>
      <c r="G1218" s="27" t="n"/>
      <c r="H1218" s="62" t="n"/>
      <c r="I1218" s="31" t="n"/>
      <c r="J1218" s="31" t="n"/>
      <c r="K1218" s="31" t="n"/>
      <c r="L1218" s="31" t="n"/>
      <c r="M1218" s="1" t="n"/>
    </row>
    <row r="1219">
      <c r="A1219" s="1" t="n"/>
      <c r="B1219" s="24" t="n">
        <v>1213</v>
      </c>
      <c r="C1219" s="61" t="n"/>
      <c r="D1219" s="27" t="n"/>
      <c r="E1219" s="27" t="n"/>
      <c r="F1219" s="27" t="n"/>
      <c r="G1219" s="27" t="n"/>
      <c r="H1219" s="62" t="n"/>
      <c r="I1219" s="31" t="n"/>
      <c r="J1219" s="31" t="n"/>
      <c r="K1219" s="31" t="n"/>
      <c r="L1219" s="31" t="n"/>
      <c r="M1219" s="1" t="n"/>
    </row>
    <row r="1220">
      <c r="A1220" s="1" t="n"/>
      <c r="B1220" s="24" t="n">
        <v>1214</v>
      </c>
      <c r="C1220" s="61" t="n"/>
      <c r="D1220" s="27" t="n"/>
      <c r="E1220" s="27" t="n"/>
      <c r="F1220" s="27" t="n"/>
      <c r="G1220" s="27" t="n"/>
      <c r="H1220" s="62" t="n"/>
      <c r="I1220" s="31" t="n"/>
      <c r="J1220" s="31" t="n"/>
      <c r="K1220" s="31" t="n"/>
      <c r="L1220" s="31" t="n"/>
      <c r="M1220" s="1" t="n"/>
    </row>
    <row r="1221">
      <c r="A1221" s="1" t="n"/>
      <c r="B1221" s="24" t="n">
        <v>1215</v>
      </c>
      <c r="C1221" s="61" t="n"/>
      <c r="D1221" s="27" t="n"/>
      <c r="E1221" s="27" t="n"/>
      <c r="F1221" s="27" t="n"/>
      <c r="G1221" s="27" t="n"/>
      <c r="H1221" s="62" t="n"/>
      <c r="I1221" s="31" t="n"/>
      <c r="J1221" s="31" t="n"/>
      <c r="K1221" s="31" t="n"/>
      <c r="L1221" s="31" t="n"/>
      <c r="M1221" s="1" t="n"/>
    </row>
    <row r="1222">
      <c r="A1222" s="1" t="n"/>
      <c r="B1222" s="24" t="n">
        <v>1216</v>
      </c>
      <c r="C1222" s="61" t="n"/>
      <c r="D1222" s="27" t="n"/>
      <c r="E1222" s="27" t="n"/>
      <c r="F1222" s="27" t="n"/>
      <c r="G1222" s="27" t="n"/>
      <c r="H1222" s="62" t="n"/>
      <c r="I1222" s="31" t="n"/>
      <c r="J1222" s="31" t="n"/>
      <c r="K1222" s="31" t="n"/>
      <c r="L1222" s="31" t="n"/>
      <c r="M1222" s="1" t="n"/>
    </row>
    <row r="1223">
      <c r="A1223" s="1" t="n"/>
      <c r="B1223" s="24" t="n">
        <v>1217</v>
      </c>
      <c r="C1223" s="61" t="n"/>
      <c r="D1223" s="27" t="n"/>
      <c r="E1223" s="27" t="n"/>
      <c r="F1223" s="27" t="n"/>
      <c r="G1223" s="27" t="n"/>
      <c r="H1223" s="62" t="n"/>
      <c r="I1223" s="31" t="n"/>
      <c r="J1223" s="31" t="n"/>
      <c r="K1223" s="31" t="n"/>
      <c r="L1223" s="31" t="n"/>
      <c r="M1223" s="1" t="n"/>
    </row>
    <row r="1224">
      <c r="A1224" s="1" t="n"/>
      <c r="B1224" s="24" t="n">
        <v>1218</v>
      </c>
      <c r="C1224" s="61" t="n"/>
      <c r="D1224" s="27" t="n"/>
      <c r="E1224" s="27" t="n"/>
      <c r="F1224" s="27" t="n"/>
      <c r="G1224" s="27" t="n"/>
      <c r="H1224" s="62" t="n"/>
      <c r="I1224" s="31" t="n"/>
      <c r="J1224" s="31" t="n"/>
      <c r="K1224" s="31" t="n"/>
      <c r="L1224" s="31" t="n"/>
      <c r="M1224" s="1" t="n"/>
    </row>
    <row r="1225">
      <c r="A1225" s="1" t="n"/>
      <c r="B1225" s="24" t="n">
        <v>1219</v>
      </c>
      <c r="C1225" s="61" t="n"/>
      <c r="D1225" s="27" t="n"/>
      <c r="E1225" s="27" t="n"/>
      <c r="F1225" s="27" t="n"/>
      <c r="G1225" s="27" t="n"/>
      <c r="H1225" s="62" t="n"/>
      <c r="I1225" s="31" t="n"/>
      <c r="J1225" s="31" t="n"/>
      <c r="K1225" s="31" t="n"/>
      <c r="L1225" s="31" t="n"/>
      <c r="M1225" s="1" t="n"/>
    </row>
    <row r="1226">
      <c r="A1226" s="1" t="n"/>
      <c r="B1226" s="24" t="n">
        <v>1220</v>
      </c>
      <c r="C1226" s="61" t="n"/>
      <c r="D1226" s="27" t="n"/>
      <c r="E1226" s="27" t="n"/>
      <c r="F1226" s="27" t="n"/>
      <c r="G1226" s="27" t="n"/>
      <c r="H1226" s="62" t="n"/>
      <c r="I1226" s="31" t="n"/>
      <c r="J1226" s="31" t="n"/>
      <c r="K1226" s="31" t="n"/>
      <c r="L1226" s="31" t="n"/>
      <c r="M1226" s="1" t="n"/>
    </row>
    <row r="1227">
      <c r="A1227" s="1" t="n"/>
      <c r="B1227" s="24" t="n">
        <v>1221</v>
      </c>
      <c r="C1227" s="61" t="n"/>
      <c r="D1227" s="27" t="n"/>
      <c r="E1227" s="27" t="n"/>
      <c r="F1227" s="27" t="n"/>
      <c r="G1227" s="27" t="n"/>
      <c r="H1227" s="62" t="n"/>
      <c r="I1227" s="31" t="n"/>
      <c r="J1227" s="31" t="n"/>
      <c r="K1227" s="31" t="n"/>
      <c r="L1227" s="31" t="n"/>
      <c r="M1227" s="1" t="n"/>
    </row>
    <row r="1228">
      <c r="A1228" s="1" t="n"/>
      <c r="B1228" s="24" t="n">
        <v>1222</v>
      </c>
      <c r="C1228" s="61" t="n"/>
      <c r="D1228" s="27" t="n"/>
      <c r="E1228" s="27" t="n"/>
      <c r="F1228" s="27" t="n"/>
      <c r="G1228" s="27" t="n"/>
      <c r="H1228" s="62" t="n"/>
      <c r="I1228" s="31" t="n"/>
      <c r="J1228" s="31" t="n"/>
      <c r="K1228" s="31" t="n"/>
      <c r="L1228" s="31" t="n"/>
      <c r="M1228" s="1" t="n"/>
    </row>
    <row r="1229">
      <c r="A1229" s="1" t="n"/>
      <c r="B1229" s="24" t="n">
        <v>1223</v>
      </c>
      <c r="C1229" s="61" t="n"/>
      <c r="D1229" s="27" t="n"/>
      <c r="E1229" s="27" t="n"/>
      <c r="F1229" s="27" t="n"/>
      <c r="G1229" s="27" t="n"/>
      <c r="H1229" s="62" t="n"/>
      <c r="I1229" s="31" t="n"/>
      <c r="J1229" s="31" t="n"/>
      <c r="K1229" s="31" t="n"/>
      <c r="L1229" s="31" t="n"/>
      <c r="M1229" s="1" t="n"/>
    </row>
    <row r="1230">
      <c r="A1230" s="1" t="n"/>
      <c r="B1230" s="24" t="n">
        <v>1224</v>
      </c>
      <c r="C1230" s="61" t="n"/>
      <c r="D1230" s="27" t="n"/>
      <c r="E1230" s="27" t="n"/>
      <c r="F1230" s="27" t="n"/>
      <c r="G1230" s="27" t="n"/>
      <c r="H1230" s="62" t="n"/>
      <c r="I1230" s="31" t="n"/>
      <c r="J1230" s="31" t="n"/>
      <c r="K1230" s="31" t="n"/>
      <c r="L1230" s="31" t="n"/>
      <c r="M1230" s="1" t="n"/>
    </row>
    <row r="1231">
      <c r="A1231" s="1" t="n"/>
      <c r="B1231" s="24" t="n">
        <v>1225</v>
      </c>
      <c r="C1231" s="61" t="n"/>
      <c r="D1231" s="27" t="n"/>
      <c r="E1231" s="27" t="n"/>
      <c r="F1231" s="27" t="n"/>
      <c r="G1231" s="27" t="n"/>
      <c r="H1231" s="62" t="n"/>
      <c r="I1231" s="31" t="n"/>
      <c r="J1231" s="31" t="n"/>
      <c r="K1231" s="31" t="n"/>
      <c r="L1231" s="31" t="n"/>
      <c r="M1231" s="1" t="n"/>
    </row>
    <row r="1232">
      <c r="A1232" s="1" t="n"/>
      <c r="B1232" s="24" t="n">
        <v>1226</v>
      </c>
      <c r="C1232" s="61" t="n"/>
      <c r="D1232" s="27" t="n"/>
      <c r="E1232" s="27" t="n"/>
      <c r="F1232" s="27" t="n"/>
      <c r="G1232" s="27" t="n"/>
      <c r="H1232" s="62" t="n"/>
      <c r="I1232" s="31" t="n"/>
      <c r="J1232" s="31" t="n"/>
      <c r="K1232" s="31" t="n"/>
      <c r="L1232" s="31" t="n"/>
      <c r="M1232" s="1" t="n"/>
    </row>
    <row r="1233">
      <c r="A1233" s="1" t="n"/>
      <c r="B1233" s="24" t="n">
        <v>1227</v>
      </c>
      <c r="C1233" s="61" t="n"/>
      <c r="D1233" s="27" t="n"/>
      <c r="E1233" s="27" t="n"/>
      <c r="F1233" s="27" t="n"/>
      <c r="G1233" s="27" t="n"/>
      <c r="H1233" s="62" t="n"/>
      <c r="I1233" s="31" t="n"/>
      <c r="J1233" s="31" t="n"/>
      <c r="K1233" s="31" t="n"/>
      <c r="L1233" s="31" t="n"/>
      <c r="M1233" s="1" t="n"/>
    </row>
    <row r="1234">
      <c r="A1234" s="1" t="n"/>
      <c r="B1234" s="24" t="n">
        <v>1228</v>
      </c>
      <c r="C1234" s="61" t="n"/>
      <c r="D1234" s="27" t="n"/>
      <c r="E1234" s="27" t="n"/>
      <c r="F1234" s="27" t="n"/>
      <c r="G1234" s="27" t="n"/>
      <c r="H1234" s="62" t="n"/>
      <c r="I1234" s="31" t="n"/>
      <c r="J1234" s="31" t="n"/>
      <c r="K1234" s="31" t="n"/>
      <c r="L1234" s="31" t="n"/>
      <c r="M1234" s="1" t="n"/>
    </row>
    <row r="1235">
      <c r="A1235" s="1" t="n"/>
      <c r="B1235" s="24" t="n">
        <v>1229</v>
      </c>
      <c r="C1235" s="61" t="n"/>
      <c r="D1235" s="27" t="n"/>
      <c r="E1235" s="27" t="n"/>
      <c r="F1235" s="27" t="n"/>
      <c r="G1235" s="27" t="n"/>
      <c r="H1235" s="62" t="n"/>
      <c r="I1235" s="31" t="n"/>
      <c r="J1235" s="31" t="n"/>
      <c r="K1235" s="31" t="n"/>
      <c r="L1235" s="31" t="n"/>
      <c r="M1235" s="1" t="n"/>
    </row>
    <row r="1236">
      <c r="A1236" s="1" t="n"/>
      <c r="B1236" s="24" t="n">
        <v>1230</v>
      </c>
      <c r="C1236" s="61" t="n"/>
      <c r="D1236" s="27" t="n"/>
      <c r="E1236" s="27" t="n"/>
      <c r="F1236" s="27" t="n"/>
      <c r="G1236" s="27" t="n"/>
      <c r="H1236" s="62" t="n"/>
      <c r="I1236" s="31" t="n"/>
      <c r="J1236" s="31" t="n"/>
      <c r="K1236" s="31" t="n"/>
      <c r="L1236" s="31" t="n"/>
      <c r="M1236" s="1" t="n"/>
    </row>
    <row r="1237">
      <c r="A1237" s="1" t="n"/>
      <c r="B1237" s="24" t="n">
        <v>1231</v>
      </c>
      <c r="C1237" s="61" t="n"/>
      <c r="D1237" s="27" t="n"/>
      <c r="E1237" s="27" t="n"/>
      <c r="F1237" s="27" t="n"/>
      <c r="G1237" s="27" t="n"/>
      <c r="H1237" s="62" t="n"/>
      <c r="I1237" s="31" t="n"/>
      <c r="J1237" s="31" t="n"/>
      <c r="K1237" s="31" t="n"/>
      <c r="L1237" s="31" t="n"/>
      <c r="M1237" s="1" t="n"/>
    </row>
    <row r="1238">
      <c r="A1238" s="1" t="n"/>
      <c r="B1238" s="24" t="n">
        <v>1232</v>
      </c>
      <c r="C1238" s="61" t="n"/>
      <c r="D1238" s="27" t="n"/>
      <c r="E1238" s="27" t="n"/>
      <c r="F1238" s="27" t="n"/>
      <c r="G1238" s="27" t="n"/>
      <c r="H1238" s="62" t="n"/>
      <c r="I1238" s="31" t="n"/>
      <c r="J1238" s="31" t="n"/>
      <c r="K1238" s="31" t="n"/>
      <c r="L1238" s="31" t="n"/>
      <c r="M1238" s="1" t="n"/>
    </row>
    <row r="1239">
      <c r="A1239" s="1" t="n"/>
      <c r="B1239" s="24" t="n">
        <v>1233</v>
      </c>
      <c r="C1239" s="61" t="n"/>
      <c r="D1239" s="27" t="n"/>
      <c r="E1239" s="27" t="n"/>
      <c r="F1239" s="27" t="n"/>
      <c r="G1239" s="27" t="n"/>
      <c r="H1239" s="62" t="n"/>
      <c r="I1239" s="31" t="n"/>
      <c r="J1239" s="31" t="n"/>
      <c r="K1239" s="31" t="n"/>
      <c r="L1239" s="31" t="n"/>
      <c r="M1239" s="1" t="n"/>
    </row>
    <row r="1240">
      <c r="A1240" s="1" t="n"/>
      <c r="B1240" s="24" t="n">
        <v>1234</v>
      </c>
      <c r="C1240" s="61" t="n"/>
      <c r="D1240" s="27" t="n"/>
      <c r="E1240" s="27" t="n"/>
      <c r="F1240" s="27" t="n"/>
      <c r="G1240" s="27" t="n"/>
      <c r="H1240" s="62" t="n"/>
      <c r="I1240" s="31" t="n"/>
      <c r="J1240" s="31" t="n"/>
      <c r="K1240" s="31" t="n"/>
      <c r="L1240" s="31" t="n"/>
      <c r="M1240" s="1" t="n"/>
    </row>
    <row r="1241">
      <c r="A1241" s="1" t="n"/>
      <c r="B1241" s="24" t="n">
        <v>1235</v>
      </c>
      <c r="C1241" s="61" t="n"/>
      <c r="D1241" s="27" t="n"/>
      <c r="E1241" s="27" t="n"/>
      <c r="F1241" s="27" t="n"/>
      <c r="G1241" s="27" t="n"/>
      <c r="H1241" s="62" t="n"/>
      <c r="I1241" s="31" t="n"/>
      <c r="J1241" s="31" t="n"/>
      <c r="K1241" s="31" t="n"/>
      <c r="L1241" s="31" t="n"/>
      <c r="M1241" s="1" t="n"/>
    </row>
    <row r="1242">
      <c r="A1242" s="1" t="n"/>
      <c r="B1242" s="24" t="n">
        <v>1236</v>
      </c>
      <c r="C1242" s="61" t="n"/>
      <c r="D1242" s="27" t="n"/>
      <c r="E1242" s="27" t="n"/>
      <c r="F1242" s="27" t="n"/>
      <c r="G1242" s="27" t="n"/>
      <c r="H1242" s="62" t="n"/>
      <c r="I1242" s="31" t="n"/>
      <c r="J1242" s="31" t="n"/>
      <c r="K1242" s="31" t="n"/>
      <c r="L1242" s="31" t="n"/>
      <c r="M1242" s="1" t="n"/>
    </row>
    <row r="1243">
      <c r="A1243" s="1" t="n"/>
      <c r="B1243" s="24" t="n">
        <v>1237</v>
      </c>
      <c r="C1243" s="61" t="n"/>
      <c r="D1243" s="27" t="n"/>
      <c r="E1243" s="27" t="n"/>
      <c r="F1243" s="27" t="n"/>
      <c r="G1243" s="27" t="n"/>
      <c r="H1243" s="62" t="n"/>
      <c r="I1243" s="31" t="n"/>
      <c r="J1243" s="31" t="n"/>
      <c r="K1243" s="31" t="n"/>
      <c r="L1243" s="31" t="n"/>
      <c r="M1243" s="1" t="n"/>
    </row>
    <row r="1244">
      <c r="A1244" s="1" t="n"/>
      <c r="B1244" s="24" t="n">
        <v>1238</v>
      </c>
      <c r="C1244" s="61" t="n"/>
      <c r="D1244" s="27" t="n"/>
      <c r="E1244" s="27" t="n"/>
      <c r="F1244" s="27" t="n"/>
      <c r="G1244" s="27" t="n"/>
      <c r="H1244" s="62" t="n"/>
      <c r="I1244" s="31" t="n"/>
      <c r="J1244" s="31" t="n"/>
      <c r="K1244" s="31" t="n"/>
      <c r="L1244" s="31" t="n"/>
      <c r="M1244" s="1" t="n"/>
    </row>
    <row r="1245">
      <c r="A1245" s="1" t="n"/>
      <c r="B1245" s="24" t="n">
        <v>1239</v>
      </c>
      <c r="C1245" s="61" t="n"/>
      <c r="D1245" s="27" t="n"/>
      <c r="E1245" s="27" t="n"/>
      <c r="F1245" s="27" t="n"/>
      <c r="G1245" s="27" t="n"/>
      <c r="H1245" s="62" t="n"/>
      <c r="I1245" s="31" t="n"/>
      <c r="J1245" s="31" t="n"/>
      <c r="K1245" s="31" t="n"/>
      <c r="L1245" s="31" t="n"/>
      <c r="M1245" s="1" t="n"/>
    </row>
    <row r="1246">
      <c r="A1246" s="1" t="n"/>
      <c r="B1246" s="24" t="n">
        <v>1240</v>
      </c>
      <c r="C1246" s="61" t="n"/>
      <c r="D1246" s="27" t="n"/>
      <c r="E1246" s="27" t="n"/>
      <c r="F1246" s="27" t="n"/>
      <c r="G1246" s="27" t="n"/>
      <c r="H1246" s="62" t="n"/>
      <c r="I1246" s="31" t="n"/>
      <c r="J1246" s="31" t="n"/>
      <c r="K1246" s="31" t="n"/>
      <c r="L1246" s="31" t="n"/>
      <c r="M1246" s="1" t="n"/>
    </row>
    <row r="1247">
      <c r="A1247" s="1" t="n"/>
      <c r="B1247" s="24" t="n">
        <v>1241</v>
      </c>
      <c r="C1247" s="61" t="n"/>
      <c r="D1247" s="27" t="n"/>
      <c r="E1247" s="27" t="n"/>
      <c r="F1247" s="27" t="n"/>
      <c r="G1247" s="27" t="n"/>
      <c r="H1247" s="62" t="n"/>
      <c r="I1247" s="31" t="n"/>
      <c r="J1247" s="31" t="n"/>
      <c r="K1247" s="31" t="n"/>
      <c r="L1247" s="31" t="n"/>
      <c r="M1247" s="1" t="n"/>
    </row>
    <row r="1248">
      <c r="A1248" s="1" t="n"/>
      <c r="B1248" s="24" t="n">
        <v>1242</v>
      </c>
      <c r="C1248" s="61" t="n"/>
      <c r="D1248" s="27" t="n"/>
      <c r="E1248" s="27" t="n"/>
      <c r="F1248" s="27" t="n"/>
      <c r="G1248" s="27" t="n"/>
      <c r="H1248" s="62" t="n"/>
      <c r="I1248" s="31" t="n"/>
      <c r="J1248" s="31" t="n"/>
      <c r="K1248" s="31" t="n"/>
      <c r="L1248" s="31" t="n"/>
      <c r="M1248" s="1" t="n"/>
    </row>
    <row r="1249">
      <c r="A1249" s="1" t="n"/>
      <c r="B1249" s="24" t="n">
        <v>1243</v>
      </c>
      <c r="C1249" s="61" t="n"/>
      <c r="D1249" s="27" t="n"/>
      <c r="E1249" s="27" t="n"/>
      <c r="F1249" s="27" t="n"/>
      <c r="G1249" s="27" t="n"/>
      <c r="H1249" s="62" t="n"/>
      <c r="I1249" s="31" t="n"/>
      <c r="J1249" s="31" t="n"/>
      <c r="K1249" s="31" t="n"/>
      <c r="L1249" s="31" t="n"/>
      <c r="M1249" s="1" t="n"/>
    </row>
    <row r="1250">
      <c r="A1250" s="1" t="n"/>
      <c r="B1250" s="24" t="n">
        <v>1244</v>
      </c>
      <c r="C1250" s="61" t="n"/>
      <c r="D1250" s="27" t="n"/>
      <c r="E1250" s="27" t="n"/>
      <c r="F1250" s="27" t="n"/>
      <c r="G1250" s="27" t="n"/>
      <c r="H1250" s="62" t="n"/>
      <c r="I1250" s="31" t="n"/>
      <c r="J1250" s="31" t="n"/>
      <c r="K1250" s="31" t="n"/>
      <c r="L1250" s="31" t="n"/>
      <c r="M1250" s="1" t="n"/>
    </row>
    <row r="1251">
      <c r="A1251" s="1" t="n"/>
      <c r="B1251" s="24" t="n">
        <v>1245</v>
      </c>
      <c r="C1251" s="61" t="n"/>
      <c r="D1251" s="27" t="n"/>
      <c r="E1251" s="27" t="n"/>
      <c r="F1251" s="27" t="n"/>
      <c r="G1251" s="27" t="n"/>
      <c r="H1251" s="62" t="n"/>
      <c r="I1251" s="31" t="n"/>
      <c r="J1251" s="31" t="n"/>
      <c r="K1251" s="31" t="n"/>
      <c r="L1251" s="31" t="n"/>
      <c r="M1251" s="1" t="n"/>
    </row>
    <row r="1252">
      <c r="A1252" s="1" t="n"/>
      <c r="B1252" s="24" t="n">
        <v>1246</v>
      </c>
      <c r="C1252" s="61" t="n"/>
      <c r="D1252" s="27" t="n"/>
      <c r="E1252" s="27" t="n"/>
      <c r="F1252" s="27" t="n"/>
      <c r="G1252" s="27" t="n"/>
      <c r="H1252" s="62" t="n"/>
      <c r="I1252" s="31" t="n"/>
      <c r="J1252" s="31" t="n"/>
      <c r="K1252" s="31" t="n"/>
      <c r="L1252" s="31" t="n"/>
      <c r="M1252" s="1" t="n"/>
    </row>
    <row r="1253">
      <c r="A1253" s="1" t="n"/>
      <c r="B1253" s="24" t="n">
        <v>1247</v>
      </c>
      <c r="C1253" s="61" t="n"/>
      <c r="D1253" s="27" t="n"/>
      <c r="E1253" s="27" t="n"/>
      <c r="F1253" s="27" t="n"/>
      <c r="G1253" s="27" t="n"/>
      <c r="H1253" s="62" t="n"/>
      <c r="I1253" s="31" t="n"/>
      <c r="J1253" s="31" t="n"/>
      <c r="K1253" s="31" t="n"/>
      <c r="L1253" s="31" t="n"/>
      <c r="M1253" s="1" t="n"/>
    </row>
    <row r="1254">
      <c r="A1254" s="1" t="n"/>
      <c r="B1254" s="24" t="n">
        <v>1248</v>
      </c>
      <c r="C1254" s="61" t="n"/>
      <c r="D1254" s="27" t="n"/>
      <c r="E1254" s="27" t="n"/>
      <c r="F1254" s="27" t="n"/>
      <c r="G1254" s="27" t="n"/>
      <c r="H1254" s="62" t="n"/>
      <c r="I1254" s="31" t="n"/>
      <c r="J1254" s="31" t="n"/>
      <c r="K1254" s="31" t="n"/>
      <c r="L1254" s="31" t="n"/>
      <c r="M1254" s="1" t="n"/>
    </row>
    <row r="1255">
      <c r="A1255" s="1" t="n"/>
      <c r="B1255" s="24" t="n">
        <v>1249</v>
      </c>
      <c r="C1255" s="61" t="n"/>
      <c r="D1255" s="27" t="n"/>
      <c r="E1255" s="27" t="n"/>
      <c r="F1255" s="27" t="n"/>
      <c r="G1255" s="27" t="n"/>
      <c r="H1255" s="62" t="n"/>
      <c r="I1255" s="31" t="n"/>
      <c r="J1255" s="31" t="n"/>
      <c r="K1255" s="31" t="n"/>
      <c r="L1255" s="31" t="n"/>
      <c r="M1255" s="1" t="n"/>
    </row>
    <row r="1256">
      <c r="A1256" s="1" t="n"/>
      <c r="B1256" s="24" t="n">
        <v>1250</v>
      </c>
      <c r="C1256" s="61" t="n"/>
      <c r="D1256" s="27" t="n"/>
      <c r="E1256" s="27" t="n"/>
      <c r="F1256" s="27" t="n"/>
      <c r="G1256" s="27" t="n"/>
      <c r="H1256" s="62" t="n"/>
      <c r="I1256" s="31" t="n"/>
      <c r="J1256" s="31" t="n"/>
      <c r="K1256" s="31" t="n"/>
      <c r="L1256" s="31" t="n"/>
      <c r="M1256" s="1" t="n"/>
    </row>
    <row r="1257">
      <c r="A1257" s="1" t="n"/>
      <c r="B1257" s="24" t="n">
        <v>1251</v>
      </c>
      <c r="C1257" s="61" t="n"/>
      <c r="D1257" s="27" t="n"/>
      <c r="E1257" s="27" t="n"/>
      <c r="F1257" s="27" t="n"/>
      <c r="G1257" s="27" t="n"/>
      <c r="H1257" s="62" t="n"/>
      <c r="I1257" s="31" t="n"/>
      <c r="J1257" s="31" t="n"/>
      <c r="K1257" s="31" t="n"/>
      <c r="L1257" s="31" t="n"/>
      <c r="M1257" s="1" t="n"/>
    </row>
    <row r="1258">
      <c r="A1258" s="1" t="n"/>
      <c r="B1258" s="24" t="n">
        <v>1252</v>
      </c>
      <c r="C1258" s="61" t="n"/>
      <c r="D1258" s="27" t="n"/>
      <c r="E1258" s="27" t="n"/>
      <c r="F1258" s="27" t="n"/>
      <c r="G1258" s="27" t="n"/>
      <c r="H1258" s="62" t="n"/>
      <c r="I1258" s="31" t="n"/>
      <c r="J1258" s="31" t="n"/>
      <c r="K1258" s="31" t="n"/>
      <c r="L1258" s="31" t="n"/>
      <c r="M1258" s="1" t="n"/>
    </row>
    <row r="1259">
      <c r="A1259" s="1" t="n"/>
      <c r="B1259" s="24" t="n">
        <v>1253</v>
      </c>
      <c r="C1259" s="61" t="n"/>
      <c r="D1259" s="27" t="n"/>
      <c r="E1259" s="27" t="n"/>
      <c r="F1259" s="27" t="n"/>
      <c r="G1259" s="27" t="n"/>
      <c r="H1259" s="62" t="n"/>
      <c r="I1259" s="31" t="n"/>
      <c r="J1259" s="31" t="n"/>
      <c r="K1259" s="31" t="n"/>
      <c r="L1259" s="31" t="n"/>
      <c r="M1259" s="1" t="n"/>
    </row>
    <row r="1260">
      <c r="A1260" s="1" t="n"/>
      <c r="B1260" s="24" t="n">
        <v>1254</v>
      </c>
      <c r="C1260" s="61" t="n"/>
      <c r="D1260" s="27" t="n"/>
      <c r="E1260" s="27" t="n"/>
      <c r="F1260" s="27" t="n"/>
      <c r="G1260" s="27" t="n"/>
      <c r="H1260" s="62" t="n"/>
      <c r="I1260" s="31" t="n"/>
      <c r="J1260" s="31" t="n"/>
      <c r="K1260" s="31" t="n"/>
      <c r="L1260" s="31" t="n"/>
      <c r="M1260" s="1" t="n"/>
    </row>
    <row r="1261">
      <c r="A1261" s="1" t="n"/>
      <c r="B1261" s="24" t="n">
        <v>1255</v>
      </c>
      <c r="C1261" s="61" t="n"/>
      <c r="D1261" s="27" t="n"/>
      <c r="E1261" s="27" t="n"/>
      <c r="F1261" s="27" t="n"/>
      <c r="G1261" s="27" t="n"/>
      <c r="H1261" s="62" t="n"/>
      <c r="I1261" s="31" t="n"/>
      <c r="J1261" s="31" t="n"/>
      <c r="K1261" s="31" t="n"/>
      <c r="L1261" s="31" t="n"/>
      <c r="M1261" s="1" t="n"/>
    </row>
    <row r="1262">
      <c r="A1262" s="1" t="n"/>
      <c r="B1262" s="24" t="n">
        <v>1256</v>
      </c>
      <c r="C1262" s="61" t="n"/>
      <c r="D1262" s="27" t="n"/>
      <c r="E1262" s="27" t="n"/>
      <c r="F1262" s="27" t="n"/>
      <c r="G1262" s="27" t="n"/>
      <c r="H1262" s="62" t="n"/>
      <c r="I1262" s="31" t="n"/>
      <c r="J1262" s="31" t="n"/>
      <c r="K1262" s="31" t="n"/>
      <c r="L1262" s="31" t="n"/>
      <c r="M1262" s="1" t="n"/>
    </row>
    <row r="1263">
      <c r="A1263" s="1" t="n"/>
      <c r="B1263" s="24" t="n">
        <v>1257</v>
      </c>
      <c r="C1263" s="61" t="n"/>
      <c r="D1263" s="27" t="n"/>
      <c r="E1263" s="27" t="n"/>
      <c r="F1263" s="27" t="n"/>
      <c r="G1263" s="27" t="n"/>
      <c r="H1263" s="62" t="n"/>
      <c r="I1263" s="31" t="n"/>
      <c r="J1263" s="31" t="n"/>
      <c r="K1263" s="31" t="n"/>
      <c r="L1263" s="31" t="n"/>
      <c r="M1263" s="1" t="n"/>
    </row>
    <row r="1264">
      <c r="A1264" s="1" t="n"/>
      <c r="B1264" s="24" t="n">
        <v>1258</v>
      </c>
      <c r="C1264" s="61" t="n"/>
      <c r="D1264" s="27" t="n"/>
      <c r="E1264" s="27" t="n"/>
      <c r="F1264" s="27" t="n"/>
      <c r="G1264" s="27" t="n"/>
      <c r="H1264" s="62" t="n"/>
      <c r="I1264" s="31" t="n"/>
      <c r="J1264" s="31" t="n"/>
      <c r="K1264" s="31" t="n"/>
      <c r="L1264" s="31" t="n"/>
      <c r="M1264" s="1" t="n"/>
    </row>
    <row r="1265">
      <c r="A1265" s="1" t="n"/>
      <c r="B1265" s="24" t="n">
        <v>1259</v>
      </c>
      <c r="C1265" s="61" t="n"/>
      <c r="D1265" s="27" t="n"/>
      <c r="E1265" s="27" t="n"/>
      <c r="F1265" s="27" t="n"/>
      <c r="G1265" s="27" t="n"/>
      <c r="H1265" s="62" t="n"/>
      <c r="I1265" s="31" t="n"/>
      <c r="J1265" s="31" t="n"/>
      <c r="K1265" s="31" t="n"/>
      <c r="L1265" s="31" t="n"/>
      <c r="M1265" s="1" t="n"/>
    </row>
    <row r="1266">
      <c r="A1266" s="1" t="n"/>
      <c r="B1266" s="24" t="n">
        <v>1260</v>
      </c>
      <c r="C1266" s="61" t="n"/>
      <c r="D1266" s="27" t="n"/>
      <c r="E1266" s="27" t="n"/>
      <c r="F1266" s="27" t="n"/>
      <c r="G1266" s="27" t="n"/>
      <c r="H1266" s="62" t="n"/>
      <c r="I1266" s="31" t="n"/>
      <c r="J1266" s="31" t="n"/>
      <c r="K1266" s="31" t="n"/>
      <c r="L1266" s="31" t="n"/>
      <c r="M1266" s="1" t="n"/>
    </row>
    <row r="1267">
      <c r="A1267" s="1" t="n"/>
      <c r="B1267" s="24" t="n">
        <v>1261</v>
      </c>
      <c r="C1267" s="61" t="n"/>
      <c r="D1267" s="27" t="n"/>
      <c r="E1267" s="27" t="n"/>
      <c r="F1267" s="27" t="n"/>
      <c r="G1267" s="27" t="n"/>
      <c r="H1267" s="62" t="n"/>
      <c r="I1267" s="31" t="n"/>
      <c r="J1267" s="31" t="n"/>
      <c r="K1267" s="31" t="n"/>
      <c r="L1267" s="31" t="n"/>
      <c r="M1267" s="1" t="n"/>
    </row>
    <row r="1268">
      <c r="A1268" s="1" t="n"/>
      <c r="B1268" s="24" t="n">
        <v>1262</v>
      </c>
      <c r="C1268" s="61" t="n"/>
      <c r="D1268" s="27" t="n"/>
      <c r="E1268" s="27" t="n"/>
      <c r="F1268" s="27" t="n"/>
      <c r="G1268" s="27" t="n"/>
      <c r="H1268" s="62" t="n"/>
      <c r="I1268" s="31" t="n"/>
      <c r="J1268" s="31" t="n"/>
      <c r="K1268" s="31" t="n"/>
      <c r="L1268" s="31" t="n"/>
      <c r="M1268" s="1" t="n"/>
    </row>
    <row r="1269">
      <c r="A1269" s="1" t="n"/>
      <c r="B1269" s="24" t="n">
        <v>1263</v>
      </c>
      <c r="C1269" s="61" t="n"/>
      <c r="D1269" s="27" t="n"/>
      <c r="E1269" s="27" t="n"/>
      <c r="F1269" s="27" t="n"/>
      <c r="G1269" s="27" t="n"/>
      <c r="H1269" s="62" t="n"/>
      <c r="I1269" s="31" t="n"/>
      <c r="J1269" s="31" t="n"/>
      <c r="K1269" s="31" t="n"/>
      <c r="L1269" s="31" t="n"/>
      <c r="M1269" s="1" t="n"/>
    </row>
    <row r="1270">
      <c r="A1270" s="1" t="n"/>
      <c r="B1270" s="24" t="n">
        <v>1264</v>
      </c>
      <c r="C1270" s="61" t="n"/>
      <c r="D1270" s="27" t="n"/>
      <c r="E1270" s="27" t="n"/>
      <c r="F1270" s="27" t="n"/>
      <c r="G1270" s="27" t="n"/>
      <c r="H1270" s="62" t="n"/>
      <c r="I1270" s="31" t="n"/>
      <c r="J1270" s="31" t="n"/>
      <c r="K1270" s="31" t="n"/>
      <c r="L1270" s="31" t="n"/>
      <c r="M1270" s="1" t="n"/>
    </row>
    <row r="1271">
      <c r="A1271" s="1" t="n"/>
      <c r="B1271" s="24" t="n">
        <v>1265</v>
      </c>
      <c r="C1271" s="61" t="n"/>
      <c r="D1271" s="27" t="n"/>
      <c r="E1271" s="27" t="n"/>
      <c r="F1271" s="27" t="n"/>
      <c r="G1271" s="27" t="n"/>
      <c r="H1271" s="62" t="n"/>
      <c r="I1271" s="31" t="n"/>
      <c r="J1271" s="31" t="n"/>
      <c r="K1271" s="31" t="n"/>
      <c r="L1271" s="31" t="n"/>
      <c r="M1271" s="1" t="n"/>
    </row>
    <row r="1272">
      <c r="A1272" s="1" t="n"/>
      <c r="B1272" s="24" t="n">
        <v>1266</v>
      </c>
      <c r="C1272" s="61" t="n"/>
      <c r="D1272" s="27" t="n"/>
      <c r="E1272" s="27" t="n"/>
      <c r="F1272" s="27" t="n"/>
      <c r="G1272" s="27" t="n"/>
      <c r="H1272" s="62" t="n"/>
      <c r="I1272" s="31" t="n"/>
      <c r="J1272" s="31" t="n"/>
      <c r="K1272" s="31" t="n"/>
      <c r="L1272" s="31" t="n"/>
      <c r="M1272" s="1" t="n"/>
    </row>
    <row r="1273">
      <c r="A1273" s="1" t="n"/>
      <c r="B1273" s="24" t="n">
        <v>1267</v>
      </c>
      <c r="C1273" s="61" t="n"/>
      <c r="D1273" s="27" t="n"/>
      <c r="E1273" s="27" t="n"/>
      <c r="F1273" s="27" t="n"/>
      <c r="G1273" s="27" t="n"/>
      <c r="H1273" s="62" t="n"/>
      <c r="I1273" s="31" t="n"/>
      <c r="J1273" s="31" t="n"/>
      <c r="K1273" s="31" t="n"/>
      <c r="L1273" s="31" t="n"/>
      <c r="M1273" s="1" t="n"/>
    </row>
    <row r="1274">
      <c r="A1274" s="1" t="n"/>
      <c r="B1274" s="24" t="n">
        <v>1268</v>
      </c>
      <c r="C1274" s="61" t="n"/>
      <c r="D1274" s="27" t="n"/>
      <c r="E1274" s="27" t="n"/>
      <c r="F1274" s="27" t="n"/>
      <c r="G1274" s="27" t="n"/>
      <c r="H1274" s="62" t="n"/>
      <c r="I1274" s="31" t="n"/>
      <c r="J1274" s="31" t="n"/>
      <c r="K1274" s="31" t="n"/>
      <c r="L1274" s="31" t="n"/>
      <c r="M1274" s="1" t="n"/>
    </row>
    <row r="1275">
      <c r="A1275" s="1" t="n"/>
      <c r="B1275" s="24" t="n">
        <v>1269</v>
      </c>
      <c r="C1275" s="61" t="n"/>
      <c r="D1275" s="27" t="n"/>
      <c r="E1275" s="27" t="n"/>
      <c r="F1275" s="27" t="n"/>
      <c r="G1275" s="27" t="n"/>
      <c r="H1275" s="62" t="n"/>
      <c r="I1275" s="31" t="n"/>
      <c r="J1275" s="31" t="n"/>
      <c r="K1275" s="31" t="n"/>
      <c r="L1275" s="31" t="n"/>
      <c r="M1275" s="1" t="n"/>
    </row>
    <row r="1276">
      <c r="A1276" s="1" t="n"/>
      <c r="B1276" s="24" t="n">
        <v>1270</v>
      </c>
      <c r="C1276" s="61" t="n"/>
      <c r="D1276" s="27" t="n"/>
      <c r="E1276" s="27" t="n"/>
      <c r="F1276" s="27" t="n"/>
      <c r="G1276" s="27" t="n"/>
      <c r="H1276" s="62" t="n"/>
      <c r="I1276" s="31" t="n"/>
      <c r="J1276" s="31" t="n"/>
      <c r="K1276" s="31" t="n"/>
      <c r="L1276" s="31" t="n"/>
      <c r="M1276" s="1" t="n"/>
    </row>
    <row r="1277">
      <c r="A1277" s="1" t="n"/>
      <c r="B1277" s="24" t="n">
        <v>1271</v>
      </c>
      <c r="C1277" s="61" t="n"/>
      <c r="D1277" s="27" t="n"/>
      <c r="E1277" s="27" t="n"/>
      <c r="F1277" s="27" t="n"/>
      <c r="G1277" s="27" t="n"/>
      <c r="H1277" s="62" t="n"/>
      <c r="I1277" s="31" t="n"/>
      <c r="J1277" s="31" t="n"/>
      <c r="K1277" s="31" t="n"/>
      <c r="L1277" s="31" t="n"/>
      <c r="M1277" s="1" t="n"/>
    </row>
    <row r="1278">
      <c r="A1278" s="1" t="n"/>
      <c r="B1278" s="24" t="n">
        <v>1272</v>
      </c>
      <c r="C1278" s="61" t="n"/>
      <c r="D1278" s="27" t="n"/>
      <c r="E1278" s="27" t="n"/>
      <c r="F1278" s="27" t="n"/>
      <c r="G1278" s="27" t="n"/>
      <c r="H1278" s="62" t="n"/>
      <c r="I1278" s="31" t="n"/>
      <c r="J1278" s="31" t="n"/>
      <c r="K1278" s="31" t="n"/>
      <c r="L1278" s="31" t="n"/>
      <c r="M1278" s="1" t="n"/>
    </row>
    <row r="1279">
      <c r="A1279" s="1" t="n"/>
      <c r="B1279" s="24" t="n">
        <v>1273</v>
      </c>
      <c r="C1279" s="61" t="n"/>
      <c r="D1279" s="27" t="n"/>
      <c r="E1279" s="27" t="n"/>
      <c r="F1279" s="27" t="n"/>
      <c r="G1279" s="27" t="n"/>
      <c r="H1279" s="62" t="n"/>
      <c r="I1279" s="31" t="n"/>
      <c r="J1279" s="31" t="n"/>
      <c r="K1279" s="31" t="n"/>
      <c r="L1279" s="31" t="n"/>
      <c r="M1279" s="1" t="n"/>
    </row>
    <row r="1280">
      <c r="A1280" s="1" t="n"/>
      <c r="B1280" s="24" t="n">
        <v>1274</v>
      </c>
      <c r="C1280" s="61" t="n"/>
      <c r="D1280" s="27" t="n"/>
      <c r="E1280" s="27" t="n"/>
      <c r="F1280" s="27" t="n"/>
      <c r="G1280" s="27" t="n"/>
      <c r="H1280" s="62" t="n"/>
      <c r="I1280" s="31" t="n"/>
      <c r="J1280" s="31" t="n"/>
      <c r="K1280" s="31" t="n"/>
      <c r="L1280" s="31" t="n"/>
      <c r="M1280" s="1" t="n"/>
    </row>
    <row r="1281">
      <c r="A1281" s="1" t="n"/>
      <c r="B1281" s="24" t="n">
        <v>1275</v>
      </c>
      <c r="C1281" s="61" t="n"/>
      <c r="D1281" s="27" t="n"/>
      <c r="E1281" s="27" t="n"/>
      <c r="F1281" s="27" t="n"/>
      <c r="G1281" s="27" t="n"/>
      <c r="H1281" s="62" t="n"/>
      <c r="I1281" s="31" t="n"/>
      <c r="J1281" s="31" t="n"/>
      <c r="K1281" s="31" t="n"/>
      <c r="L1281" s="31" t="n"/>
      <c r="M1281" s="1" t="n"/>
    </row>
    <row r="1282">
      <c r="A1282" s="1" t="n"/>
      <c r="B1282" s="24" t="n">
        <v>1276</v>
      </c>
      <c r="C1282" s="61" t="n"/>
      <c r="D1282" s="27" t="n"/>
      <c r="E1282" s="27" t="n"/>
      <c r="F1282" s="27" t="n"/>
      <c r="G1282" s="27" t="n"/>
      <c r="H1282" s="62" t="n"/>
      <c r="I1282" s="31" t="n"/>
      <c r="J1282" s="31" t="n"/>
      <c r="K1282" s="31" t="n"/>
      <c r="L1282" s="31" t="n"/>
      <c r="M1282" s="1" t="n"/>
    </row>
    <row r="1283">
      <c r="A1283" s="1" t="n"/>
      <c r="B1283" s="24" t="n">
        <v>1277</v>
      </c>
      <c r="C1283" s="61" t="n"/>
      <c r="D1283" s="27" t="n"/>
      <c r="E1283" s="27" t="n"/>
      <c r="F1283" s="27" t="n"/>
      <c r="G1283" s="27" t="n"/>
      <c r="H1283" s="62" t="n"/>
      <c r="I1283" s="31" t="n"/>
      <c r="J1283" s="31" t="n"/>
      <c r="K1283" s="31" t="n"/>
      <c r="L1283" s="31" t="n"/>
      <c r="M1283" s="1" t="n"/>
    </row>
    <row r="1284">
      <c r="A1284" s="1" t="n"/>
      <c r="B1284" s="24" t="n">
        <v>1278</v>
      </c>
      <c r="C1284" s="61" t="n"/>
      <c r="D1284" s="27" t="n"/>
      <c r="E1284" s="27" t="n"/>
      <c r="F1284" s="27" t="n"/>
      <c r="G1284" s="27" t="n"/>
      <c r="H1284" s="62" t="n"/>
      <c r="I1284" s="31" t="n"/>
      <c r="J1284" s="31" t="n"/>
      <c r="K1284" s="31" t="n"/>
      <c r="L1284" s="31" t="n"/>
      <c r="M1284" s="1" t="n"/>
    </row>
    <row r="1285">
      <c r="A1285" s="1" t="n"/>
      <c r="B1285" s="24" t="n">
        <v>1279</v>
      </c>
      <c r="C1285" s="61" t="n"/>
      <c r="D1285" s="27" t="n"/>
      <c r="E1285" s="27" t="n"/>
      <c r="F1285" s="27" t="n"/>
      <c r="G1285" s="27" t="n"/>
      <c r="H1285" s="62" t="n"/>
      <c r="I1285" s="31" t="n"/>
      <c r="J1285" s="31" t="n"/>
      <c r="K1285" s="31" t="n"/>
      <c r="L1285" s="31" t="n"/>
      <c r="M1285" s="1" t="n"/>
    </row>
    <row r="1286">
      <c r="A1286" s="1" t="n"/>
      <c r="B1286" s="24" t="n">
        <v>1280</v>
      </c>
      <c r="C1286" s="61" t="n"/>
      <c r="D1286" s="27" t="n"/>
      <c r="E1286" s="27" t="n"/>
      <c r="F1286" s="27" t="n"/>
      <c r="G1286" s="27" t="n"/>
      <c r="H1286" s="62" t="n"/>
      <c r="I1286" s="31" t="n"/>
      <c r="J1286" s="31" t="n"/>
      <c r="K1286" s="31" t="n"/>
      <c r="L1286" s="31" t="n"/>
      <c r="M1286" s="1" t="n"/>
    </row>
    <row r="1287">
      <c r="A1287" s="1" t="n"/>
      <c r="B1287" s="24" t="n">
        <v>1281</v>
      </c>
      <c r="C1287" s="61" t="n"/>
      <c r="D1287" s="27" t="n"/>
      <c r="E1287" s="27" t="n"/>
      <c r="F1287" s="27" t="n"/>
      <c r="G1287" s="27" t="n"/>
      <c r="H1287" s="62" t="n"/>
      <c r="I1287" s="31" t="n"/>
      <c r="J1287" s="31" t="n"/>
      <c r="K1287" s="31" t="n"/>
      <c r="L1287" s="31" t="n"/>
      <c r="M1287" s="1" t="n"/>
    </row>
    <row r="1288">
      <c r="A1288" s="1" t="n"/>
      <c r="B1288" s="24" t="n">
        <v>1282</v>
      </c>
      <c r="C1288" s="61" t="n"/>
      <c r="D1288" s="27" t="n"/>
      <c r="E1288" s="27" t="n"/>
      <c r="F1288" s="27" t="n"/>
      <c r="G1288" s="27" t="n"/>
      <c r="H1288" s="62" t="n"/>
      <c r="I1288" s="31" t="n"/>
      <c r="J1288" s="31" t="n"/>
      <c r="K1288" s="31" t="n"/>
      <c r="L1288" s="31" t="n"/>
      <c r="M1288" s="1" t="n"/>
    </row>
    <row r="1289">
      <c r="A1289" s="1" t="n"/>
      <c r="B1289" s="24" t="n">
        <v>1283</v>
      </c>
      <c r="C1289" s="61" t="n"/>
      <c r="D1289" s="27" t="n"/>
      <c r="E1289" s="27" t="n"/>
      <c r="F1289" s="27" t="n"/>
      <c r="G1289" s="27" t="n"/>
      <c r="H1289" s="62" t="n"/>
      <c r="I1289" s="31" t="n"/>
      <c r="J1289" s="31" t="n"/>
      <c r="K1289" s="31" t="n"/>
      <c r="L1289" s="31" t="n"/>
      <c r="M1289" s="1" t="n"/>
    </row>
    <row r="1290">
      <c r="A1290" s="1" t="n"/>
      <c r="B1290" s="24" t="n">
        <v>1284</v>
      </c>
      <c r="C1290" s="61" t="n"/>
      <c r="D1290" s="27" t="n"/>
      <c r="E1290" s="27" t="n"/>
      <c r="F1290" s="27" t="n"/>
      <c r="G1290" s="27" t="n"/>
      <c r="H1290" s="62" t="n"/>
      <c r="I1290" s="31" t="n"/>
      <c r="J1290" s="31" t="n"/>
      <c r="K1290" s="31" t="n"/>
      <c r="L1290" s="31" t="n"/>
      <c r="M1290" s="1" t="n"/>
    </row>
    <row r="1291">
      <c r="A1291" s="1" t="n"/>
      <c r="B1291" s="24" t="n">
        <v>1285</v>
      </c>
      <c r="C1291" s="61" t="n"/>
      <c r="D1291" s="27" t="n"/>
      <c r="E1291" s="27" t="n"/>
      <c r="F1291" s="27" t="n"/>
      <c r="G1291" s="27" t="n"/>
      <c r="H1291" s="62" t="n"/>
      <c r="I1291" s="31" t="n"/>
      <c r="J1291" s="31" t="n"/>
      <c r="K1291" s="31" t="n"/>
      <c r="L1291" s="31" t="n"/>
      <c r="M1291" s="1" t="n"/>
    </row>
    <row r="1292">
      <c r="A1292" s="1" t="n"/>
      <c r="B1292" s="24" t="n">
        <v>1286</v>
      </c>
      <c r="C1292" s="61" t="n"/>
      <c r="D1292" s="27" t="n"/>
      <c r="E1292" s="27" t="n"/>
      <c r="F1292" s="27" t="n"/>
      <c r="G1292" s="27" t="n"/>
      <c r="H1292" s="62" t="n"/>
      <c r="I1292" s="31" t="n"/>
      <c r="J1292" s="31" t="n"/>
      <c r="K1292" s="31" t="n"/>
      <c r="L1292" s="31" t="n"/>
      <c r="M1292" s="1" t="n"/>
    </row>
    <row r="1293">
      <c r="A1293" s="1" t="n"/>
      <c r="B1293" s="24" t="n">
        <v>1287</v>
      </c>
      <c r="C1293" s="61" t="n"/>
      <c r="D1293" s="27" t="n"/>
      <c r="E1293" s="27" t="n"/>
      <c r="F1293" s="27" t="n"/>
      <c r="G1293" s="27" t="n"/>
      <c r="H1293" s="62" t="n"/>
      <c r="I1293" s="31" t="n"/>
      <c r="J1293" s="31" t="n"/>
      <c r="K1293" s="31" t="n"/>
      <c r="L1293" s="31" t="n"/>
      <c r="M1293" s="1" t="n"/>
    </row>
    <row r="1294">
      <c r="A1294" s="1" t="n"/>
      <c r="B1294" s="24" t="n">
        <v>1288</v>
      </c>
      <c r="C1294" s="61" t="n"/>
      <c r="D1294" s="27" t="n"/>
      <c r="E1294" s="27" t="n"/>
      <c r="F1294" s="27" t="n"/>
      <c r="G1294" s="27" t="n"/>
      <c r="H1294" s="62" t="n"/>
      <c r="I1294" s="31" t="n"/>
      <c r="J1294" s="31" t="n"/>
      <c r="K1294" s="31" t="n"/>
      <c r="L1294" s="31" t="n"/>
      <c r="M1294" s="1" t="n"/>
    </row>
    <row r="1295">
      <c r="A1295" s="1" t="n"/>
      <c r="B1295" s="24" t="n">
        <v>1289</v>
      </c>
      <c r="C1295" s="61" t="n"/>
      <c r="D1295" s="27" t="n"/>
      <c r="E1295" s="27" t="n"/>
      <c r="F1295" s="27" t="n"/>
      <c r="G1295" s="27" t="n"/>
      <c r="H1295" s="62" t="n"/>
      <c r="I1295" s="31" t="n"/>
      <c r="J1295" s="31" t="n"/>
      <c r="K1295" s="31" t="n"/>
      <c r="L1295" s="31" t="n"/>
      <c r="M1295" s="1" t="n"/>
    </row>
    <row r="1296">
      <c r="A1296" s="1" t="n"/>
      <c r="B1296" s="24" t="n">
        <v>1290</v>
      </c>
      <c r="C1296" s="61" t="n"/>
      <c r="D1296" s="27" t="n"/>
      <c r="E1296" s="27" t="n"/>
      <c r="F1296" s="27" t="n"/>
      <c r="G1296" s="27" t="n"/>
      <c r="H1296" s="62" t="n"/>
      <c r="I1296" s="31" t="n"/>
      <c r="J1296" s="31" t="n"/>
      <c r="K1296" s="31" t="n"/>
      <c r="L1296" s="31" t="n"/>
      <c r="M1296" s="1" t="n"/>
    </row>
    <row r="1297">
      <c r="A1297" s="1" t="n"/>
      <c r="B1297" s="24" t="n">
        <v>1291</v>
      </c>
      <c r="C1297" s="61" t="n"/>
      <c r="D1297" s="27" t="n"/>
      <c r="E1297" s="27" t="n"/>
      <c r="F1297" s="27" t="n"/>
      <c r="G1297" s="27" t="n"/>
      <c r="H1297" s="62" t="n"/>
      <c r="I1297" s="31" t="n"/>
      <c r="J1297" s="31" t="n"/>
      <c r="K1297" s="31" t="n"/>
      <c r="L1297" s="31" t="n"/>
      <c r="M1297" s="1" t="n"/>
    </row>
    <row r="1298">
      <c r="A1298" s="1" t="n"/>
      <c r="B1298" s="24" t="n">
        <v>1292</v>
      </c>
      <c r="C1298" s="61" t="n"/>
      <c r="D1298" s="27" t="n"/>
      <c r="E1298" s="27" t="n"/>
      <c r="F1298" s="27" t="n"/>
      <c r="G1298" s="27" t="n"/>
      <c r="H1298" s="62" t="n"/>
      <c r="I1298" s="31" t="n"/>
      <c r="J1298" s="31" t="n"/>
      <c r="K1298" s="31" t="n"/>
      <c r="L1298" s="31" t="n"/>
      <c r="M1298" s="1" t="n"/>
    </row>
    <row r="1299">
      <c r="A1299" s="1" t="n"/>
      <c r="B1299" s="24" t="n">
        <v>1293</v>
      </c>
      <c r="C1299" s="61" t="n"/>
      <c r="D1299" s="27" t="n"/>
      <c r="E1299" s="27" t="n"/>
      <c r="F1299" s="27" t="n"/>
      <c r="G1299" s="27" t="n"/>
      <c r="H1299" s="62" t="n"/>
      <c r="I1299" s="31" t="n"/>
      <c r="J1299" s="31" t="n"/>
      <c r="K1299" s="31" t="n"/>
      <c r="L1299" s="31" t="n"/>
      <c r="M1299" s="1" t="n"/>
    </row>
    <row r="1300">
      <c r="A1300" s="1" t="n"/>
      <c r="B1300" s="24" t="n">
        <v>1294</v>
      </c>
      <c r="C1300" s="61" t="n"/>
      <c r="D1300" s="27" t="n"/>
      <c r="E1300" s="27" t="n"/>
      <c r="F1300" s="27" t="n"/>
      <c r="G1300" s="27" t="n"/>
      <c r="H1300" s="62" t="n"/>
      <c r="I1300" s="31" t="n"/>
      <c r="J1300" s="31" t="n"/>
      <c r="K1300" s="31" t="n"/>
      <c r="L1300" s="31" t="n"/>
      <c r="M1300" s="1" t="n"/>
    </row>
    <row r="1301">
      <c r="A1301" s="1" t="n"/>
      <c r="B1301" s="24" t="n">
        <v>1295</v>
      </c>
      <c r="C1301" s="61" t="n"/>
      <c r="D1301" s="27" t="n"/>
      <c r="E1301" s="27" t="n"/>
      <c r="F1301" s="27" t="n"/>
      <c r="G1301" s="27" t="n"/>
      <c r="H1301" s="62" t="n"/>
      <c r="I1301" s="31" t="n"/>
      <c r="J1301" s="31" t="n"/>
      <c r="K1301" s="31" t="n"/>
      <c r="L1301" s="31" t="n"/>
      <c r="M1301" s="1" t="n"/>
    </row>
    <row r="1302">
      <c r="A1302" s="1" t="n"/>
      <c r="B1302" s="24" t="n">
        <v>1296</v>
      </c>
      <c r="C1302" s="61" t="n"/>
      <c r="D1302" s="27" t="n"/>
      <c r="E1302" s="27" t="n"/>
      <c r="F1302" s="27" t="n"/>
      <c r="G1302" s="27" t="n"/>
      <c r="H1302" s="62" t="n"/>
      <c r="I1302" s="31" t="n"/>
      <c r="J1302" s="31" t="n"/>
      <c r="K1302" s="31" t="n"/>
      <c r="L1302" s="31" t="n"/>
      <c r="M1302" s="1" t="n"/>
    </row>
    <row r="1303">
      <c r="A1303" s="1" t="n"/>
      <c r="B1303" s="24" t="n">
        <v>1297</v>
      </c>
      <c r="C1303" s="61" t="n"/>
      <c r="D1303" s="27" t="n"/>
      <c r="E1303" s="27" t="n"/>
      <c r="F1303" s="27" t="n"/>
      <c r="G1303" s="27" t="n"/>
      <c r="H1303" s="62" t="n"/>
      <c r="I1303" s="31" t="n"/>
      <c r="J1303" s="31" t="n"/>
      <c r="K1303" s="31" t="n"/>
      <c r="L1303" s="31" t="n"/>
      <c r="M1303" s="1" t="n"/>
    </row>
    <row r="1304">
      <c r="A1304" s="1" t="n"/>
      <c r="B1304" s="24" t="n">
        <v>1298</v>
      </c>
      <c r="C1304" s="61" t="n"/>
      <c r="D1304" s="27" t="n"/>
      <c r="E1304" s="27" t="n"/>
      <c r="F1304" s="27" t="n"/>
      <c r="G1304" s="27" t="n"/>
      <c r="H1304" s="62" t="n"/>
      <c r="I1304" s="31" t="n"/>
      <c r="J1304" s="31" t="n"/>
      <c r="K1304" s="31" t="n"/>
      <c r="L1304" s="31" t="n"/>
      <c r="M1304" s="1" t="n"/>
    </row>
    <row r="1305">
      <c r="A1305" s="1" t="n"/>
      <c r="B1305" s="24" t="n">
        <v>1299</v>
      </c>
      <c r="C1305" s="61" t="n"/>
      <c r="D1305" s="27" t="n"/>
      <c r="E1305" s="27" t="n"/>
      <c r="F1305" s="27" t="n"/>
      <c r="G1305" s="27" t="n"/>
      <c r="H1305" s="62" t="n"/>
      <c r="I1305" s="31" t="n"/>
      <c r="J1305" s="31" t="n"/>
      <c r="K1305" s="31" t="n"/>
      <c r="L1305" s="31" t="n"/>
      <c r="M1305" s="1" t="n"/>
    </row>
    <row r="1306">
      <c r="A1306" s="1" t="n"/>
      <c r="B1306" s="24" t="n">
        <v>1300</v>
      </c>
      <c r="C1306" s="61" t="n"/>
      <c r="D1306" s="27" t="n"/>
      <c r="E1306" s="27" t="n"/>
      <c r="F1306" s="27" t="n"/>
      <c r="G1306" s="27" t="n"/>
      <c r="H1306" s="62" t="n"/>
      <c r="I1306" s="31" t="n"/>
      <c r="J1306" s="31" t="n"/>
      <c r="K1306" s="31" t="n"/>
      <c r="L1306" s="31" t="n"/>
      <c r="M1306" s="1" t="n"/>
    </row>
    <row r="1307">
      <c r="A1307" s="1" t="n"/>
      <c r="B1307" s="24" t="n">
        <v>1301</v>
      </c>
      <c r="C1307" s="61" t="n"/>
      <c r="D1307" s="27" t="n"/>
      <c r="E1307" s="27" t="n"/>
      <c r="F1307" s="27" t="n"/>
      <c r="G1307" s="27" t="n"/>
      <c r="H1307" s="62" t="n"/>
      <c r="I1307" s="31" t="n"/>
      <c r="J1307" s="31" t="n"/>
      <c r="K1307" s="31" t="n"/>
      <c r="L1307" s="31" t="n"/>
      <c r="M1307" s="1" t="n"/>
    </row>
    <row r="1308">
      <c r="A1308" s="1" t="n"/>
      <c r="B1308" s="24" t="n">
        <v>1302</v>
      </c>
      <c r="C1308" s="61" t="n"/>
      <c r="D1308" s="27" t="n"/>
      <c r="E1308" s="27" t="n"/>
      <c r="F1308" s="27" t="n"/>
      <c r="G1308" s="27" t="n"/>
      <c r="H1308" s="62" t="n"/>
      <c r="I1308" s="31" t="n"/>
      <c r="J1308" s="31" t="n"/>
      <c r="K1308" s="31" t="n"/>
      <c r="L1308" s="31" t="n"/>
      <c r="M1308" s="1" t="n"/>
    </row>
    <row r="1309">
      <c r="A1309" s="1" t="n"/>
      <c r="B1309" s="24" t="n">
        <v>1303</v>
      </c>
      <c r="C1309" s="61" t="n"/>
      <c r="D1309" s="27" t="n"/>
      <c r="E1309" s="27" t="n"/>
      <c r="F1309" s="27" t="n"/>
      <c r="G1309" s="27" t="n"/>
      <c r="H1309" s="62" t="n"/>
      <c r="I1309" s="31" t="n"/>
      <c r="J1309" s="31" t="n"/>
      <c r="K1309" s="31" t="n"/>
      <c r="L1309" s="31" t="n"/>
      <c r="M1309" s="1" t="n"/>
    </row>
    <row r="1310">
      <c r="A1310" s="1" t="n"/>
      <c r="B1310" s="24" t="n">
        <v>1304</v>
      </c>
      <c r="C1310" s="61" t="n"/>
      <c r="D1310" s="27" t="n"/>
      <c r="E1310" s="27" t="n"/>
      <c r="F1310" s="27" t="n"/>
      <c r="G1310" s="27" t="n"/>
      <c r="H1310" s="62" t="n"/>
      <c r="I1310" s="31" t="n"/>
      <c r="J1310" s="31" t="n"/>
      <c r="K1310" s="31" t="n"/>
      <c r="L1310" s="31" t="n"/>
      <c r="M1310" s="1" t="n"/>
    </row>
    <row r="1311">
      <c r="A1311" s="1" t="n"/>
      <c r="B1311" s="24" t="n">
        <v>1305</v>
      </c>
      <c r="C1311" s="61" t="n"/>
      <c r="D1311" s="27" t="n"/>
      <c r="E1311" s="27" t="n"/>
      <c r="F1311" s="27" t="n"/>
      <c r="G1311" s="27" t="n"/>
      <c r="H1311" s="62" t="n"/>
      <c r="I1311" s="31" t="n"/>
      <c r="J1311" s="31" t="n"/>
      <c r="K1311" s="31" t="n"/>
      <c r="L1311" s="31" t="n"/>
      <c r="M1311" s="1" t="n"/>
    </row>
    <row r="1312">
      <c r="A1312" s="1" t="n"/>
      <c r="B1312" s="24" t="n">
        <v>1306</v>
      </c>
      <c r="C1312" s="61" t="n"/>
      <c r="D1312" s="27" t="n"/>
      <c r="E1312" s="27" t="n"/>
      <c r="F1312" s="27" t="n"/>
      <c r="G1312" s="27" t="n"/>
      <c r="H1312" s="62" t="n"/>
      <c r="I1312" s="31" t="n"/>
      <c r="J1312" s="31" t="n"/>
      <c r="K1312" s="31" t="n"/>
      <c r="L1312" s="31" t="n"/>
      <c r="M1312" s="1" t="n"/>
    </row>
    <row r="1313">
      <c r="A1313" s="1" t="n"/>
      <c r="B1313" s="24" t="n">
        <v>1307</v>
      </c>
      <c r="C1313" s="61" t="n"/>
      <c r="D1313" s="27" t="n"/>
      <c r="E1313" s="27" t="n"/>
      <c r="F1313" s="27" t="n"/>
      <c r="G1313" s="27" t="n"/>
      <c r="H1313" s="62" t="n"/>
      <c r="I1313" s="31" t="n"/>
      <c r="J1313" s="31" t="n"/>
      <c r="K1313" s="31" t="n"/>
      <c r="L1313" s="31" t="n"/>
      <c r="M1313" s="1" t="n"/>
    </row>
    <row r="1314">
      <c r="A1314" s="1" t="n"/>
      <c r="B1314" s="24" t="n">
        <v>1308</v>
      </c>
      <c r="C1314" s="61" t="n"/>
      <c r="D1314" s="27" t="n"/>
      <c r="E1314" s="27" t="n"/>
      <c r="F1314" s="27" t="n"/>
      <c r="G1314" s="27" t="n"/>
      <c r="H1314" s="62" t="n"/>
      <c r="I1314" s="31" t="n"/>
      <c r="J1314" s="31" t="n"/>
      <c r="K1314" s="31" t="n"/>
      <c r="L1314" s="31" t="n"/>
      <c r="M1314" s="1" t="n"/>
    </row>
    <row r="1315">
      <c r="A1315" s="1" t="n"/>
      <c r="B1315" s="24" t="n">
        <v>1309</v>
      </c>
      <c r="C1315" s="61" t="n"/>
      <c r="D1315" s="27" t="n"/>
      <c r="E1315" s="27" t="n"/>
      <c r="F1315" s="27" t="n"/>
      <c r="G1315" s="27" t="n"/>
      <c r="H1315" s="62" t="n"/>
      <c r="I1315" s="31" t="n"/>
      <c r="J1315" s="31" t="n"/>
      <c r="K1315" s="31" t="n"/>
      <c r="L1315" s="31" t="n"/>
      <c r="M1315" s="1" t="n"/>
    </row>
    <row r="1316">
      <c r="A1316" s="1" t="n"/>
      <c r="B1316" s="24" t="n">
        <v>1310</v>
      </c>
      <c r="C1316" s="61" t="n"/>
      <c r="D1316" s="27" t="n"/>
      <c r="E1316" s="27" t="n"/>
      <c r="F1316" s="27" t="n"/>
      <c r="G1316" s="27" t="n"/>
      <c r="H1316" s="62" t="n"/>
      <c r="I1316" s="31" t="n"/>
      <c r="J1316" s="31" t="n"/>
      <c r="K1316" s="31" t="n"/>
      <c r="L1316" s="31" t="n"/>
      <c r="M1316" s="1" t="n"/>
    </row>
    <row r="1317">
      <c r="A1317" s="1" t="n"/>
      <c r="B1317" s="24" t="n">
        <v>1311</v>
      </c>
      <c r="C1317" s="61" t="n"/>
      <c r="D1317" s="27" t="n"/>
      <c r="E1317" s="27" t="n"/>
      <c r="F1317" s="27" t="n"/>
      <c r="G1317" s="27" t="n"/>
      <c r="H1317" s="62" t="n"/>
      <c r="I1317" s="31" t="n"/>
      <c r="J1317" s="31" t="n"/>
      <c r="K1317" s="31" t="n"/>
      <c r="L1317" s="31" t="n"/>
      <c r="M1317" s="1" t="n"/>
    </row>
    <row r="1318">
      <c r="A1318" s="1" t="n"/>
      <c r="B1318" s="24" t="n">
        <v>1312</v>
      </c>
      <c r="C1318" s="61" t="n"/>
      <c r="D1318" s="27" t="n"/>
      <c r="E1318" s="27" t="n"/>
      <c r="F1318" s="27" t="n"/>
      <c r="G1318" s="27" t="n"/>
      <c r="H1318" s="62" t="n"/>
      <c r="I1318" s="31" t="n"/>
      <c r="J1318" s="31" t="n"/>
      <c r="K1318" s="31" t="n"/>
      <c r="L1318" s="31" t="n"/>
      <c r="M1318" s="1" t="n"/>
    </row>
    <row r="1319">
      <c r="A1319" s="1" t="n"/>
      <c r="B1319" s="24" t="n">
        <v>1313</v>
      </c>
      <c r="C1319" s="61" t="n"/>
      <c r="D1319" s="27" t="n"/>
      <c r="E1319" s="27" t="n"/>
      <c r="F1319" s="27" t="n"/>
      <c r="G1319" s="27" t="n"/>
      <c r="H1319" s="62" t="n"/>
      <c r="I1319" s="31" t="n"/>
      <c r="J1319" s="31" t="n"/>
      <c r="K1319" s="31" t="n"/>
      <c r="L1319" s="31" t="n"/>
      <c r="M1319" s="1" t="n"/>
    </row>
    <row r="1320">
      <c r="A1320" s="1" t="n"/>
      <c r="B1320" s="24" t="n">
        <v>1314</v>
      </c>
      <c r="C1320" s="61" t="n"/>
      <c r="D1320" s="27" t="n"/>
      <c r="E1320" s="27" t="n"/>
      <c r="F1320" s="27" t="n"/>
      <c r="G1320" s="27" t="n"/>
      <c r="H1320" s="62" t="n"/>
      <c r="I1320" s="31" t="n"/>
      <c r="J1320" s="31" t="n"/>
      <c r="K1320" s="31" t="n"/>
      <c r="L1320" s="31" t="n"/>
      <c r="M1320" s="1" t="n"/>
    </row>
    <row r="1321">
      <c r="A1321" s="1" t="n"/>
      <c r="B1321" s="24" t="n">
        <v>1315</v>
      </c>
      <c r="C1321" s="61" t="n"/>
      <c r="D1321" s="27" t="n"/>
      <c r="E1321" s="27" t="n"/>
      <c r="F1321" s="27" t="n"/>
      <c r="G1321" s="27" t="n"/>
      <c r="H1321" s="62" t="n"/>
      <c r="I1321" s="31" t="n"/>
      <c r="J1321" s="31" t="n"/>
      <c r="K1321" s="31" t="n"/>
      <c r="L1321" s="31" t="n"/>
      <c r="M1321" s="1" t="n"/>
    </row>
    <row r="1322">
      <c r="A1322" s="1" t="n"/>
      <c r="B1322" s="24" t="n">
        <v>1316</v>
      </c>
      <c r="C1322" s="61" t="n"/>
      <c r="D1322" s="27" t="n"/>
      <c r="E1322" s="27" t="n"/>
      <c r="F1322" s="27" t="n"/>
      <c r="G1322" s="27" t="n"/>
      <c r="H1322" s="62" t="n"/>
      <c r="I1322" s="31" t="n"/>
      <c r="J1322" s="31" t="n"/>
      <c r="K1322" s="31" t="n"/>
      <c r="L1322" s="31" t="n"/>
      <c r="M1322" s="1" t="n"/>
    </row>
    <row r="1323">
      <c r="A1323" s="1" t="n"/>
      <c r="B1323" s="24" t="n">
        <v>1317</v>
      </c>
      <c r="C1323" s="61" t="n"/>
      <c r="D1323" s="27" t="n"/>
      <c r="E1323" s="27" t="n"/>
      <c r="F1323" s="27" t="n"/>
      <c r="G1323" s="27" t="n"/>
      <c r="H1323" s="62" t="n"/>
      <c r="I1323" s="31" t="n"/>
      <c r="J1323" s="31" t="n"/>
      <c r="K1323" s="31" t="n"/>
      <c r="L1323" s="31" t="n"/>
      <c r="M1323" s="1" t="n"/>
    </row>
    <row r="1324">
      <c r="A1324" s="1" t="n"/>
      <c r="B1324" s="24" t="n">
        <v>1318</v>
      </c>
      <c r="C1324" s="61" t="n"/>
      <c r="D1324" s="27" t="n"/>
      <c r="E1324" s="27" t="n"/>
      <c r="F1324" s="27" t="n"/>
      <c r="G1324" s="27" t="n"/>
      <c r="H1324" s="62" t="n"/>
      <c r="I1324" s="31" t="n"/>
      <c r="J1324" s="31" t="n"/>
      <c r="K1324" s="31" t="n"/>
      <c r="L1324" s="31" t="n"/>
      <c r="M1324" s="1" t="n"/>
    </row>
    <row r="1325">
      <c r="A1325" s="1" t="n"/>
      <c r="B1325" s="24" t="n">
        <v>1319</v>
      </c>
      <c r="C1325" s="61" t="n"/>
      <c r="D1325" s="27" t="n"/>
      <c r="E1325" s="27" t="n"/>
      <c r="F1325" s="27" t="n"/>
      <c r="G1325" s="27" t="n"/>
      <c r="H1325" s="62" t="n"/>
      <c r="I1325" s="31" t="n"/>
      <c r="J1325" s="31" t="n"/>
      <c r="K1325" s="31" t="n"/>
      <c r="L1325" s="31" t="n"/>
      <c r="M1325" s="1" t="n"/>
    </row>
    <row r="1326">
      <c r="A1326" s="1" t="n"/>
      <c r="B1326" s="24" t="n">
        <v>1320</v>
      </c>
      <c r="C1326" s="61" t="n"/>
      <c r="D1326" s="27" t="n"/>
      <c r="E1326" s="27" t="n"/>
      <c r="F1326" s="27" t="n"/>
      <c r="G1326" s="27" t="n"/>
      <c r="H1326" s="62" t="n"/>
      <c r="I1326" s="31" t="n"/>
      <c r="J1326" s="31" t="n"/>
      <c r="K1326" s="31" t="n"/>
      <c r="L1326" s="31" t="n"/>
      <c r="M1326" s="1" t="n"/>
    </row>
    <row r="1327">
      <c r="A1327" s="1" t="n"/>
      <c r="B1327" s="24" t="n">
        <v>1321</v>
      </c>
      <c r="C1327" s="61" t="n"/>
      <c r="D1327" s="27" t="n"/>
      <c r="E1327" s="27" t="n"/>
      <c r="F1327" s="27" t="n"/>
      <c r="G1327" s="27" t="n"/>
      <c r="H1327" s="62" t="n"/>
      <c r="I1327" s="31" t="n"/>
      <c r="J1327" s="31" t="n"/>
      <c r="K1327" s="31" t="n"/>
      <c r="L1327" s="31" t="n"/>
      <c r="M1327" s="1" t="n"/>
    </row>
    <row r="1328">
      <c r="A1328" s="1" t="n"/>
      <c r="B1328" s="24" t="n">
        <v>1322</v>
      </c>
      <c r="C1328" s="61" t="n"/>
      <c r="D1328" s="27" t="n"/>
      <c r="E1328" s="27" t="n"/>
      <c r="F1328" s="27" t="n"/>
      <c r="G1328" s="27" t="n"/>
      <c r="H1328" s="62" t="n"/>
      <c r="I1328" s="31" t="n"/>
      <c r="J1328" s="31" t="n"/>
      <c r="K1328" s="31" t="n"/>
      <c r="L1328" s="31" t="n"/>
      <c r="M1328" s="1" t="n"/>
    </row>
    <row r="1329">
      <c r="A1329" s="1" t="n"/>
      <c r="B1329" s="24" t="n">
        <v>1323</v>
      </c>
      <c r="C1329" s="61" t="n"/>
      <c r="D1329" s="27" t="n"/>
      <c r="E1329" s="27" t="n"/>
      <c r="F1329" s="27" t="n"/>
      <c r="G1329" s="27" t="n"/>
      <c r="H1329" s="62" t="n"/>
      <c r="I1329" s="31" t="n"/>
      <c r="J1329" s="31" t="n"/>
      <c r="K1329" s="31" t="n"/>
      <c r="L1329" s="31" t="n"/>
      <c r="M1329" s="1" t="n"/>
    </row>
    <row r="1330">
      <c r="A1330" s="1" t="n"/>
      <c r="B1330" s="24" t="n">
        <v>1324</v>
      </c>
      <c r="C1330" s="61" t="n"/>
      <c r="D1330" s="27" t="n"/>
      <c r="E1330" s="27" t="n"/>
      <c r="F1330" s="27" t="n"/>
      <c r="G1330" s="27" t="n"/>
      <c r="H1330" s="62" t="n"/>
      <c r="I1330" s="31" t="n"/>
      <c r="J1330" s="31" t="n"/>
      <c r="K1330" s="31" t="n"/>
      <c r="L1330" s="31" t="n"/>
      <c r="M1330" s="1" t="n"/>
    </row>
    <row r="1331">
      <c r="A1331" s="1" t="n"/>
      <c r="B1331" s="24" t="n">
        <v>1325</v>
      </c>
      <c r="C1331" s="61" t="n"/>
      <c r="D1331" s="27" t="n"/>
      <c r="E1331" s="27" t="n"/>
      <c r="F1331" s="27" t="n"/>
      <c r="G1331" s="27" t="n"/>
      <c r="H1331" s="62" t="n"/>
      <c r="I1331" s="31" t="n"/>
      <c r="J1331" s="31" t="n"/>
      <c r="K1331" s="31" t="n"/>
      <c r="L1331" s="31" t="n"/>
      <c r="M1331" s="1" t="n"/>
    </row>
    <row r="1332">
      <c r="A1332" s="1" t="n"/>
      <c r="B1332" s="24" t="n">
        <v>1326</v>
      </c>
      <c r="C1332" s="61" t="n"/>
      <c r="D1332" s="27" t="n"/>
      <c r="E1332" s="27" t="n"/>
      <c r="F1332" s="27" t="n"/>
      <c r="G1332" s="27" t="n"/>
      <c r="H1332" s="62" t="n"/>
      <c r="I1332" s="31" t="n"/>
      <c r="J1332" s="31" t="n"/>
      <c r="K1332" s="31" t="n"/>
      <c r="L1332" s="31" t="n"/>
      <c r="M1332" s="1" t="n"/>
    </row>
    <row r="1333">
      <c r="A1333" s="1" t="n"/>
      <c r="B1333" s="24" t="n">
        <v>1327</v>
      </c>
      <c r="C1333" s="61" t="n"/>
      <c r="D1333" s="27" t="n"/>
      <c r="E1333" s="27" t="n"/>
      <c r="F1333" s="27" t="n"/>
      <c r="G1333" s="27" t="n"/>
      <c r="H1333" s="62" t="n"/>
      <c r="I1333" s="31" t="n"/>
      <c r="J1333" s="31" t="n"/>
      <c r="K1333" s="31" t="n"/>
      <c r="L1333" s="31" t="n"/>
      <c r="M1333" s="1" t="n"/>
    </row>
    <row r="1334">
      <c r="A1334" s="1" t="n"/>
      <c r="B1334" s="24" t="n">
        <v>1328</v>
      </c>
      <c r="C1334" s="61" t="n"/>
      <c r="D1334" s="27" t="n"/>
      <c r="E1334" s="27" t="n"/>
      <c r="F1334" s="27" t="n"/>
      <c r="G1334" s="27" t="n"/>
      <c r="H1334" s="62" t="n"/>
      <c r="I1334" s="31" t="n"/>
      <c r="J1334" s="31" t="n"/>
      <c r="K1334" s="31" t="n"/>
      <c r="L1334" s="31" t="n"/>
      <c r="M1334" s="1" t="n"/>
    </row>
    <row r="1335">
      <c r="A1335" s="1" t="n"/>
      <c r="B1335" s="24" t="n">
        <v>1329</v>
      </c>
      <c r="C1335" s="61" t="n"/>
      <c r="D1335" s="27" t="n"/>
      <c r="E1335" s="27" t="n"/>
      <c r="F1335" s="27" t="n"/>
      <c r="G1335" s="27" t="n"/>
      <c r="H1335" s="62" t="n"/>
      <c r="I1335" s="31" t="n"/>
      <c r="J1335" s="31" t="n"/>
      <c r="K1335" s="31" t="n"/>
      <c r="L1335" s="31" t="n"/>
      <c r="M1335" s="1" t="n"/>
    </row>
    <row r="1336">
      <c r="A1336" s="1" t="n"/>
      <c r="B1336" s="24" t="n">
        <v>1330</v>
      </c>
      <c r="C1336" s="61" t="n"/>
      <c r="D1336" s="27" t="n"/>
      <c r="E1336" s="27" t="n"/>
      <c r="F1336" s="27" t="n"/>
      <c r="G1336" s="27" t="n"/>
      <c r="H1336" s="62" t="n"/>
      <c r="I1336" s="31" t="n"/>
      <c r="J1336" s="31" t="n"/>
      <c r="K1336" s="31" t="n"/>
      <c r="L1336" s="31" t="n"/>
      <c r="M1336" s="1" t="n"/>
    </row>
    <row r="1337">
      <c r="A1337" s="1" t="n"/>
      <c r="B1337" s="24" t="n">
        <v>1331</v>
      </c>
      <c r="C1337" s="61" t="n"/>
      <c r="D1337" s="27" t="n"/>
      <c r="E1337" s="27" t="n"/>
      <c r="F1337" s="27" t="n"/>
      <c r="G1337" s="27" t="n"/>
      <c r="H1337" s="62" t="n"/>
      <c r="I1337" s="31" t="n"/>
      <c r="J1337" s="31" t="n"/>
      <c r="K1337" s="31" t="n"/>
      <c r="L1337" s="31" t="n"/>
      <c r="M1337" s="1" t="n"/>
    </row>
    <row r="1338">
      <c r="A1338" s="1" t="n"/>
      <c r="B1338" s="24" t="n">
        <v>1332</v>
      </c>
      <c r="C1338" s="61" t="n"/>
      <c r="D1338" s="27" t="n"/>
      <c r="E1338" s="27" t="n"/>
      <c r="F1338" s="27" t="n"/>
      <c r="G1338" s="27" t="n"/>
      <c r="H1338" s="62" t="n"/>
      <c r="I1338" s="31" t="n"/>
      <c r="J1338" s="31" t="n"/>
      <c r="K1338" s="31" t="n"/>
      <c r="L1338" s="31" t="n"/>
      <c r="M1338" s="1" t="n"/>
    </row>
    <row r="1339">
      <c r="A1339" s="1" t="n"/>
      <c r="B1339" s="24" t="n">
        <v>1333</v>
      </c>
      <c r="C1339" s="61" t="n"/>
      <c r="D1339" s="27" t="n"/>
      <c r="E1339" s="27" t="n"/>
      <c r="F1339" s="27" t="n"/>
      <c r="G1339" s="27" t="n"/>
      <c r="H1339" s="62" t="n"/>
      <c r="I1339" s="31" t="n"/>
      <c r="J1339" s="31" t="n"/>
      <c r="K1339" s="31" t="n"/>
      <c r="L1339" s="31" t="n"/>
      <c r="M1339" s="1" t="n"/>
    </row>
    <row r="1340">
      <c r="A1340" s="1" t="n"/>
      <c r="B1340" s="24" t="n">
        <v>1334</v>
      </c>
      <c r="C1340" s="61" t="n"/>
      <c r="D1340" s="27" t="n"/>
      <c r="E1340" s="27" t="n"/>
      <c r="F1340" s="27" t="n"/>
      <c r="G1340" s="27" t="n"/>
      <c r="H1340" s="62" t="n"/>
      <c r="I1340" s="31" t="n"/>
      <c r="J1340" s="31" t="n"/>
      <c r="K1340" s="31" t="n"/>
      <c r="L1340" s="31" t="n"/>
      <c r="M1340" s="1" t="n"/>
    </row>
    <row r="1341">
      <c r="A1341" s="1" t="n"/>
      <c r="B1341" s="24" t="n">
        <v>1335</v>
      </c>
      <c r="C1341" s="61" t="n"/>
      <c r="D1341" s="27" t="n"/>
      <c r="E1341" s="27" t="n"/>
      <c r="F1341" s="27" t="n"/>
      <c r="G1341" s="27" t="n"/>
      <c r="H1341" s="62" t="n"/>
      <c r="I1341" s="31" t="n"/>
      <c r="J1341" s="31" t="n"/>
      <c r="K1341" s="31" t="n"/>
      <c r="L1341" s="31" t="n"/>
      <c r="M1341" s="1" t="n"/>
    </row>
    <row r="1342">
      <c r="A1342" s="1" t="n"/>
      <c r="B1342" s="24" t="n">
        <v>1336</v>
      </c>
      <c r="C1342" s="61" t="n"/>
      <c r="D1342" s="27" t="n"/>
      <c r="E1342" s="27" t="n"/>
      <c r="F1342" s="27" t="n"/>
      <c r="G1342" s="27" t="n"/>
      <c r="H1342" s="62" t="n"/>
      <c r="I1342" s="31" t="n"/>
      <c r="J1342" s="31" t="n"/>
      <c r="K1342" s="31" t="n"/>
      <c r="L1342" s="31" t="n"/>
      <c r="M1342" s="1" t="n"/>
    </row>
    <row r="1343">
      <c r="A1343" s="1" t="n"/>
      <c r="B1343" s="24" t="n">
        <v>1337</v>
      </c>
      <c r="C1343" s="61" t="n"/>
      <c r="D1343" s="27" t="n"/>
      <c r="E1343" s="27" t="n"/>
      <c r="F1343" s="27" t="n"/>
      <c r="G1343" s="27" t="n"/>
      <c r="H1343" s="62" t="n"/>
      <c r="I1343" s="31" t="n"/>
      <c r="J1343" s="31" t="n"/>
      <c r="K1343" s="31" t="n"/>
      <c r="L1343" s="31" t="n"/>
      <c r="M1343" s="1" t="n"/>
    </row>
    <row r="1344">
      <c r="A1344" s="1" t="n"/>
      <c r="B1344" s="24" t="n">
        <v>1338</v>
      </c>
      <c r="C1344" s="61" t="n"/>
      <c r="D1344" s="27" t="n"/>
      <c r="E1344" s="27" t="n"/>
      <c r="F1344" s="27" t="n"/>
      <c r="G1344" s="27" t="n"/>
      <c r="H1344" s="62" t="n"/>
      <c r="I1344" s="31" t="n"/>
      <c r="J1344" s="31" t="n"/>
      <c r="K1344" s="31" t="n"/>
      <c r="L1344" s="31" t="n"/>
      <c r="M1344" s="1" t="n"/>
    </row>
    <row r="1345">
      <c r="A1345" s="1" t="n"/>
      <c r="B1345" s="24" t="n">
        <v>1339</v>
      </c>
      <c r="C1345" s="61" t="n"/>
      <c r="D1345" s="27" t="n"/>
      <c r="E1345" s="27" t="n"/>
      <c r="F1345" s="27" t="n"/>
      <c r="G1345" s="27" t="n"/>
      <c r="H1345" s="62" t="n"/>
      <c r="I1345" s="31" t="n"/>
      <c r="J1345" s="31" t="n"/>
      <c r="K1345" s="31" t="n"/>
      <c r="L1345" s="31" t="n"/>
      <c r="M1345" s="1" t="n"/>
    </row>
    <row r="1346">
      <c r="A1346" s="1" t="n"/>
      <c r="B1346" s="24" t="n">
        <v>1340</v>
      </c>
      <c r="C1346" s="61" t="n"/>
      <c r="D1346" s="27" t="n"/>
      <c r="E1346" s="27" t="n"/>
      <c r="F1346" s="27" t="n"/>
      <c r="G1346" s="27" t="n"/>
      <c r="H1346" s="62" t="n"/>
      <c r="I1346" s="31" t="n"/>
      <c r="J1346" s="31" t="n"/>
      <c r="K1346" s="31" t="n"/>
      <c r="L1346" s="31" t="n"/>
      <c r="M1346" s="1" t="n"/>
    </row>
    <row r="1347">
      <c r="A1347" s="1" t="n"/>
      <c r="B1347" s="24" t="n">
        <v>1341</v>
      </c>
      <c r="C1347" s="61" t="n"/>
      <c r="D1347" s="27" t="n"/>
      <c r="E1347" s="27" t="n"/>
      <c r="F1347" s="27" t="n"/>
      <c r="G1347" s="27" t="n"/>
      <c r="H1347" s="62" t="n"/>
      <c r="I1347" s="31" t="n"/>
      <c r="J1347" s="31" t="n"/>
      <c r="K1347" s="31" t="n"/>
      <c r="L1347" s="31" t="n"/>
      <c r="M1347" s="1" t="n"/>
    </row>
    <row r="1348">
      <c r="A1348" s="1" t="n"/>
      <c r="B1348" s="24" t="n">
        <v>1342</v>
      </c>
      <c r="C1348" s="61" t="n"/>
      <c r="D1348" s="27" t="n"/>
      <c r="E1348" s="27" t="n"/>
      <c r="F1348" s="27" t="n"/>
      <c r="G1348" s="27" t="n"/>
      <c r="H1348" s="62" t="n"/>
      <c r="I1348" s="31" t="n"/>
      <c r="J1348" s="31" t="n"/>
      <c r="K1348" s="31" t="n"/>
      <c r="L1348" s="31" t="n"/>
      <c r="M1348" s="1" t="n"/>
    </row>
    <row r="1349">
      <c r="A1349" s="1" t="n"/>
      <c r="B1349" s="24" t="n">
        <v>1343</v>
      </c>
      <c r="C1349" s="61" t="n"/>
      <c r="D1349" s="27" t="n"/>
      <c r="E1349" s="27" t="n"/>
      <c r="F1349" s="27" t="n"/>
      <c r="G1349" s="27" t="n"/>
      <c r="H1349" s="62" t="n"/>
      <c r="I1349" s="31" t="n"/>
      <c r="J1349" s="31" t="n"/>
      <c r="K1349" s="31" t="n"/>
      <c r="L1349" s="31" t="n"/>
      <c r="M1349" s="1" t="n"/>
    </row>
    <row r="1350">
      <c r="A1350" s="1" t="n"/>
      <c r="B1350" s="24" t="n">
        <v>1344</v>
      </c>
      <c r="C1350" s="61" t="n"/>
      <c r="D1350" s="27" t="n"/>
      <c r="E1350" s="27" t="n"/>
      <c r="F1350" s="27" t="n"/>
      <c r="G1350" s="27" t="n"/>
      <c r="H1350" s="62" t="n"/>
      <c r="I1350" s="31" t="n"/>
      <c r="J1350" s="31" t="n"/>
      <c r="K1350" s="31" t="n"/>
      <c r="L1350" s="31" t="n"/>
      <c r="M1350" s="1" t="n"/>
    </row>
    <row r="1351">
      <c r="A1351" s="1" t="n"/>
      <c r="B1351" s="24" t="n">
        <v>1345</v>
      </c>
      <c r="C1351" s="61" t="n"/>
      <c r="D1351" s="27" t="n"/>
      <c r="E1351" s="27" t="n"/>
      <c r="F1351" s="27" t="n"/>
      <c r="G1351" s="27" t="n"/>
      <c r="H1351" s="62" t="n"/>
      <c r="I1351" s="31" t="n"/>
      <c r="J1351" s="31" t="n"/>
      <c r="K1351" s="31" t="n"/>
      <c r="L1351" s="31" t="n"/>
      <c r="M1351" s="1" t="n"/>
    </row>
    <row r="1352">
      <c r="A1352" s="1" t="n"/>
      <c r="B1352" s="24" t="n">
        <v>1346</v>
      </c>
      <c r="C1352" s="61" t="n"/>
      <c r="D1352" s="27" t="n"/>
      <c r="E1352" s="27" t="n"/>
      <c r="F1352" s="27" t="n"/>
      <c r="G1352" s="27" t="n"/>
      <c r="H1352" s="62" t="n"/>
      <c r="I1352" s="31" t="n"/>
      <c r="J1352" s="31" t="n"/>
      <c r="K1352" s="31" t="n"/>
      <c r="L1352" s="31" t="n"/>
      <c r="M1352" s="1" t="n"/>
    </row>
    <row r="1353">
      <c r="A1353" s="1" t="n"/>
      <c r="B1353" s="24" t="n">
        <v>1347</v>
      </c>
      <c r="C1353" s="61" t="n"/>
      <c r="D1353" s="27" t="n"/>
      <c r="E1353" s="27" t="n"/>
      <c r="F1353" s="27" t="n"/>
      <c r="G1353" s="27" t="n"/>
      <c r="H1353" s="62" t="n"/>
      <c r="I1353" s="31" t="n"/>
      <c r="J1353" s="31" t="n"/>
      <c r="K1353" s="31" t="n"/>
      <c r="L1353" s="31" t="n"/>
      <c r="M1353" s="1" t="n"/>
    </row>
    <row r="1354">
      <c r="A1354" s="1" t="n"/>
      <c r="B1354" s="24" t="n">
        <v>1348</v>
      </c>
      <c r="C1354" s="61" t="n"/>
      <c r="D1354" s="27" t="n"/>
      <c r="E1354" s="27" t="n"/>
      <c r="F1354" s="27" t="n"/>
      <c r="G1354" s="27" t="n"/>
      <c r="H1354" s="62" t="n"/>
      <c r="I1354" s="31" t="n"/>
      <c r="J1354" s="31" t="n"/>
      <c r="K1354" s="31" t="n"/>
      <c r="L1354" s="31" t="n"/>
      <c r="M1354" s="1" t="n"/>
    </row>
    <row r="1355">
      <c r="A1355" s="1" t="n"/>
      <c r="B1355" s="24" t="n">
        <v>1349</v>
      </c>
      <c r="C1355" s="61" t="n"/>
      <c r="D1355" s="27" t="n"/>
      <c r="E1355" s="27" t="n"/>
      <c r="F1355" s="27" t="n"/>
      <c r="G1355" s="27" t="n"/>
      <c r="H1355" s="62" t="n"/>
      <c r="I1355" s="31" t="n"/>
      <c r="J1355" s="31" t="n"/>
      <c r="K1355" s="31" t="n"/>
      <c r="L1355" s="31" t="n"/>
      <c r="M1355" s="1" t="n"/>
    </row>
    <row r="1356">
      <c r="A1356" s="1" t="n"/>
      <c r="B1356" s="24" t="n">
        <v>1350</v>
      </c>
      <c r="C1356" s="61" t="n"/>
      <c r="D1356" s="27" t="n"/>
      <c r="E1356" s="27" t="n"/>
      <c r="F1356" s="27" t="n"/>
      <c r="G1356" s="27" t="n"/>
      <c r="H1356" s="62" t="n"/>
      <c r="I1356" s="31" t="n"/>
      <c r="J1356" s="31" t="n"/>
      <c r="K1356" s="31" t="n"/>
      <c r="L1356" s="31" t="n"/>
      <c r="M1356" s="1" t="n"/>
    </row>
    <row r="1357">
      <c r="A1357" s="1" t="n"/>
      <c r="B1357" s="24" t="n">
        <v>1351</v>
      </c>
      <c r="C1357" s="61" t="n"/>
      <c r="D1357" s="27" t="n"/>
      <c r="E1357" s="27" t="n"/>
      <c r="F1357" s="27" t="n"/>
      <c r="G1357" s="27" t="n"/>
      <c r="H1357" s="62" t="n"/>
      <c r="I1357" s="31" t="n"/>
      <c r="J1357" s="31" t="n"/>
      <c r="K1357" s="31" t="n"/>
      <c r="L1357" s="31" t="n"/>
      <c r="M1357" s="1" t="n"/>
    </row>
    <row r="1358">
      <c r="A1358" s="1" t="n"/>
      <c r="B1358" s="24" t="n">
        <v>1352</v>
      </c>
      <c r="C1358" s="61" t="n"/>
      <c r="D1358" s="27" t="n"/>
      <c r="E1358" s="27" t="n"/>
      <c r="F1358" s="27" t="n"/>
      <c r="G1358" s="27" t="n"/>
      <c r="H1358" s="62" t="n"/>
      <c r="I1358" s="31" t="n"/>
      <c r="J1358" s="31" t="n"/>
      <c r="K1358" s="31" t="n"/>
      <c r="L1358" s="31" t="n"/>
      <c r="M1358" s="1" t="n"/>
    </row>
    <row r="1359">
      <c r="A1359" s="1" t="n"/>
      <c r="B1359" s="24" t="n">
        <v>1353</v>
      </c>
      <c r="C1359" s="61" t="n"/>
      <c r="D1359" s="27" t="n"/>
      <c r="E1359" s="27" t="n"/>
      <c r="F1359" s="27" t="n"/>
      <c r="G1359" s="27" t="n"/>
      <c r="H1359" s="62" t="n"/>
      <c r="I1359" s="31" t="n"/>
      <c r="J1359" s="31" t="n"/>
      <c r="K1359" s="31" t="n"/>
      <c r="L1359" s="31" t="n"/>
      <c r="M1359" s="1" t="n"/>
    </row>
    <row r="1360">
      <c r="A1360" s="1" t="n"/>
      <c r="B1360" s="24" t="n">
        <v>1354</v>
      </c>
      <c r="C1360" s="61" t="n"/>
      <c r="D1360" s="27" t="n"/>
      <c r="E1360" s="27" t="n"/>
      <c r="F1360" s="27" t="n"/>
      <c r="G1360" s="27" t="n"/>
      <c r="H1360" s="62" t="n"/>
      <c r="I1360" s="31" t="n"/>
      <c r="J1360" s="31" t="n"/>
      <c r="K1360" s="31" t="n"/>
      <c r="L1360" s="31" t="n"/>
      <c r="M1360" s="1" t="n"/>
    </row>
    <row r="1361">
      <c r="A1361" s="1" t="n"/>
      <c r="B1361" s="24" t="n">
        <v>1355</v>
      </c>
      <c r="C1361" s="61" t="n"/>
      <c r="D1361" s="27" t="n"/>
      <c r="E1361" s="27" t="n"/>
      <c r="F1361" s="27" t="n"/>
      <c r="G1361" s="27" t="n"/>
      <c r="H1361" s="62" t="n"/>
      <c r="I1361" s="31" t="n"/>
      <c r="J1361" s="31" t="n"/>
      <c r="K1361" s="31" t="n"/>
      <c r="L1361" s="31" t="n"/>
      <c r="M1361" s="1" t="n"/>
    </row>
    <row r="1362">
      <c r="A1362" s="1" t="n"/>
      <c r="B1362" s="24" t="n">
        <v>1356</v>
      </c>
      <c r="C1362" s="61" t="n"/>
      <c r="D1362" s="27" t="n"/>
      <c r="E1362" s="27" t="n"/>
      <c r="F1362" s="27" t="n"/>
      <c r="G1362" s="27" t="n"/>
      <c r="H1362" s="62" t="n"/>
      <c r="I1362" s="31" t="n"/>
      <c r="J1362" s="31" t="n"/>
      <c r="K1362" s="31" t="n"/>
      <c r="L1362" s="31" t="n"/>
      <c r="M1362" s="1" t="n"/>
    </row>
    <row r="1363">
      <c r="A1363" s="1" t="n"/>
      <c r="B1363" s="24" t="n">
        <v>1357</v>
      </c>
      <c r="C1363" s="61" t="n"/>
      <c r="D1363" s="27" t="n"/>
      <c r="E1363" s="27" t="n"/>
      <c r="F1363" s="27" t="n"/>
      <c r="G1363" s="27" t="n"/>
      <c r="H1363" s="62" t="n"/>
      <c r="I1363" s="31" t="n"/>
      <c r="J1363" s="31" t="n"/>
      <c r="K1363" s="31" t="n"/>
      <c r="L1363" s="31" t="n"/>
      <c r="M1363" s="1" t="n"/>
    </row>
    <row r="1364">
      <c r="A1364" s="1" t="n"/>
      <c r="B1364" s="24" t="n">
        <v>1358</v>
      </c>
      <c r="C1364" s="61" t="n"/>
      <c r="D1364" s="27" t="n"/>
      <c r="E1364" s="27" t="n"/>
      <c r="F1364" s="27" t="n"/>
      <c r="G1364" s="27" t="n"/>
      <c r="H1364" s="62" t="n"/>
      <c r="I1364" s="31" t="n"/>
      <c r="J1364" s="31" t="n"/>
      <c r="K1364" s="31" t="n"/>
      <c r="L1364" s="31" t="n"/>
      <c r="M1364" s="1" t="n"/>
    </row>
    <row r="1365">
      <c r="A1365" s="1" t="n"/>
      <c r="B1365" s="24" t="n">
        <v>1359</v>
      </c>
      <c r="C1365" s="61" t="n"/>
      <c r="D1365" s="27" t="n"/>
      <c r="E1365" s="27" t="n"/>
      <c r="F1365" s="27" t="n"/>
      <c r="G1365" s="27" t="n"/>
      <c r="H1365" s="62" t="n"/>
      <c r="I1365" s="31" t="n"/>
      <c r="J1365" s="31" t="n"/>
      <c r="K1365" s="31" t="n"/>
      <c r="L1365" s="31" t="n"/>
      <c r="M1365" s="1" t="n"/>
    </row>
    <row r="1366">
      <c r="A1366" s="1" t="n"/>
      <c r="B1366" s="24" t="n">
        <v>1360</v>
      </c>
      <c r="C1366" s="61" t="n"/>
      <c r="D1366" s="27" t="n"/>
      <c r="E1366" s="27" t="n"/>
      <c r="F1366" s="27" t="n"/>
      <c r="G1366" s="27" t="n"/>
      <c r="H1366" s="62" t="n"/>
      <c r="I1366" s="31" t="n"/>
      <c r="J1366" s="31" t="n"/>
      <c r="K1366" s="31" t="n"/>
      <c r="L1366" s="31" t="n"/>
      <c r="M1366" s="1" t="n"/>
    </row>
    <row r="1367">
      <c r="A1367" s="1" t="n"/>
      <c r="B1367" s="24" t="n">
        <v>1361</v>
      </c>
      <c r="C1367" s="61" t="n"/>
      <c r="D1367" s="27" t="n"/>
      <c r="E1367" s="27" t="n"/>
      <c r="F1367" s="27" t="n"/>
      <c r="G1367" s="27" t="n"/>
      <c r="H1367" s="62" t="n"/>
      <c r="I1367" s="31" t="n"/>
      <c r="J1367" s="31" t="n"/>
      <c r="K1367" s="31" t="n"/>
      <c r="L1367" s="31" t="n"/>
      <c r="M1367" s="1" t="n"/>
    </row>
    <row r="1368">
      <c r="A1368" s="1" t="n"/>
      <c r="B1368" s="24" t="n">
        <v>1362</v>
      </c>
      <c r="C1368" s="61" t="n"/>
      <c r="D1368" s="27" t="n"/>
      <c r="E1368" s="27" t="n"/>
      <c r="F1368" s="27" t="n"/>
      <c r="G1368" s="27" t="n"/>
      <c r="H1368" s="62" t="n"/>
      <c r="I1368" s="31" t="n"/>
      <c r="J1368" s="31" t="n"/>
      <c r="K1368" s="31" t="n"/>
      <c r="L1368" s="31" t="n"/>
      <c r="M1368" s="1" t="n"/>
    </row>
    <row r="1369">
      <c r="A1369" s="1" t="n"/>
      <c r="B1369" s="24" t="n">
        <v>1363</v>
      </c>
      <c r="C1369" s="61" t="n"/>
      <c r="D1369" s="27" t="n"/>
      <c r="E1369" s="27" t="n"/>
      <c r="F1369" s="27" t="n"/>
      <c r="G1369" s="27" t="n"/>
      <c r="H1369" s="62" t="n"/>
      <c r="I1369" s="31" t="n"/>
      <c r="J1369" s="31" t="n"/>
      <c r="K1369" s="31" t="n"/>
      <c r="L1369" s="31" t="n"/>
      <c r="M1369" s="1" t="n"/>
    </row>
    <row r="1370">
      <c r="A1370" s="1" t="n"/>
      <c r="B1370" s="24" t="n">
        <v>1364</v>
      </c>
      <c r="C1370" s="61" t="n"/>
      <c r="D1370" s="27" t="n"/>
      <c r="E1370" s="27" t="n"/>
      <c r="F1370" s="27" t="n"/>
      <c r="G1370" s="27" t="n"/>
      <c r="H1370" s="62" t="n"/>
      <c r="I1370" s="31" t="n"/>
      <c r="J1370" s="31" t="n"/>
      <c r="K1370" s="31" t="n"/>
      <c r="L1370" s="31" t="n"/>
      <c r="M1370" s="1" t="n"/>
    </row>
    <row r="1371">
      <c r="A1371" s="1" t="n"/>
      <c r="B1371" s="24" t="n">
        <v>1365</v>
      </c>
      <c r="C1371" s="61" t="n"/>
      <c r="D1371" s="27" t="n"/>
      <c r="E1371" s="27" t="n"/>
      <c r="F1371" s="27" t="n"/>
      <c r="G1371" s="27" t="n"/>
      <c r="H1371" s="62" t="n"/>
      <c r="I1371" s="31" t="n"/>
      <c r="J1371" s="31" t="n"/>
      <c r="K1371" s="31" t="n"/>
      <c r="L1371" s="31" t="n"/>
      <c r="M1371" s="1" t="n"/>
    </row>
    <row r="1372">
      <c r="A1372" s="1" t="n"/>
      <c r="B1372" s="24" t="n">
        <v>1366</v>
      </c>
      <c r="C1372" s="61" t="n"/>
      <c r="D1372" s="27" t="n"/>
      <c r="E1372" s="27" t="n"/>
      <c r="F1372" s="27" t="n"/>
      <c r="G1372" s="27" t="n"/>
      <c r="H1372" s="62" t="n"/>
      <c r="I1372" s="31" t="n"/>
      <c r="J1372" s="31" t="n"/>
      <c r="K1372" s="31" t="n"/>
      <c r="L1372" s="31" t="n"/>
      <c r="M1372" s="1" t="n"/>
    </row>
    <row r="1373">
      <c r="A1373" s="1" t="n"/>
      <c r="B1373" s="24" t="n">
        <v>1367</v>
      </c>
      <c r="C1373" s="61" t="n"/>
      <c r="D1373" s="27" t="n"/>
      <c r="E1373" s="27" t="n"/>
      <c r="F1373" s="27" t="n"/>
      <c r="G1373" s="27" t="n"/>
      <c r="H1373" s="62" t="n"/>
      <c r="I1373" s="31" t="n"/>
      <c r="J1373" s="31" t="n"/>
      <c r="K1373" s="31" t="n"/>
      <c r="L1373" s="31" t="n"/>
      <c r="M1373" s="1" t="n"/>
    </row>
    <row r="1374">
      <c r="A1374" s="1" t="n"/>
      <c r="B1374" s="24" t="n">
        <v>1368</v>
      </c>
      <c r="C1374" s="61" t="n"/>
      <c r="D1374" s="27" t="n"/>
      <c r="E1374" s="27" t="n"/>
      <c r="F1374" s="27" t="n"/>
      <c r="G1374" s="27" t="n"/>
      <c r="H1374" s="62" t="n"/>
      <c r="I1374" s="31" t="n"/>
      <c r="J1374" s="31" t="n"/>
      <c r="K1374" s="31" t="n"/>
      <c r="L1374" s="31" t="n"/>
      <c r="M1374" s="1" t="n"/>
    </row>
    <row r="1375">
      <c r="A1375" s="1" t="n"/>
      <c r="B1375" s="24" t="n">
        <v>1369</v>
      </c>
      <c r="C1375" s="61" t="n"/>
      <c r="D1375" s="27" t="n"/>
      <c r="E1375" s="27" t="n"/>
      <c r="F1375" s="27" t="n"/>
      <c r="G1375" s="27" t="n"/>
      <c r="H1375" s="62" t="n"/>
      <c r="I1375" s="31" t="n"/>
      <c r="J1375" s="31" t="n"/>
      <c r="K1375" s="31" t="n"/>
      <c r="L1375" s="31" t="n"/>
      <c r="M1375" s="1" t="n"/>
    </row>
    <row r="1376">
      <c r="A1376" s="1" t="n"/>
      <c r="B1376" s="24" t="n">
        <v>1370</v>
      </c>
      <c r="C1376" s="61" t="n"/>
      <c r="D1376" s="27" t="n"/>
      <c r="E1376" s="27" t="n"/>
      <c r="F1376" s="27" t="n"/>
      <c r="G1376" s="27" t="n"/>
      <c r="H1376" s="62" t="n"/>
      <c r="I1376" s="31" t="n"/>
      <c r="J1376" s="31" t="n"/>
      <c r="K1376" s="31" t="n"/>
      <c r="L1376" s="31" t="n"/>
      <c r="M1376" s="1" t="n"/>
    </row>
    <row r="1377">
      <c r="A1377" s="1" t="n"/>
      <c r="B1377" s="24" t="n">
        <v>1371</v>
      </c>
      <c r="C1377" s="61" t="n"/>
      <c r="D1377" s="27" t="n"/>
      <c r="E1377" s="27" t="n"/>
      <c r="F1377" s="27" t="n"/>
      <c r="G1377" s="27" t="n"/>
      <c r="H1377" s="62" t="n"/>
      <c r="I1377" s="31" t="n"/>
      <c r="J1377" s="31" t="n"/>
      <c r="K1377" s="31" t="n"/>
      <c r="L1377" s="31" t="n"/>
      <c r="M1377" s="1" t="n"/>
    </row>
    <row r="1378">
      <c r="A1378" s="1" t="n"/>
      <c r="B1378" s="24" t="n">
        <v>1372</v>
      </c>
      <c r="C1378" s="61" t="n"/>
      <c r="D1378" s="27" t="n"/>
      <c r="E1378" s="27" t="n"/>
      <c r="F1378" s="27" t="n"/>
      <c r="G1378" s="27" t="n"/>
      <c r="H1378" s="62" t="n"/>
      <c r="I1378" s="31" t="n"/>
      <c r="J1378" s="31" t="n"/>
      <c r="K1378" s="31" t="n"/>
      <c r="L1378" s="31" t="n"/>
      <c r="M1378" s="1" t="n"/>
    </row>
    <row r="1379">
      <c r="A1379" s="1" t="n"/>
      <c r="B1379" s="24" t="n">
        <v>1373</v>
      </c>
      <c r="C1379" s="61" t="n"/>
      <c r="D1379" s="27" t="n"/>
      <c r="E1379" s="27" t="n"/>
      <c r="F1379" s="27" t="n"/>
      <c r="G1379" s="27" t="n"/>
      <c r="H1379" s="62" t="n"/>
      <c r="I1379" s="31" t="n"/>
      <c r="J1379" s="31" t="n"/>
      <c r="K1379" s="31" t="n"/>
      <c r="L1379" s="31" t="n"/>
      <c r="M1379" s="1" t="n"/>
    </row>
    <row r="1380">
      <c r="A1380" s="1" t="n"/>
      <c r="B1380" s="24" t="n">
        <v>1374</v>
      </c>
      <c r="C1380" s="61" t="n"/>
      <c r="D1380" s="27" t="n"/>
      <c r="E1380" s="27" t="n"/>
      <c r="F1380" s="27" t="n"/>
      <c r="G1380" s="27" t="n"/>
      <c r="H1380" s="62" t="n"/>
      <c r="I1380" s="31" t="n"/>
      <c r="J1380" s="31" t="n"/>
      <c r="K1380" s="31" t="n"/>
      <c r="L1380" s="31" t="n"/>
      <c r="M1380" s="1" t="n"/>
    </row>
    <row r="1381">
      <c r="A1381" s="1" t="n"/>
      <c r="B1381" s="24" t="n">
        <v>1375</v>
      </c>
      <c r="C1381" s="61" t="n"/>
      <c r="D1381" s="27" t="n"/>
      <c r="E1381" s="27" t="n"/>
      <c r="F1381" s="27" t="n"/>
      <c r="G1381" s="27" t="n"/>
      <c r="H1381" s="62" t="n"/>
      <c r="I1381" s="31" t="n"/>
      <c r="J1381" s="31" t="n"/>
      <c r="K1381" s="31" t="n"/>
      <c r="L1381" s="31" t="n"/>
      <c r="M1381" s="1" t="n"/>
    </row>
    <row r="1382">
      <c r="A1382" s="1" t="n"/>
      <c r="B1382" s="24" t="n">
        <v>1376</v>
      </c>
      <c r="C1382" s="61" t="n"/>
      <c r="D1382" s="27" t="n"/>
      <c r="E1382" s="27" t="n"/>
      <c r="F1382" s="27" t="n"/>
      <c r="G1382" s="27" t="n"/>
      <c r="H1382" s="62" t="n"/>
      <c r="I1382" s="31" t="n"/>
      <c r="J1382" s="31" t="n"/>
      <c r="K1382" s="31" t="n"/>
      <c r="L1382" s="31" t="n"/>
      <c r="M1382" s="1" t="n"/>
    </row>
    <row r="1383">
      <c r="A1383" s="1" t="n"/>
      <c r="B1383" s="24" t="n">
        <v>1377</v>
      </c>
      <c r="C1383" s="61" t="n"/>
      <c r="D1383" s="27" t="n"/>
      <c r="E1383" s="27" t="n"/>
      <c r="F1383" s="27" t="n"/>
      <c r="G1383" s="27" t="n"/>
      <c r="H1383" s="62" t="n"/>
      <c r="I1383" s="31" t="n"/>
      <c r="J1383" s="31" t="n"/>
      <c r="K1383" s="31" t="n"/>
      <c r="L1383" s="31" t="n"/>
      <c r="M1383" s="1" t="n"/>
    </row>
    <row r="1384">
      <c r="A1384" s="1" t="n"/>
      <c r="B1384" s="24" t="n">
        <v>1378</v>
      </c>
      <c r="C1384" s="61" t="n"/>
      <c r="D1384" s="27" t="n"/>
      <c r="E1384" s="27" t="n"/>
      <c r="F1384" s="27" t="n"/>
      <c r="G1384" s="27" t="n"/>
      <c r="H1384" s="62" t="n"/>
      <c r="I1384" s="31" t="n"/>
      <c r="J1384" s="31" t="n"/>
      <c r="K1384" s="31" t="n"/>
      <c r="L1384" s="31" t="n"/>
      <c r="M1384" s="1" t="n"/>
    </row>
    <row r="1385">
      <c r="A1385" s="1" t="n"/>
      <c r="B1385" s="24" t="n">
        <v>1379</v>
      </c>
      <c r="C1385" s="61" t="n"/>
      <c r="D1385" s="27" t="n"/>
      <c r="E1385" s="27" t="n"/>
      <c r="F1385" s="27" t="n"/>
      <c r="G1385" s="27" t="n"/>
      <c r="H1385" s="62" t="n"/>
      <c r="I1385" s="31" t="n"/>
      <c r="J1385" s="31" t="n"/>
      <c r="K1385" s="31" t="n"/>
      <c r="L1385" s="31" t="n"/>
      <c r="M1385" s="1" t="n"/>
    </row>
    <row r="1386">
      <c r="A1386" s="1" t="n"/>
      <c r="B1386" s="24" t="n">
        <v>1380</v>
      </c>
      <c r="C1386" s="61" t="n"/>
      <c r="D1386" s="27" t="n"/>
      <c r="E1386" s="27" t="n"/>
      <c r="F1386" s="27" t="n"/>
      <c r="G1386" s="27" t="n"/>
      <c r="H1386" s="62" t="n"/>
      <c r="I1386" s="31" t="n"/>
      <c r="J1386" s="31" t="n"/>
      <c r="K1386" s="31" t="n"/>
      <c r="L1386" s="31" t="n"/>
      <c r="M1386" s="1" t="n"/>
    </row>
    <row r="1387">
      <c r="A1387" s="1" t="n"/>
      <c r="B1387" s="24" t="n">
        <v>1381</v>
      </c>
      <c r="C1387" s="61" t="n"/>
      <c r="D1387" s="27" t="n"/>
      <c r="E1387" s="27" t="n"/>
      <c r="F1387" s="27" t="n"/>
      <c r="G1387" s="27" t="n"/>
      <c r="H1387" s="62" t="n"/>
      <c r="I1387" s="31" t="n"/>
      <c r="J1387" s="31" t="n"/>
      <c r="K1387" s="31" t="n"/>
      <c r="L1387" s="31" t="n"/>
      <c r="M1387" s="1" t="n"/>
    </row>
    <row r="1388">
      <c r="A1388" s="1" t="n"/>
      <c r="B1388" s="24" t="n">
        <v>1382</v>
      </c>
      <c r="C1388" s="61" t="n"/>
      <c r="D1388" s="27" t="n"/>
      <c r="E1388" s="27" t="n"/>
      <c r="F1388" s="27" t="n"/>
      <c r="G1388" s="27" t="n"/>
      <c r="H1388" s="62" t="n"/>
      <c r="I1388" s="31" t="n"/>
      <c r="J1388" s="31" t="n"/>
      <c r="K1388" s="31" t="n"/>
      <c r="L1388" s="31" t="n"/>
      <c r="M1388" s="1" t="n"/>
    </row>
    <row r="1389">
      <c r="A1389" s="1" t="n"/>
      <c r="B1389" s="24" t="n">
        <v>1383</v>
      </c>
      <c r="C1389" s="61" t="n"/>
      <c r="D1389" s="27" t="n"/>
      <c r="E1389" s="27" t="n"/>
      <c r="F1389" s="27" t="n"/>
      <c r="G1389" s="27" t="n"/>
      <c r="H1389" s="62" t="n"/>
      <c r="I1389" s="31" t="n"/>
      <c r="J1389" s="31" t="n"/>
      <c r="K1389" s="31" t="n"/>
      <c r="L1389" s="31" t="n"/>
      <c r="M1389" s="1" t="n"/>
    </row>
    <row r="1390">
      <c r="A1390" s="1" t="n"/>
      <c r="B1390" s="24" t="n">
        <v>1384</v>
      </c>
      <c r="C1390" s="61" t="n"/>
      <c r="D1390" s="27" t="n"/>
      <c r="E1390" s="27" t="n"/>
      <c r="F1390" s="27" t="n"/>
      <c r="G1390" s="27" t="n"/>
      <c r="H1390" s="62" t="n"/>
      <c r="I1390" s="31" t="n"/>
      <c r="J1390" s="31" t="n"/>
      <c r="K1390" s="31" t="n"/>
      <c r="L1390" s="31" t="n"/>
      <c r="M1390" s="1" t="n"/>
    </row>
    <row r="1391">
      <c r="A1391" s="1" t="n"/>
      <c r="B1391" s="24" t="n">
        <v>1385</v>
      </c>
      <c r="C1391" s="61" t="n"/>
      <c r="D1391" s="27" t="n"/>
      <c r="E1391" s="27" t="n"/>
      <c r="F1391" s="27" t="n"/>
      <c r="G1391" s="27" t="n"/>
      <c r="H1391" s="62" t="n"/>
      <c r="I1391" s="31" t="n"/>
      <c r="J1391" s="31" t="n"/>
      <c r="K1391" s="31" t="n"/>
      <c r="L1391" s="31" t="n"/>
      <c r="M1391" s="1" t="n"/>
    </row>
    <row r="1392">
      <c r="A1392" s="1" t="n"/>
      <c r="B1392" s="24" t="n">
        <v>1386</v>
      </c>
      <c r="C1392" s="61" t="n"/>
      <c r="D1392" s="27" t="n"/>
      <c r="E1392" s="27" t="n"/>
      <c r="F1392" s="27" t="n"/>
      <c r="G1392" s="27" t="n"/>
      <c r="H1392" s="62" t="n"/>
      <c r="I1392" s="31" t="n"/>
      <c r="J1392" s="31" t="n"/>
      <c r="K1392" s="31" t="n"/>
      <c r="L1392" s="31" t="n"/>
      <c r="M1392" s="1" t="n"/>
    </row>
    <row r="1393">
      <c r="A1393" s="1" t="n"/>
      <c r="B1393" s="24" t="n">
        <v>1387</v>
      </c>
      <c r="C1393" s="61" t="n"/>
      <c r="D1393" s="27" t="n"/>
      <c r="E1393" s="27" t="n"/>
      <c r="F1393" s="27" t="n"/>
      <c r="G1393" s="27" t="n"/>
      <c r="H1393" s="62" t="n"/>
      <c r="I1393" s="31" t="n"/>
      <c r="J1393" s="31" t="n"/>
      <c r="K1393" s="31" t="n"/>
      <c r="L1393" s="31" t="n"/>
      <c r="M1393" s="1" t="n"/>
    </row>
    <row r="1394">
      <c r="A1394" s="1" t="n"/>
      <c r="B1394" s="24" t="n">
        <v>1388</v>
      </c>
      <c r="C1394" s="61" t="n"/>
      <c r="D1394" s="27" t="n"/>
      <c r="E1394" s="27" t="n"/>
      <c r="F1394" s="27" t="n"/>
      <c r="G1394" s="27" t="n"/>
      <c r="H1394" s="62" t="n"/>
      <c r="I1394" s="31" t="n"/>
      <c r="J1394" s="31" t="n"/>
      <c r="K1394" s="31" t="n"/>
      <c r="L1394" s="31" t="n"/>
      <c r="M1394" s="1" t="n"/>
    </row>
    <row r="1395">
      <c r="A1395" s="1" t="n"/>
      <c r="B1395" s="24" t="n">
        <v>1389</v>
      </c>
      <c r="C1395" s="61" t="n"/>
      <c r="D1395" s="27" t="n"/>
      <c r="E1395" s="27" t="n"/>
      <c r="F1395" s="27" t="n"/>
      <c r="G1395" s="27" t="n"/>
      <c r="H1395" s="62" t="n"/>
      <c r="I1395" s="31" t="n"/>
      <c r="J1395" s="31" t="n"/>
      <c r="K1395" s="31" t="n"/>
      <c r="L1395" s="31" t="n"/>
      <c r="M1395" s="1" t="n"/>
    </row>
    <row r="1396">
      <c r="A1396" s="1" t="n"/>
      <c r="B1396" s="24" t="n">
        <v>1390</v>
      </c>
      <c r="C1396" s="61" t="n"/>
      <c r="D1396" s="27" t="n"/>
      <c r="E1396" s="27" t="n"/>
      <c r="F1396" s="27" t="n"/>
      <c r="G1396" s="27" t="n"/>
      <c r="H1396" s="62" t="n"/>
      <c r="I1396" s="31" t="n"/>
      <c r="J1396" s="31" t="n"/>
      <c r="K1396" s="31" t="n"/>
      <c r="L1396" s="31" t="n"/>
      <c r="M1396" s="1" t="n"/>
    </row>
    <row r="1397">
      <c r="A1397" s="1" t="n"/>
      <c r="B1397" s="24" t="n">
        <v>1391</v>
      </c>
      <c r="C1397" s="61" t="n"/>
      <c r="D1397" s="27" t="n"/>
      <c r="E1397" s="27" t="n"/>
      <c r="F1397" s="27" t="n"/>
      <c r="G1397" s="27" t="n"/>
      <c r="H1397" s="62" t="n"/>
      <c r="I1397" s="31" t="n"/>
      <c r="J1397" s="31" t="n"/>
      <c r="K1397" s="31" t="n"/>
      <c r="L1397" s="31" t="n"/>
      <c r="M1397" s="1" t="n"/>
    </row>
    <row r="1398">
      <c r="A1398" s="1" t="n"/>
      <c r="B1398" s="24" t="n">
        <v>1392</v>
      </c>
      <c r="C1398" s="61" t="n"/>
      <c r="D1398" s="27" t="n"/>
      <c r="E1398" s="27" t="n"/>
      <c r="F1398" s="27" t="n"/>
      <c r="G1398" s="27" t="n"/>
      <c r="H1398" s="62" t="n"/>
      <c r="I1398" s="31" t="n"/>
      <c r="J1398" s="31" t="n"/>
      <c r="K1398" s="31" t="n"/>
      <c r="L1398" s="31" t="n"/>
      <c r="M1398" s="1" t="n"/>
    </row>
    <row r="1399">
      <c r="A1399" s="1" t="n"/>
      <c r="B1399" s="24" t="n">
        <v>1393</v>
      </c>
      <c r="C1399" s="61" t="n"/>
      <c r="D1399" s="27" t="n"/>
      <c r="E1399" s="27" t="n"/>
      <c r="F1399" s="27" t="n"/>
      <c r="G1399" s="27" t="n"/>
      <c r="H1399" s="62" t="n"/>
      <c r="I1399" s="31" t="n"/>
      <c r="J1399" s="31" t="n"/>
      <c r="K1399" s="31" t="n"/>
      <c r="L1399" s="31" t="n"/>
      <c r="M1399" s="1" t="n"/>
    </row>
    <row r="1400">
      <c r="A1400" s="1" t="n"/>
      <c r="B1400" s="24" t="n">
        <v>1394</v>
      </c>
      <c r="C1400" s="61" t="n"/>
      <c r="D1400" s="27" t="n"/>
      <c r="E1400" s="27" t="n"/>
      <c r="F1400" s="27" t="n"/>
      <c r="G1400" s="27" t="n"/>
      <c r="H1400" s="62" t="n"/>
      <c r="I1400" s="31" t="n"/>
      <c r="J1400" s="31" t="n"/>
      <c r="K1400" s="31" t="n"/>
      <c r="L1400" s="31" t="n"/>
      <c r="M1400" s="1" t="n"/>
    </row>
    <row r="1401">
      <c r="A1401" s="1" t="n"/>
      <c r="B1401" s="24" t="n">
        <v>1395</v>
      </c>
      <c r="C1401" s="61" t="n"/>
      <c r="D1401" s="27" t="n"/>
      <c r="E1401" s="27" t="n"/>
      <c r="F1401" s="27" t="n"/>
      <c r="G1401" s="27" t="n"/>
      <c r="H1401" s="62" t="n"/>
      <c r="I1401" s="31" t="n"/>
      <c r="J1401" s="31" t="n"/>
      <c r="K1401" s="31" t="n"/>
      <c r="L1401" s="31" t="n"/>
      <c r="M1401" s="1" t="n"/>
    </row>
    <row r="1402">
      <c r="A1402" s="1" t="n"/>
      <c r="B1402" s="24" t="n">
        <v>1396</v>
      </c>
      <c r="C1402" s="61" t="n"/>
      <c r="D1402" s="27" t="n"/>
      <c r="E1402" s="27" t="n"/>
      <c r="F1402" s="27" t="n"/>
      <c r="G1402" s="27" t="n"/>
      <c r="H1402" s="62" t="n"/>
      <c r="I1402" s="31" t="n"/>
      <c r="J1402" s="31" t="n"/>
      <c r="K1402" s="31" t="n"/>
      <c r="L1402" s="31" t="n"/>
      <c r="M1402" s="1" t="n"/>
    </row>
    <row r="1403">
      <c r="A1403" s="1" t="n"/>
      <c r="B1403" s="24" t="n">
        <v>1397</v>
      </c>
      <c r="C1403" s="61" t="n"/>
      <c r="D1403" s="27" t="n"/>
      <c r="E1403" s="27" t="n"/>
      <c r="F1403" s="27" t="n"/>
      <c r="G1403" s="27" t="n"/>
      <c r="H1403" s="62" t="n"/>
      <c r="I1403" s="31" t="n"/>
      <c r="J1403" s="31" t="n"/>
      <c r="K1403" s="31" t="n"/>
      <c r="L1403" s="31" t="n"/>
      <c r="M1403" s="1" t="n"/>
    </row>
    <row r="1404">
      <c r="A1404" s="1" t="n"/>
      <c r="B1404" s="24" t="n">
        <v>1398</v>
      </c>
      <c r="C1404" s="61" t="n"/>
      <c r="D1404" s="27" t="n"/>
      <c r="E1404" s="27" t="n"/>
      <c r="F1404" s="27" t="n"/>
      <c r="G1404" s="27" t="n"/>
      <c r="H1404" s="62" t="n"/>
      <c r="I1404" s="31" t="n"/>
      <c r="J1404" s="31" t="n"/>
      <c r="K1404" s="31" t="n"/>
      <c r="L1404" s="31" t="n"/>
      <c r="M1404" s="1" t="n"/>
    </row>
    <row r="1405">
      <c r="A1405" s="1" t="n"/>
      <c r="B1405" s="24" t="n">
        <v>1399</v>
      </c>
      <c r="C1405" s="61" t="n"/>
      <c r="D1405" s="27" t="n"/>
      <c r="E1405" s="27" t="n"/>
      <c r="F1405" s="27" t="n"/>
      <c r="G1405" s="27" t="n"/>
      <c r="H1405" s="62" t="n"/>
      <c r="I1405" s="31" t="n"/>
      <c r="J1405" s="31" t="n"/>
      <c r="K1405" s="31" t="n"/>
      <c r="L1405" s="31" t="n"/>
      <c r="M1405" s="1" t="n"/>
    </row>
    <row r="1406">
      <c r="A1406" s="1" t="n"/>
      <c r="B1406" s="24" t="n">
        <v>1400</v>
      </c>
      <c r="C1406" s="61" t="n"/>
      <c r="D1406" s="27" t="n"/>
      <c r="E1406" s="27" t="n"/>
      <c r="F1406" s="27" t="n"/>
      <c r="G1406" s="27" t="n"/>
      <c r="H1406" s="62" t="n"/>
      <c r="I1406" s="31" t="n"/>
      <c r="J1406" s="31" t="n"/>
      <c r="K1406" s="31" t="n"/>
      <c r="L1406" s="31" t="n"/>
      <c r="M1406" s="1" t="n"/>
    </row>
    <row r="1407">
      <c r="A1407" s="1" t="n"/>
      <c r="B1407" s="24" t="n">
        <v>1401</v>
      </c>
      <c r="C1407" s="61" t="n"/>
      <c r="D1407" s="27" t="n"/>
      <c r="E1407" s="27" t="n"/>
      <c r="F1407" s="27" t="n"/>
      <c r="G1407" s="27" t="n"/>
      <c r="H1407" s="62" t="n"/>
      <c r="I1407" s="31" t="n"/>
      <c r="J1407" s="31" t="n"/>
      <c r="K1407" s="31" t="n"/>
      <c r="L1407" s="31" t="n"/>
      <c r="M1407" s="1" t="n"/>
    </row>
    <row r="1408">
      <c r="A1408" s="1" t="n"/>
      <c r="B1408" s="24" t="n">
        <v>1402</v>
      </c>
      <c r="C1408" s="61" t="n"/>
      <c r="D1408" s="27" t="n"/>
      <c r="E1408" s="27" t="n"/>
      <c r="F1408" s="27" t="n"/>
      <c r="G1408" s="27" t="n"/>
      <c r="H1408" s="62" t="n"/>
      <c r="I1408" s="31" t="n"/>
      <c r="J1408" s="31" t="n"/>
      <c r="K1408" s="31" t="n"/>
      <c r="L1408" s="31" t="n"/>
      <c r="M1408" s="1" t="n"/>
    </row>
    <row r="1409">
      <c r="A1409" s="1" t="n"/>
      <c r="B1409" s="24" t="n">
        <v>1403</v>
      </c>
      <c r="C1409" s="61" t="n"/>
      <c r="D1409" s="27" t="n"/>
      <c r="E1409" s="27" t="n"/>
      <c r="F1409" s="27" t="n"/>
      <c r="G1409" s="27" t="n"/>
      <c r="H1409" s="62" t="n"/>
      <c r="I1409" s="31" t="n"/>
      <c r="J1409" s="31" t="n"/>
      <c r="K1409" s="31" t="n"/>
      <c r="L1409" s="31" t="n"/>
      <c r="M1409" s="1" t="n"/>
    </row>
    <row r="1410">
      <c r="A1410" s="1" t="n"/>
      <c r="B1410" s="24" t="n">
        <v>1404</v>
      </c>
      <c r="C1410" s="61" t="n"/>
      <c r="D1410" s="27" t="n"/>
      <c r="E1410" s="27" t="n"/>
      <c r="F1410" s="27" t="n"/>
      <c r="G1410" s="27" t="n"/>
      <c r="H1410" s="62" t="n"/>
      <c r="I1410" s="31" t="n"/>
      <c r="J1410" s="31" t="n"/>
      <c r="K1410" s="31" t="n"/>
      <c r="L1410" s="31" t="n"/>
      <c r="M1410" s="1" t="n"/>
    </row>
    <row r="1411">
      <c r="A1411" s="1" t="n"/>
      <c r="B1411" s="24" t="n">
        <v>1405</v>
      </c>
      <c r="C1411" s="61" t="n"/>
      <c r="D1411" s="27" t="n"/>
      <c r="E1411" s="27" t="n"/>
      <c r="F1411" s="27" t="n"/>
      <c r="G1411" s="27" t="n"/>
      <c r="H1411" s="62" t="n"/>
      <c r="I1411" s="31" t="n"/>
      <c r="J1411" s="31" t="n"/>
      <c r="K1411" s="31" t="n"/>
      <c r="L1411" s="31" t="n"/>
      <c r="M1411" s="1" t="n"/>
    </row>
    <row r="1412">
      <c r="A1412" s="1" t="n"/>
      <c r="B1412" s="24" t="n">
        <v>1406</v>
      </c>
      <c r="C1412" s="61" t="n"/>
      <c r="D1412" s="27" t="n"/>
      <c r="E1412" s="27" t="n"/>
      <c r="F1412" s="27" t="n"/>
      <c r="G1412" s="27" t="n"/>
      <c r="H1412" s="62" t="n"/>
      <c r="I1412" s="31" t="n"/>
      <c r="J1412" s="31" t="n"/>
      <c r="K1412" s="31" t="n"/>
      <c r="L1412" s="31" t="n"/>
      <c r="M1412" s="1" t="n"/>
    </row>
    <row r="1413">
      <c r="A1413" s="1" t="n"/>
      <c r="B1413" s="24" t="n">
        <v>1407</v>
      </c>
      <c r="C1413" s="61" t="n"/>
      <c r="D1413" s="27" t="n"/>
      <c r="E1413" s="27" t="n"/>
      <c r="F1413" s="27" t="n"/>
      <c r="G1413" s="27" t="n"/>
      <c r="H1413" s="62" t="n"/>
      <c r="I1413" s="31" t="n"/>
      <c r="J1413" s="31" t="n"/>
      <c r="K1413" s="31" t="n"/>
      <c r="L1413" s="31" t="n"/>
      <c r="M1413" s="1" t="n"/>
    </row>
    <row r="1414">
      <c r="A1414" s="1" t="n"/>
      <c r="B1414" s="24" t="n">
        <v>1408</v>
      </c>
      <c r="C1414" s="61" t="n"/>
      <c r="D1414" s="27" t="n"/>
      <c r="E1414" s="27" t="n"/>
      <c r="F1414" s="27" t="n"/>
      <c r="G1414" s="27" t="n"/>
      <c r="H1414" s="62" t="n"/>
      <c r="I1414" s="31" t="n"/>
      <c r="J1414" s="31" t="n"/>
      <c r="K1414" s="31" t="n"/>
      <c r="L1414" s="31" t="n"/>
      <c r="M1414" s="1" t="n"/>
    </row>
    <row r="1415">
      <c r="A1415" s="1" t="n"/>
      <c r="B1415" s="24" t="n">
        <v>1409</v>
      </c>
      <c r="C1415" s="61" t="n"/>
      <c r="D1415" s="27" t="n"/>
      <c r="E1415" s="27" t="n"/>
      <c r="F1415" s="27" t="n"/>
      <c r="G1415" s="27" t="n"/>
      <c r="H1415" s="62" t="n"/>
      <c r="I1415" s="31" t="n"/>
      <c r="J1415" s="31" t="n"/>
      <c r="K1415" s="31" t="n"/>
      <c r="L1415" s="31" t="n"/>
      <c r="M1415" s="1" t="n"/>
    </row>
    <row r="1416">
      <c r="A1416" s="1" t="n"/>
      <c r="B1416" s="24" t="n">
        <v>1410</v>
      </c>
      <c r="C1416" s="61" t="n"/>
      <c r="D1416" s="27" t="n"/>
      <c r="E1416" s="27" t="n"/>
      <c r="F1416" s="27" t="n"/>
      <c r="G1416" s="27" t="n"/>
      <c r="H1416" s="62" t="n"/>
      <c r="I1416" s="31" t="n"/>
      <c r="J1416" s="31" t="n"/>
      <c r="K1416" s="31" t="n"/>
      <c r="L1416" s="31" t="n"/>
      <c r="M1416" s="1" t="n"/>
    </row>
    <row r="1417">
      <c r="A1417" s="1" t="n"/>
      <c r="B1417" s="24" t="n">
        <v>1411</v>
      </c>
      <c r="C1417" s="61" t="n"/>
      <c r="D1417" s="27" t="n"/>
      <c r="E1417" s="27" t="n"/>
      <c r="F1417" s="27" t="n"/>
      <c r="G1417" s="27" t="n"/>
      <c r="H1417" s="62" t="n"/>
      <c r="I1417" s="31" t="n"/>
      <c r="J1417" s="31" t="n"/>
      <c r="K1417" s="31" t="n"/>
      <c r="L1417" s="31" t="n"/>
      <c r="M1417" s="1" t="n"/>
    </row>
    <row r="1418">
      <c r="A1418" s="1" t="n"/>
      <c r="B1418" s="24" t="n">
        <v>1412</v>
      </c>
      <c r="C1418" s="61" t="n"/>
      <c r="D1418" s="27" t="n"/>
      <c r="E1418" s="27" t="n"/>
      <c r="F1418" s="27" t="n"/>
      <c r="G1418" s="27" t="n"/>
      <c r="H1418" s="62" t="n"/>
      <c r="I1418" s="31" t="n"/>
      <c r="J1418" s="31" t="n"/>
      <c r="K1418" s="31" t="n"/>
      <c r="L1418" s="31" t="n"/>
      <c r="M1418" s="1" t="n"/>
    </row>
    <row r="1419">
      <c r="A1419" s="1" t="n"/>
      <c r="B1419" s="24" t="n">
        <v>1413</v>
      </c>
      <c r="C1419" s="61" t="n"/>
      <c r="D1419" s="27" t="n"/>
      <c r="E1419" s="27" t="n"/>
      <c r="F1419" s="27" t="n"/>
      <c r="G1419" s="27" t="n"/>
      <c r="H1419" s="62" t="n"/>
      <c r="I1419" s="31" t="n"/>
      <c r="J1419" s="31" t="n"/>
      <c r="K1419" s="31" t="n"/>
      <c r="L1419" s="31" t="n"/>
      <c r="M1419" s="1" t="n"/>
    </row>
    <row r="1420">
      <c r="A1420" s="1" t="n"/>
      <c r="B1420" s="24" t="n">
        <v>1414</v>
      </c>
      <c r="C1420" s="61" t="n"/>
      <c r="D1420" s="27" t="n"/>
      <c r="E1420" s="27" t="n"/>
      <c r="F1420" s="27" t="n"/>
      <c r="G1420" s="27" t="n"/>
      <c r="H1420" s="62" t="n"/>
      <c r="I1420" s="31" t="n"/>
      <c r="J1420" s="31" t="n"/>
      <c r="K1420" s="31" t="n"/>
      <c r="L1420" s="31" t="n"/>
      <c r="M1420" s="1" t="n"/>
    </row>
    <row r="1421">
      <c r="A1421" s="1" t="n"/>
      <c r="B1421" s="24" t="n">
        <v>1415</v>
      </c>
      <c r="C1421" s="61" t="n"/>
      <c r="D1421" s="27" t="n"/>
      <c r="E1421" s="27" t="n"/>
      <c r="F1421" s="27" t="n"/>
      <c r="G1421" s="27" t="n"/>
      <c r="H1421" s="62" t="n"/>
      <c r="I1421" s="31" t="n"/>
      <c r="J1421" s="31" t="n"/>
      <c r="K1421" s="31" t="n"/>
      <c r="L1421" s="31" t="n"/>
      <c r="M1421" s="1" t="n"/>
    </row>
    <row r="1422">
      <c r="A1422" s="1" t="n"/>
      <c r="B1422" s="24" t="n">
        <v>1416</v>
      </c>
      <c r="C1422" s="61" t="n"/>
      <c r="D1422" s="27" t="n"/>
      <c r="E1422" s="27" t="n"/>
      <c r="F1422" s="27" t="n"/>
      <c r="G1422" s="27" t="n"/>
      <c r="H1422" s="62" t="n"/>
      <c r="I1422" s="31" t="n"/>
      <c r="J1422" s="31" t="n"/>
      <c r="K1422" s="31" t="n"/>
      <c r="L1422" s="31" t="n"/>
      <c r="M1422" s="1" t="n"/>
    </row>
    <row r="1423">
      <c r="A1423" s="1" t="n"/>
      <c r="B1423" s="24" t="n">
        <v>1417</v>
      </c>
      <c r="C1423" s="61" t="n"/>
      <c r="D1423" s="27" t="n"/>
      <c r="E1423" s="27" t="n"/>
      <c r="F1423" s="27" t="n"/>
      <c r="G1423" s="27" t="n"/>
      <c r="H1423" s="62" t="n"/>
      <c r="I1423" s="31" t="n"/>
      <c r="J1423" s="31" t="n"/>
      <c r="K1423" s="31" t="n"/>
      <c r="L1423" s="31" t="n"/>
      <c r="M1423" s="1" t="n"/>
    </row>
    <row r="1424">
      <c r="A1424" s="1" t="n"/>
      <c r="B1424" s="24" t="n">
        <v>1418</v>
      </c>
      <c r="C1424" s="61" t="n"/>
      <c r="D1424" s="27" t="n"/>
      <c r="E1424" s="27" t="n"/>
      <c r="F1424" s="27" t="n"/>
      <c r="G1424" s="27" t="n"/>
      <c r="H1424" s="62" t="n"/>
      <c r="I1424" s="31" t="n"/>
      <c r="J1424" s="31" t="n"/>
      <c r="K1424" s="31" t="n"/>
      <c r="L1424" s="31" t="n"/>
      <c r="M1424" s="1" t="n"/>
    </row>
    <row r="1425">
      <c r="A1425" s="1" t="n"/>
      <c r="B1425" s="24" t="n">
        <v>1419</v>
      </c>
      <c r="C1425" s="61" t="n"/>
      <c r="D1425" s="27" t="n"/>
      <c r="E1425" s="27" t="n"/>
      <c r="F1425" s="27" t="n"/>
      <c r="G1425" s="27" t="n"/>
      <c r="H1425" s="62" t="n"/>
      <c r="I1425" s="31" t="n"/>
      <c r="J1425" s="31" t="n"/>
      <c r="K1425" s="31" t="n"/>
      <c r="L1425" s="31" t="n"/>
      <c r="M1425" s="1" t="n"/>
    </row>
    <row r="1426">
      <c r="A1426" s="1" t="n"/>
      <c r="B1426" s="24" t="n">
        <v>1420</v>
      </c>
      <c r="C1426" s="61" t="n"/>
      <c r="D1426" s="27" t="n"/>
      <c r="E1426" s="27" t="n"/>
      <c r="F1426" s="27" t="n"/>
      <c r="G1426" s="27" t="n"/>
      <c r="H1426" s="62" t="n"/>
      <c r="I1426" s="31" t="n"/>
      <c r="J1426" s="31" t="n"/>
      <c r="K1426" s="31" t="n"/>
      <c r="L1426" s="31" t="n"/>
      <c r="M1426" s="1" t="n"/>
    </row>
    <row r="1427">
      <c r="A1427" s="1" t="n"/>
      <c r="B1427" s="24" t="n">
        <v>1421</v>
      </c>
      <c r="C1427" s="61" t="n"/>
      <c r="D1427" s="27" t="n"/>
      <c r="E1427" s="27" t="n"/>
      <c r="F1427" s="27" t="n"/>
      <c r="G1427" s="27" t="n"/>
      <c r="H1427" s="62" t="n"/>
      <c r="I1427" s="31" t="n"/>
      <c r="J1427" s="31" t="n"/>
      <c r="K1427" s="31" t="n"/>
      <c r="L1427" s="31" t="n"/>
      <c r="M1427" s="1" t="n"/>
    </row>
    <row r="1428">
      <c r="A1428" s="1" t="n"/>
      <c r="B1428" s="24" t="n">
        <v>1422</v>
      </c>
      <c r="C1428" s="61" t="n"/>
      <c r="D1428" s="27" t="n"/>
      <c r="E1428" s="27" t="n"/>
      <c r="F1428" s="27" t="n"/>
      <c r="G1428" s="27" t="n"/>
      <c r="H1428" s="62" t="n"/>
      <c r="I1428" s="31" t="n"/>
      <c r="J1428" s="31" t="n"/>
      <c r="K1428" s="31" t="n"/>
      <c r="L1428" s="31" t="n"/>
      <c r="M1428" s="1" t="n"/>
    </row>
    <row r="1429">
      <c r="A1429" s="1" t="n"/>
      <c r="B1429" s="24" t="n">
        <v>1423</v>
      </c>
      <c r="C1429" s="61" t="n"/>
      <c r="D1429" s="27" t="n"/>
      <c r="E1429" s="27" t="n"/>
      <c r="F1429" s="27" t="n"/>
      <c r="G1429" s="27" t="n"/>
      <c r="H1429" s="62" t="n"/>
      <c r="I1429" s="31" t="n"/>
      <c r="J1429" s="31" t="n"/>
      <c r="K1429" s="31" t="n"/>
      <c r="L1429" s="31" t="n"/>
      <c r="M1429" s="1" t="n"/>
    </row>
    <row r="1430">
      <c r="A1430" s="1" t="n"/>
      <c r="B1430" s="24" t="n">
        <v>1424</v>
      </c>
      <c r="C1430" s="61" t="n"/>
      <c r="D1430" s="27" t="n"/>
      <c r="E1430" s="27" t="n"/>
      <c r="F1430" s="27" t="n"/>
      <c r="G1430" s="27" t="n"/>
      <c r="H1430" s="62" t="n"/>
      <c r="I1430" s="31" t="n"/>
      <c r="J1430" s="31" t="n"/>
      <c r="K1430" s="31" t="n"/>
      <c r="L1430" s="31" t="n"/>
      <c r="M1430" s="1" t="n"/>
    </row>
    <row r="1431">
      <c r="A1431" s="1" t="n"/>
      <c r="B1431" s="24" t="n">
        <v>1425</v>
      </c>
      <c r="C1431" s="61" t="n"/>
      <c r="D1431" s="27" t="n"/>
      <c r="E1431" s="27" t="n"/>
      <c r="F1431" s="27" t="n"/>
      <c r="G1431" s="27" t="n"/>
      <c r="H1431" s="62" t="n"/>
      <c r="I1431" s="31" t="n"/>
      <c r="J1431" s="31" t="n"/>
      <c r="K1431" s="31" t="n"/>
      <c r="L1431" s="31" t="n"/>
      <c r="M1431" s="1" t="n"/>
    </row>
    <row r="1432">
      <c r="A1432" s="1" t="n"/>
      <c r="B1432" s="24" t="n">
        <v>1426</v>
      </c>
      <c r="C1432" s="61" t="n"/>
      <c r="D1432" s="27" t="n"/>
      <c r="E1432" s="27" t="n"/>
      <c r="F1432" s="27" t="n"/>
      <c r="G1432" s="27" t="n"/>
      <c r="H1432" s="62" t="n"/>
      <c r="I1432" s="31" t="n"/>
      <c r="J1432" s="31" t="n"/>
      <c r="K1432" s="31" t="n"/>
      <c r="L1432" s="31" t="n"/>
      <c r="M1432" s="1" t="n"/>
    </row>
    <row r="1433">
      <c r="A1433" s="1" t="n"/>
      <c r="B1433" s="24" t="n">
        <v>1427</v>
      </c>
      <c r="C1433" s="61" t="n"/>
      <c r="D1433" s="27" t="n"/>
      <c r="E1433" s="27" t="n"/>
      <c r="F1433" s="27" t="n"/>
      <c r="G1433" s="27" t="n"/>
      <c r="H1433" s="62" t="n"/>
      <c r="I1433" s="31" t="n"/>
      <c r="J1433" s="31" t="n"/>
      <c r="K1433" s="31" t="n"/>
      <c r="L1433" s="31" t="n"/>
      <c r="M1433" s="1" t="n"/>
    </row>
    <row r="1434">
      <c r="A1434" s="1" t="n"/>
      <c r="B1434" s="24" t="n">
        <v>1428</v>
      </c>
      <c r="C1434" s="61" t="n"/>
      <c r="D1434" s="27" t="n"/>
      <c r="E1434" s="27" t="n"/>
      <c r="F1434" s="27" t="n"/>
      <c r="G1434" s="27" t="n"/>
      <c r="H1434" s="62" t="n"/>
      <c r="I1434" s="31" t="n"/>
      <c r="J1434" s="31" t="n"/>
      <c r="K1434" s="31" t="n"/>
      <c r="L1434" s="31" t="n"/>
      <c r="M1434" s="1" t="n"/>
    </row>
    <row r="1435">
      <c r="A1435" s="1" t="n"/>
      <c r="B1435" s="24" t="n">
        <v>1429</v>
      </c>
      <c r="C1435" s="61" t="n"/>
      <c r="D1435" s="27" t="n"/>
      <c r="E1435" s="27" t="n"/>
      <c r="F1435" s="27" t="n"/>
      <c r="G1435" s="27" t="n"/>
      <c r="H1435" s="62" t="n"/>
      <c r="I1435" s="31" t="n"/>
      <c r="J1435" s="31" t="n"/>
      <c r="K1435" s="31" t="n"/>
      <c r="L1435" s="31" t="n"/>
      <c r="M1435" s="1" t="n"/>
    </row>
    <row r="1436">
      <c r="A1436" s="1" t="n"/>
      <c r="B1436" s="24" t="n">
        <v>1430</v>
      </c>
      <c r="C1436" s="61" t="n"/>
      <c r="D1436" s="27" t="n"/>
      <c r="E1436" s="27" t="n"/>
      <c r="F1436" s="27" t="n"/>
      <c r="G1436" s="27" t="n"/>
      <c r="H1436" s="62" t="n"/>
      <c r="I1436" s="31" t="n"/>
      <c r="J1436" s="31" t="n"/>
      <c r="K1436" s="31" t="n"/>
      <c r="L1436" s="31" t="n"/>
      <c r="M1436" s="1" t="n"/>
    </row>
    <row r="1437">
      <c r="A1437" s="1" t="n"/>
      <c r="B1437" s="24" t="n">
        <v>1431</v>
      </c>
      <c r="C1437" s="61" t="n"/>
      <c r="D1437" s="27" t="n"/>
      <c r="E1437" s="27" t="n"/>
      <c r="F1437" s="27" t="n"/>
      <c r="G1437" s="27" t="n"/>
      <c r="H1437" s="62" t="n"/>
      <c r="I1437" s="31" t="n"/>
      <c r="J1437" s="31" t="n"/>
      <c r="K1437" s="31" t="n"/>
      <c r="L1437" s="31" t="n"/>
      <c r="M1437" s="1" t="n"/>
    </row>
    <row r="1438">
      <c r="A1438" s="1" t="n"/>
      <c r="B1438" s="24" t="n">
        <v>1432</v>
      </c>
      <c r="C1438" s="61" t="n"/>
      <c r="D1438" s="27" t="n"/>
      <c r="E1438" s="27" t="n"/>
      <c r="F1438" s="27" t="n"/>
      <c r="G1438" s="27" t="n"/>
      <c r="H1438" s="62" t="n"/>
      <c r="I1438" s="31" t="n"/>
      <c r="J1438" s="31" t="n"/>
      <c r="K1438" s="31" t="n"/>
      <c r="L1438" s="31" t="n"/>
      <c r="M1438" s="1" t="n"/>
    </row>
    <row r="1439">
      <c r="A1439" s="1" t="n"/>
      <c r="B1439" s="24" t="n">
        <v>1433</v>
      </c>
      <c r="C1439" s="61" t="n"/>
      <c r="D1439" s="27" t="n"/>
      <c r="E1439" s="27" t="n"/>
      <c r="F1439" s="27" t="n"/>
      <c r="G1439" s="27" t="n"/>
      <c r="H1439" s="62" t="n"/>
      <c r="I1439" s="31" t="n"/>
      <c r="J1439" s="31" t="n"/>
      <c r="K1439" s="31" t="n"/>
      <c r="L1439" s="31" t="n"/>
      <c r="M1439" s="1" t="n"/>
    </row>
    <row r="1440">
      <c r="A1440" s="1" t="n"/>
      <c r="B1440" s="24" t="n">
        <v>1434</v>
      </c>
      <c r="C1440" s="61" t="n"/>
      <c r="D1440" s="27" t="n"/>
      <c r="E1440" s="27" t="n"/>
      <c r="F1440" s="27" t="n"/>
      <c r="G1440" s="27" t="n"/>
      <c r="H1440" s="62" t="n"/>
      <c r="I1440" s="31" t="n"/>
      <c r="J1440" s="31" t="n"/>
      <c r="K1440" s="31" t="n"/>
      <c r="L1440" s="31" t="n"/>
      <c r="M1440" s="1" t="n"/>
    </row>
    <row r="1441">
      <c r="A1441" s="1" t="n"/>
      <c r="B1441" s="24" t="n">
        <v>1435</v>
      </c>
      <c r="C1441" s="61" t="n"/>
      <c r="D1441" s="27" t="n"/>
      <c r="E1441" s="27" t="n"/>
      <c r="F1441" s="27" t="n"/>
      <c r="G1441" s="27" t="n"/>
      <c r="H1441" s="62" t="n"/>
      <c r="I1441" s="31" t="n"/>
      <c r="J1441" s="31" t="n"/>
      <c r="K1441" s="31" t="n"/>
      <c r="L1441" s="31" t="n"/>
      <c r="M1441" s="1" t="n"/>
    </row>
    <row r="1442">
      <c r="A1442" s="1" t="n"/>
      <c r="B1442" s="24" t="n">
        <v>1436</v>
      </c>
      <c r="C1442" s="61" t="n"/>
      <c r="D1442" s="27" t="n"/>
      <c r="E1442" s="27" t="n"/>
      <c r="F1442" s="27" t="n"/>
      <c r="G1442" s="27" t="n"/>
      <c r="H1442" s="62" t="n"/>
      <c r="I1442" s="31" t="n"/>
      <c r="J1442" s="31" t="n"/>
      <c r="K1442" s="31" t="n"/>
      <c r="L1442" s="31" t="n"/>
      <c r="M1442" s="1" t="n"/>
    </row>
    <row r="1443">
      <c r="A1443" s="1" t="n"/>
      <c r="B1443" s="24" t="n">
        <v>1437</v>
      </c>
      <c r="C1443" s="61" t="n"/>
      <c r="D1443" s="27" t="n"/>
      <c r="E1443" s="27" t="n"/>
      <c r="F1443" s="27" t="n"/>
      <c r="G1443" s="27" t="n"/>
      <c r="H1443" s="62" t="n"/>
      <c r="I1443" s="31" t="n"/>
      <c r="J1443" s="31" t="n"/>
      <c r="K1443" s="31" t="n"/>
      <c r="L1443" s="31" t="n"/>
      <c r="M1443" s="1" t="n"/>
    </row>
    <row r="1444">
      <c r="A1444" s="1" t="n"/>
      <c r="B1444" s="24" t="n">
        <v>1438</v>
      </c>
      <c r="C1444" s="61" t="n"/>
      <c r="D1444" s="27" t="n"/>
      <c r="E1444" s="27" t="n"/>
      <c r="F1444" s="27" t="n"/>
      <c r="G1444" s="27" t="n"/>
      <c r="H1444" s="62" t="n"/>
      <c r="I1444" s="31" t="n"/>
      <c r="J1444" s="31" t="n"/>
      <c r="K1444" s="31" t="n"/>
      <c r="L1444" s="31" t="n"/>
      <c r="M1444" s="1" t="n"/>
    </row>
    <row r="1445">
      <c r="A1445" s="1" t="n"/>
      <c r="B1445" s="24" t="n">
        <v>1439</v>
      </c>
      <c r="C1445" s="61" t="n"/>
      <c r="D1445" s="27" t="n"/>
      <c r="E1445" s="27" t="n"/>
      <c r="F1445" s="27" t="n"/>
      <c r="G1445" s="27" t="n"/>
      <c r="H1445" s="62" t="n"/>
      <c r="I1445" s="31" t="n"/>
      <c r="J1445" s="31" t="n"/>
      <c r="K1445" s="31" t="n"/>
      <c r="L1445" s="31" t="n"/>
      <c r="M1445" s="1" t="n"/>
    </row>
    <row r="1446">
      <c r="A1446" s="1" t="n"/>
      <c r="B1446" s="24" t="n">
        <v>1440</v>
      </c>
      <c r="C1446" s="61" t="n"/>
      <c r="D1446" s="27" t="n"/>
      <c r="E1446" s="27" t="n"/>
      <c r="F1446" s="27" t="n"/>
      <c r="G1446" s="27" t="n"/>
      <c r="H1446" s="62" t="n"/>
      <c r="I1446" s="31" t="n"/>
      <c r="J1446" s="31" t="n"/>
      <c r="K1446" s="31" t="n"/>
      <c r="L1446" s="31" t="n"/>
      <c r="M1446" s="1" t="n"/>
    </row>
    <row r="1447">
      <c r="A1447" s="1" t="n"/>
      <c r="B1447" s="24" t="n">
        <v>1441</v>
      </c>
      <c r="C1447" s="61" t="n"/>
      <c r="D1447" s="27" t="n"/>
      <c r="E1447" s="27" t="n"/>
      <c r="F1447" s="27" t="n"/>
      <c r="G1447" s="27" t="n"/>
      <c r="H1447" s="62" t="n"/>
      <c r="I1447" s="31" t="n"/>
      <c r="J1447" s="31" t="n"/>
      <c r="K1447" s="31" t="n"/>
      <c r="L1447" s="31" t="n"/>
      <c r="M1447" s="1" t="n"/>
    </row>
    <row r="1448">
      <c r="A1448" s="1" t="n"/>
      <c r="B1448" s="24" t="n">
        <v>1442</v>
      </c>
      <c r="C1448" s="61" t="n"/>
      <c r="D1448" s="27" t="n"/>
      <c r="E1448" s="27" t="n"/>
      <c r="F1448" s="27" t="n"/>
      <c r="G1448" s="27" t="n"/>
      <c r="H1448" s="62" t="n"/>
      <c r="I1448" s="31" t="n"/>
      <c r="J1448" s="31" t="n"/>
      <c r="K1448" s="31" t="n"/>
      <c r="L1448" s="31" t="n"/>
      <c r="M1448" s="1" t="n"/>
    </row>
    <row r="1449">
      <c r="A1449" s="1" t="n"/>
      <c r="B1449" s="24" t="n">
        <v>1443</v>
      </c>
      <c r="C1449" s="61" t="n"/>
      <c r="D1449" s="27" t="n"/>
      <c r="E1449" s="27" t="n"/>
      <c r="F1449" s="27" t="n"/>
      <c r="G1449" s="27" t="n"/>
      <c r="H1449" s="62" t="n"/>
      <c r="I1449" s="31" t="n"/>
      <c r="J1449" s="31" t="n"/>
      <c r="K1449" s="31" t="n"/>
      <c r="L1449" s="31" t="n"/>
      <c r="M1449" s="1" t="n"/>
    </row>
    <row r="1450">
      <c r="A1450" s="1" t="n"/>
      <c r="B1450" s="24" t="n">
        <v>1444</v>
      </c>
      <c r="C1450" s="61" t="n"/>
      <c r="D1450" s="27" t="n"/>
      <c r="E1450" s="27" t="n"/>
      <c r="F1450" s="27" t="n"/>
      <c r="G1450" s="27" t="n"/>
      <c r="H1450" s="62" t="n"/>
      <c r="I1450" s="31" t="n"/>
      <c r="J1450" s="31" t="n"/>
      <c r="K1450" s="31" t="n"/>
      <c r="L1450" s="31" t="n"/>
      <c r="M1450" s="1" t="n"/>
    </row>
    <row r="1451">
      <c r="A1451" s="1" t="n"/>
      <c r="B1451" s="24" t="n">
        <v>1445</v>
      </c>
      <c r="C1451" s="61" t="n"/>
      <c r="D1451" s="27" t="n"/>
      <c r="E1451" s="27" t="n"/>
      <c r="F1451" s="27" t="n"/>
      <c r="G1451" s="27" t="n"/>
      <c r="H1451" s="62" t="n"/>
      <c r="I1451" s="31" t="n"/>
      <c r="J1451" s="31" t="n"/>
      <c r="K1451" s="31" t="n"/>
      <c r="L1451" s="31" t="n"/>
      <c r="M1451" s="1" t="n"/>
    </row>
    <row r="1452">
      <c r="A1452" s="1" t="n"/>
      <c r="B1452" s="24" t="n">
        <v>1446</v>
      </c>
      <c r="C1452" s="61" t="n"/>
      <c r="D1452" s="27" t="n"/>
      <c r="E1452" s="27" t="n"/>
      <c r="F1452" s="27" t="n"/>
      <c r="G1452" s="27" t="n"/>
      <c r="H1452" s="62" t="n"/>
      <c r="I1452" s="31" t="n"/>
      <c r="J1452" s="31" t="n"/>
      <c r="K1452" s="31" t="n"/>
      <c r="L1452" s="31" t="n"/>
      <c r="M1452" s="1" t="n"/>
    </row>
    <row r="1453">
      <c r="A1453" s="1" t="n"/>
      <c r="B1453" s="24" t="n">
        <v>1447</v>
      </c>
      <c r="C1453" s="61" t="n"/>
      <c r="D1453" s="27" t="n"/>
      <c r="E1453" s="27" t="n"/>
      <c r="F1453" s="27" t="n"/>
      <c r="G1453" s="27" t="n"/>
      <c r="H1453" s="62" t="n"/>
      <c r="I1453" s="31" t="n"/>
      <c r="J1453" s="31" t="n"/>
      <c r="K1453" s="31" t="n"/>
      <c r="L1453" s="31" t="n"/>
      <c r="M1453" s="1" t="n"/>
    </row>
    <row r="1454">
      <c r="A1454" s="1" t="n"/>
      <c r="B1454" s="24" t="n">
        <v>1448</v>
      </c>
      <c r="C1454" s="61" t="n"/>
      <c r="D1454" s="27" t="n"/>
      <c r="E1454" s="27" t="n"/>
      <c r="F1454" s="27" t="n"/>
      <c r="G1454" s="27" t="n"/>
      <c r="H1454" s="62" t="n"/>
      <c r="I1454" s="31" t="n"/>
      <c r="J1454" s="31" t="n"/>
      <c r="K1454" s="31" t="n"/>
      <c r="L1454" s="31" t="n"/>
      <c r="M1454" s="1" t="n"/>
    </row>
    <row r="1455">
      <c r="A1455" s="1" t="n"/>
      <c r="B1455" s="24" t="n">
        <v>1449</v>
      </c>
      <c r="C1455" s="61" t="n"/>
      <c r="D1455" s="27" t="n"/>
      <c r="E1455" s="27" t="n"/>
      <c r="F1455" s="27" t="n"/>
      <c r="G1455" s="27" t="n"/>
      <c r="H1455" s="62" t="n"/>
      <c r="I1455" s="31" t="n"/>
      <c r="J1455" s="31" t="n"/>
      <c r="K1455" s="31" t="n"/>
      <c r="L1455" s="31" t="n"/>
      <c r="M1455" s="1" t="n"/>
    </row>
    <row r="1456">
      <c r="A1456" s="1" t="n"/>
      <c r="B1456" s="24" t="n">
        <v>1450</v>
      </c>
      <c r="C1456" s="61" t="n"/>
      <c r="D1456" s="27" t="n"/>
      <c r="E1456" s="27" t="n"/>
      <c r="F1456" s="27" t="n"/>
      <c r="G1456" s="27" t="n"/>
      <c r="H1456" s="62" t="n"/>
      <c r="I1456" s="31" t="n"/>
      <c r="J1456" s="31" t="n"/>
      <c r="K1456" s="31" t="n"/>
      <c r="L1456" s="31" t="n"/>
      <c r="M1456" s="1" t="n"/>
    </row>
    <row r="1457">
      <c r="A1457" s="1" t="n"/>
      <c r="B1457" s="24" t="n">
        <v>1451</v>
      </c>
      <c r="C1457" s="61" t="n"/>
      <c r="D1457" s="27" t="n"/>
      <c r="E1457" s="27" t="n"/>
      <c r="F1457" s="27" t="n"/>
      <c r="G1457" s="27" t="n"/>
      <c r="H1457" s="62" t="n"/>
      <c r="I1457" s="31" t="n"/>
      <c r="J1457" s="31" t="n"/>
      <c r="K1457" s="31" t="n"/>
      <c r="L1457" s="31" t="n"/>
      <c r="M1457" s="1" t="n"/>
    </row>
    <row r="1458">
      <c r="A1458" s="1" t="n"/>
      <c r="B1458" s="24" t="n">
        <v>1452</v>
      </c>
      <c r="C1458" s="61" t="n"/>
      <c r="D1458" s="27" t="n"/>
      <c r="E1458" s="27" t="n"/>
      <c r="F1458" s="27" t="n"/>
      <c r="G1458" s="27" t="n"/>
      <c r="H1458" s="62" t="n"/>
      <c r="I1458" s="31" t="n"/>
      <c r="J1458" s="31" t="n"/>
      <c r="K1458" s="31" t="n"/>
      <c r="L1458" s="31" t="n"/>
      <c r="M1458" s="1" t="n"/>
    </row>
    <row r="1459">
      <c r="A1459" s="1" t="n"/>
      <c r="B1459" s="24" t="n">
        <v>1453</v>
      </c>
      <c r="C1459" s="61" t="n"/>
      <c r="D1459" s="27" t="n"/>
      <c r="E1459" s="27" t="n"/>
      <c r="F1459" s="27" t="n"/>
      <c r="G1459" s="27" t="n"/>
      <c r="H1459" s="62" t="n"/>
      <c r="I1459" s="31" t="n"/>
      <c r="J1459" s="31" t="n"/>
      <c r="K1459" s="31" t="n"/>
      <c r="L1459" s="31" t="n"/>
      <c r="M1459" s="1" t="n"/>
    </row>
    <row r="1460">
      <c r="A1460" s="1" t="n"/>
      <c r="B1460" s="24" t="n">
        <v>1454</v>
      </c>
      <c r="C1460" s="61" t="n"/>
      <c r="D1460" s="27" t="n"/>
      <c r="E1460" s="27" t="n"/>
      <c r="F1460" s="27" t="n"/>
      <c r="G1460" s="27" t="n"/>
      <c r="H1460" s="62" t="n"/>
      <c r="I1460" s="31" t="n"/>
      <c r="J1460" s="31" t="n"/>
      <c r="K1460" s="31" t="n"/>
      <c r="L1460" s="31" t="n"/>
      <c r="M1460" s="1" t="n"/>
    </row>
    <row r="1461">
      <c r="A1461" s="1" t="n"/>
      <c r="B1461" s="24" t="n">
        <v>1455</v>
      </c>
      <c r="C1461" s="61" t="n"/>
      <c r="D1461" s="27" t="n"/>
      <c r="E1461" s="27" t="n"/>
      <c r="F1461" s="27" t="n"/>
      <c r="G1461" s="27" t="n"/>
      <c r="H1461" s="62" t="n"/>
      <c r="I1461" s="31" t="n"/>
      <c r="J1461" s="31" t="n"/>
      <c r="K1461" s="31" t="n"/>
      <c r="L1461" s="31" t="n"/>
      <c r="M1461" s="1" t="n"/>
    </row>
    <row r="1462">
      <c r="A1462" s="1" t="n"/>
      <c r="B1462" s="24" t="n">
        <v>1456</v>
      </c>
      <c r="C1462" s="61" t="n"/>
      <c r="D1462" s="27" t="n"/>
      <c r="E1462" s="27" t="n"/>
      <c r="F1462" s="27" t="n"/>
      <c r="G1462" s="27" t="n"/>
      <c r="H1462" s="62" t="n"/>
      <c r="I1462" s="31" t="n"/>
      <c r="J1462" s="31" t="n"/>
      <c r="K1462" s="31" t="n"/>
      <c r="L1462" s="31" t="n"/>
      <c r="M1462" s="1" t="n"/>
    </row>
    <row r="1463">
      <c r="A1463" s="1" t="n"/>
      <c r="B1463" s="24" t="n">
        <v>1457</v>
      </c>
      <c r="C1463" s="61" t="n"/>
      <c r="D1463" s="27" t="n"/>
      <c r="E1463" s="27" t="n"/>
      <c r="F1463" s="27" t="n"/>
      <c r="G1463" s="27" t="n"/>
      <c r="H1463" s="62" t="n"/>
      <c r="I1463" s="31" t="n"/>
      <c r="J1463" s="31" t="n"/>
      <c r="K1463" s="31" t="n"/>
      <c r="L1463" s="31" t="n"/>
      <c r="M1463" s="1" t="n"/>
    </row>
    <row r="1464">
      <c r="A1464" s="1" t="n"/>
      <c r="B1464" s="24" t="n">
        <v>1458</v>
      </c>
      <c r="C1464" s="61" t="n"/>
      <c r="D1464" s="27" t="n"/>
      <c r="E1464" s="27" t="n"/>
      <c r="F1464" s="27" t="n"/>
      <c r="G1464" s="27" t="n"/>
      <c r="H1464" s="62" t="n"/>
      <c r="I1464" s="31" t="n"/>
      <c r="J1464" s="31" t="n"/>
      <c r="K1464" s="31" t="n"/>
      <c r="L1464" s="31" t="n"/>
      <c r="M1464" s="1" t="n"/>
    </row>
    <row r="1465">
      <c r="A1465" s="1" t="n"/>
      <c r="B1465" s="24" t="n">
        <v>1459</v>
      </c>
      <c r="C1465" s="61" t="n"/>
      <c r="D1465" s="27" t="n"/>
      <c r="E1465" s="27" t="n"/>
      <c r="F1465" s="27" t="n"/>
      <c r="G1465" s="27" t="n"/>
      <c r="H1465" s="62" t="n"/>
      <c r="I1465" s="31" t="n"/>
      <c r="J1465" s="31" t="n"/>
      <c r="K1465" s="31" t="n"/>
      <c r="L1465" s="31" t="n"/>
      <c r="M1465" s="1" t="n"/>
    </row>
    <row r="1466">
      <c r="A1466" s="1" t="n"/>
      <c r="B1466" s="24" t="n">
        <v>1460</v>
      </c>
      <c r="C1466" s="61" t="n"/>
      <c r="D1466" s="27" t="n"/>
      <c r="E1466" s="27" t="n"/>
      <c r="F1466" s="27" t="n"/>
      <c r="G1466" s="27" t="n"/>
      <c r="H1466" s="62" t="n"/>
      <c r="I1466" s="31" t="n"/>
      <c r="J1466" s="31" t="n"/>
      <c r="K1466" s="31" t="n"/>
      <c r="L1466" s="31" t="n"/>
      <c r="M1466" s="1" t="n"/>
    </row>
    <row r="1467">
      <c r="A1467" s="1" t="n"/>
      <c r="B1467" s="24" t="n">
        <v>1461</v>
      </c>
      <c r="C1467" s="61" t="n"/>
      <c r="D1467" s="27" t="n"/>
      <c r="E1467" s="27" t="n"/>
      <c r="F1467" s="27" t="n"/>
      <c r="G1467" s="27" t="n"/>
      <c r="H1467" s="62" t="n"/>
      <c r="I1467" s="31" t="n"/>
      <c r="J1467" s="31" t="n"/>
      <c r="K1467" s="31" t="n"/>
      <c r="L1467" s="31" t="n"/>
      <c r="M1467" s="1" t="n"/>
    </row>
    <row r="1468">
      <c r="A1468" s="1" t="n"/>
      <c r="B1468" s="24" t="n">
        <v>1462</v>
      </c>
      <c r="C1468" s="61" t="n"/>
      <c r="D1468" s="27" t="n"/>
      <c r="E1468" s="27" t="n"/>
      <c r="F1468" s="27" t="n"/>
      <c r="G1468" s="27" t="n"/>
      <c r="H1468" s="62" t="n"/>
      <c r="I1468" s="31" t="n"/>
      <c r="J1468" s="31" t="n"/>
      <c r="K1468" s="31" t="n"/>
      <c r="L1468" s="31" t="n"/>
      <c r="M1468" s="1" t="n"/>
    </row>
    <row r="1469">
      <c r="A1469" s="1" t="n"/>
      <c r="B1469" s="24" t="n">
        <v>1463</v>
      </c>
      <c r="C1469" s="61" t="n"/>
      <c r="D1469" s="27" t="n"/>
      <c r="E1469" s="27" t="n"/>
      <c r="F1469" s="27" t="n"/>
      <c r="G1469" s="27" t="n"/>
      <c r="H1469" s="62" t="n"/>
      <c r="I1469" s="31" t="n"/>
      <c r="J1469" s="31" t="n"/>
      <c r="K1469" s="31" t="n"/>
      <c r="L1469" s="31" t="n"/>
      <c r="M1469" s="1" t="n"/>
    </row>
    <row r="1470">
      <c r="A1470" s="1" t="n"/>
      <c r="B1470" s="24" t="n">
        <v>1464</v>
      </c>
      <c r="C1470" s="61" t="n"/>
      <c r="D1470" s="27" t="n"/>
      <c r="E1470" s="27" t="n"/>
      <c r="F1470" s="27" t="n"/>
      <c r="G1470" s="27" t="n"/>
      <c r="H1470" s="62" t="n"/>
      <c r="I1470" s="31" t="n"/>
      <c r="J1470" s="31" t="n"/>
      <c r="K1470" s="31" t="n"/>
      <c r="L1470" s="31" t="n"/>
      <c r="M1470" s="1" t="n"/>
    </row>
    <row r="1471">
      <c r="A1471" s="1" t="n"/>
      <c r="B1471" s="24" t="n">
        <v>1465</v>
      </c>
      <c r="C1471" s="61" t="n"/>
      <c r="D1471" s="27" t="n"/>
      <c r="E1471" s="27" t="n"/>
      <c r="F1471" s="27" t="n"/>
      <c r="G1471" s="27" t="n"/>
      <c r="H1471" s="62" t="n"/>
      <c r="I1471" s="31" t="n"/>
      <c r="J1471" s="31" t="n"/>
      <c r="K1471" s="31" t="n"/>
      <c r="L1471" s="31" t="n"/>
      <c r="M1471" s="1" t="n"/>
    </row>
    <row r="1472">
      <c r="A1472" s="1" t="n"/>
      <c r="B1472" s="24" t="n">
        <v>1466</v>
      </c>
      <c r="C1472" s="61" t="n"/>
      <c r="D1472" s="27" t="n"/>
      <c r="E1472" s="27" t="n"/>
      <c r="F1472" s="27" t="n"/>
      <c r="G1472" s="27" t="n"/>
      <c r="H1472" s="62" t="n"/>
      <c r="I1472" s="31" t="n"/>
      <c r="J1472" s="31" t="n"/>
      <c r="K1472" s="31" t="n"/>
      <c r="L1472" s="31" t="n"/>
      <c r="M1472" s="1" t="n"/>
    </row>
    <row r="1473">
      <c r="A1473" s="1" t="n"/>
      <c r="B1473" s="24" t="n">
        <v>1467</v>
      </c>
      <c r="C1473" s="61" t="n"/>
      <c r="D1473" s="27" t="n"/>
      <c r="E1473" s="27" t="n"/>
      <c r="F1473" s="27" t="n"/>
      <c r="G1473" s="27" t="n"/>
      <c r="H1473" s="62" t="n"/>
      <c r="I1473" s="31" t="n"/>
      <c r="J1473" s="31" t="n"/>
      <c r="K1473" s="31" t="n"/>
      <c r="L1473" s="31" t="n"/>
      <c r="M1473" s="1" t="n"/>
    </row>
    <row r="1474">
      <c r="A1474" s="1" t="n"/>
      <c r="B1474" s="24" t="n">
        <v>1468</v>
      </c>
      <c r="C1474" s="61" t="n"/>
      <c r="D1474" s="27" t="n"/>
      <c r="E1474" s="27" t="n"/>
      <c r="F1474" s="27" t="n"/>
      <c r="G1474" s="27" t="n"/>
      <c r="H1474" s="62" t="n"/>
      <c r="I1474" s="31" t="n"/>
      <c r="J1474" s="31" t="n"/>
      <c r="K1474" s="31" t="n"/>
      <c r="L1474" s="31" t="n"/>
      <c r="M1474" s="1" t="n"/>
    </row>
    <row r="1475">
      <c r="A1475" s="1" t="n"/>
      <c r="B1475" s="24" t="n">
        <v>1469</v>
      </c>
      <c r="C1475" s="61" t="n"/>
      <c r="D1475" s="27" t="n"/>
      <c r="E1475" s="27" t="n"/>
      <c r="F1475" s="27" t="n"/>
      <c r="G1475" s="27" t="n"/>
      <c r="H1475" s="62" t="n"/>
      <c r="I1475" s="31" t="n"/>
      <c r="J1475" s="31" t="n"/>
      <c r="K1475" s="31" t="n"/>
      <c r="L1475" s="31" t="n"/>
      <c r="M1475" s="1" t="n"/>
    </row>
    <row r="1476">
      <c r="A1476" s="1" t="n"/>
      <c r="B1476" s="24" t="n">
        <v>1470</v>
      </c>
      <c r="C1476" s="61" t="n"/>
      <c r="D1476" s="27" t="n"/>
      <c r="E1476" s="27" t="n"/>
      <c r="F1476" s="27" t="n"/>
      <c r="G1476" s="27" t="n"/>
      <c r="H1476" s="62" t="n"/>
      <c r="I1476" s="31" t="n"/>
      <c r="J1476" s="31" t="n"/>
      <c r="K1476" s="31" t="n"/>
      <c r="L1476" s="31" t="n"/>
      <c r="M1476" s="1" t="n"/>
    </row>
    <row r="1477">
      <c r="A1477" s="1" t="n"/>
      <c r="B1477" s="24" t="n">
        <v>1471</v>
      </c>
      <c r="C1477" s="61" t="n"/>
      <c r="D1477" s="27" t="n"/>
      <c r="E1477" s="27" t="n"/>
      <c r="F1477" s="27" t="n"/>
      <c r="G1477" s="27" t="n"/>
      <c r="H1477" s="62" t="n"/>
      <c r="I1477" s="31" t="n"/>
      <c r="J1477" s="31" t="n"/>
      <c r="K1477" s="31" t="n"/>
      <c r="L1477" s="31" t="n"/>
      <c r="M1477" s="1" t="n"/>
    </row>
    <row r="1478">
      <c r="A1478" s="1" t="n"/>
      <c r="B1478" s="24" t="n">
        <v>1472</v>
      </c>
      <c r="C1478" s="61" t="n"/>
      <c r="D1478" s="27" t="n"/>
      <c r="E1478" s="27" t="n"/>
      <c r="F1478" s="27" t="n"/>
      <c r="G1478" s="27" t="n"/>
      <c r="H1478" s="62" t="n"/>
      <c r="I1478" s="31" t="n"/>
      <c r="J1478" s="31" t="n"/>
      <c r="K1478" s="31" t="n"/>
      <c r="L1478" s="31" t="n"/>
      <c r="M1478" s="1" t="n"/>
    </row>
    <row r="1479">
      <c r="A1479" s="1" t="n"/>
      <c r="B1479" s="24" t="n">
        <v>1473</v>
      </c>
      <c r="C1479" s="61" t="n"/>
      <c r="D1479" s="27" t="n"/>
      <c r="E1479" s="27" t="n"/>
      <c r="F1479" s="27" t="n"/>
      <c r="G1479" s="27" t="n"/>
      <c r="H1479" s="62" t="n"/>
      <c r="I1479" s="31" t="n"/>
      <c r="J1479" s="31" t="n"/>
      <c r="K1479" s="31" t="n"/>
      <c r="L1479" s="31" t="n"/>
      <c r="M1479" s="1" t="n"/>
    </row>
    <row r="1480">
      <c r="A1480" s="1" t="n"/>
      <c r="B1480" s="24" t="n">
        <v>1474</v>
      </c>
      <c r="C1480" s="61" t="n"/>
      <c r="D1480" s="27" t="n"/>
      <c r="E1480" s="27" t="n"/>
      <c r="F1480" s="27" t="n"/>
      <c r="G1480" s="27" t="n"/>
      <c r="H1480" s="62" t="n"/>
      <c r="I1480" s="31" t="n"/>
      <c r="J1480" s="31" t="n"/>
      <c r="K1480" s="31" t="n"/>
      <c r="L1480" s="31" t="n"/>
      <c r="M1480" s="1" t="n"/>
    </row>
    <row r="1481">
      <c r="A1481" s="1" t="n"/>
      <c r="B1481" s="24" t="n">
        <v>1475</v>
      </c>
      <c r="C1481" s="61" t="n"/>
      <c r="D1481" s="27" t="n"/>
      <c r="E1481" s="27" t="n"/>
      <c r="F1481" s="27" t="n"/>
      <c r="G1481" s="27" t="n"/>
      <c r="H1481" s="62" t="n"/>
      <c r="I1481" s="31" t="n"/>
      <c r="J1481" s="31" t="n"/>
      <c r="K1481" s="31" t="n"/>
      <c r="L1481" s="31" t="n"/>
      <c r="M1481" s="1" t="n"/>
    </row>
    <row r="1482">
      <c r="A1482" s="1" t="n"/>
      <c r="B1482" s="24" t="n">
        <v>1476</v>
      </c>
      <c r="C1482" s="61" t="n"/>
      <c r="D1482" s="27" t="n"/>
      <c r="E1482" s="27" t="n"/>
      <c r="F1482" s="27" t="n"/>
      <c r="G1482" s="27" t="n"/>
      <c r="H1482" s="62" t="n"/>
      <c r="I1482" s="31" t="n"/>
      <c r="J1482" s="31" t="n"/>
      <c r="K1482" s="31" t="n"/>
      <c r="L1482" s="31" t="n"/>
      <c r="M1482" s="1" t="n"/>
    </row>
    <row r="1483">
      <c r="A1483" s="1" t="n"/>
      <c r="B1483" s="24" t="n">
        <v>1477</v>
      </c>
      <c r="C1483" s="61" t="n"/>
      <c r="D1483" s="27" t="n"/>
      <c r="E1483" s="27" t="n"/>
      <c r="F1483" s="27" t="n"/>
      <c r="G1483" s="27" t="n"/>
      <c r="H1483" s="62" t="n"/>
      <c r="I1483" s="31" t="n"/>
      <c r="J1483" s="31" t="n"/>
      <c r="K1483" s="31" t="n"/>
      <c r="L1483" s="31" t="n"/>
      <c r="M1483" s="1" t="n"/>
    </row>
    <row r="1484">
      <c r="A1484" s="1" t="n"/>
      <c r="B1484" s="24" t="n">
        <v>1478</v>
      </c>
      <c r="C1484" s="61" t="n"/>
      <c r="D1484" s="27" t="n"/>
      <c r="E1484" s="27" t="n"/>
      <c r="F1484" s="27" t="n"/>
      <c r="G1484" s="27" t="n"/>
      <c r="H1484" s="62" t="n"/>
      <c r="I1484" s="31" t="n"/>
      <c r="J1484" s="31" t="n"/>
      <c r="K1484" s="31" t="n"/>
      <c r="L1484" s="31" t="n"/>
      <c r="M1484" s="1" t="n"/>
    </row>
    <row r="1485">
      <c r="A1485" s="1" t="n"/>
      <c r="B1485" s="24" t="n">
        <v>1479</v>
      </c>
      <c r="C1485" s="61" t="n"/>
      <c r="D1485" s="27" t="n"/>
      <c r="E1485" s="27" t="n"/>
      <c r="F1485" s="27" t="n"/>
      <c r="G1485" s="27" t="n"/>
      <c r="H1485" s="62" t="n"/>
      <c r="I1485" s="31" t="n"/>
      <c r="J1485" s="31" t="n"/>
      <c r="K1485" s="31" t="n"/>
      <c r="L1485" s="31" t="n"/>
      <c r="M1485" s="1" t="n"/>
    </row>
    <row r="1486">
      <c r="A1486" s="1" t="n"/>
      <c r="B1486" s="24" t="n">
        <v>1480</v>
      </c>
      <c r="C1486" s="61" t="n"/>
      <c r="D1486" s="27" t="n"/>
      <c r="E1486" s="27" t="n"/>
      <c r="F1486" s="27" t="n"/>
      <c r="G1486" s="27" t="n"/>
      <c r="H1486" s="62" t="n"/>
      <c r="I1486" s="31" t="n"/>
      <c r="J1486" s="31" t="n"/>
      <c r="K1486" s="31" t="n"/>
      <c r="L1486" s="31" t="n"/>
      <c r="M1486" s="1" t="n"/>
    </row>
    <row r="1487">
      <c r="A1487" s="1" t="n"/>
      <c r="B1487" s="24" t="n">
        <v>1481</v>
      </c>
      <c r="C1487" s="61" t="n"/>
      <c r="D1487" s="27" t="n"/>
      <c r="E1487" s="27" t="n"/>
      <c r="F1487" s="27" t="n"/>
      <c r="G1487" s="27" t="n"/>
      <c r="H1487" s="62" t="n"/>
      <c r="I1487" s="31" t="n"/>
      <c r="J1487" s="31" t="n"/>
      <c r="K1487" s="31" t="n"/>
      <c r="L1487" s="31" t="n"/>
      <c r="M1487" s="1" t="n"/>
    </row>
    <row r="1488">
      <c r="A1488" s="1" t="n"/>
      <c r="B1488" s="24" t="n">
        <v>1482</v>
      </c>
      <c r="C1488" s="61" t="n"/>
      <c r="D1488" s="27" t="n"/>
      <c r="E1488" s="27" t="n"/>
      <c r="F1488" s="27" t="n"/>
      <c r="G1488" s="27" t="n"/>
      <c r="H1488" s="62" t="n"/>
      <c r="I1488" s="31" t="n"/>
      <c r="J1488" s="31" t="n"/>
      <c r="K1488" s="31" t="n"/>
      <c r="L1488" s="31" t="n"/>
      <c r="M1488" s="1" t="n"/>
    </row>
    <row r="1489">
      <c r="A1489" s="1" t="n"/>
      <c r="B1489" s="24" t="n">
        <v>1483</v>
      </c>
      <c r="C1489" s="61" t="n"/>
      <c r="D1489" s="27" t="n"/>
      <c r="E1489" s="27" t="n"/>
      <c r="F1489" s="27" t="n"/>
      <c r="G1489" s="27" t="n"/>
      <c r="H1489" s="62" t="n"/>
      <c r="I1489" s="31" t="n"/>
      <c r="J1489" s="31" t="n"/>
      <c r="K1489" s="31" t="n"/>
      <c r="L1489" s="31" t="n"/>
      <c r="M1489" s="1" t="n"/>
    </row>
    <row r="1490">
      <c r="A1490" s="1" t="n"/>
      <c r="B1490" s="24" t="n">
        <v>1484</v>
      </c>
      <c r="C1490" s="61" t="n"/>
      <c r="D1490" s="27" t="n"/>
      <c r="E1490" s="27" t="n"/>
      <c r="F1490" s="27" t="n"/>
      <c r="G1490" s="27" t="n"/>
      <c r="H1490" s="62" t="n"/>
      <c r="I1490" s="31" t="n"/>
      <c r="J1490" s="31" t="n"/>
      <c r="K1490" s="31" t="n"/>
      <c r="L1490" s="31" t="n"/>
      <c r="M1490" s="1" t="n"/>
    </row>
    <row r="1491">
      <c r="A1491" s="1" t="n"/>
      <c r="B1491" s="24" t="n">
        <v>1485</v>
      </c>
      <c r="C1491" s="61" t="n"/>
      <c r="D1491" s="27" t="n"/>
      <c r="E1491" s="27" t="n"/>
      <c r="F1491" s="27" t="n"/>
      <c r="G1491" s="27" t="n"/>
      <c r="H1491" s="62" t="n"/>
      <c r="I1491" s="31" t="n"/>
      <c r="J1491" s="31" t="n"/>
      <c r="K1491" s="31" t="n"/>
      <c r="L1491" s="31" t="n"/>
      <c r="M1491" s="1" t="n"/>
    </row>
    <row r="1492">
      <c r="A1492" s="1" t="n"/>
      <c r="B1492" s="24" t="n">
        <v>1486</v>
      </c>
      <c r="C1492" s="61" t="n"/>
      <c r="D1492" s="27" t="n"/>
      <c r="E1492" s="27" t="n"/>
      <c r="F1492" s="27" t="n"/>
      <c r="G1492" s="27" t="n"/>
      <c r="H1492" s="62" t="n"/>
      <c r="I1492" s="31" t="n"/>
      <c r="J1492" s="31" t="n"/>
      <c r="K1492" s="31" t="n"/>
      <c r="L1492" s="31" t="n"/>
      <c r="M1492" s="1" t="n"/>
    </row>
    <row r="1493">
      <c r="A1493" s="1" t="n"/>
      <c r="B1493" s="24" t="n">
        <v>1487</v>
      </c>
      <c r="C1493" s="61" t="n"/>
      <c r="D1493" s="27" t="n"/>
      <c r="E1493" s="27" t="n"/>
      <c r="F1493" s="27" t="n"/>
      <c r="G1493" s="27" t="n"/>
      <c r="H1493" s="62" t="n"/>
      <c r="I1493" s="31" t="n"/>
      <c r="J1493" s="31" t="n"/>
      <c r="K1493" s="31" t="n"/>
      <c r="L1493" s="31" t="n"/>
      <c r="M1493" s="1" t="n"/>
    </row>
    <row r="1494">
      <c r="A1494" s="1" t="n"/>
      <c r="B1494" s="24" t="n">
        <v>1488</v>
      </c>
      <c r="C1494" s="61" t="n"/>
      <c r="D1494" s="27" t="n"/>
      <c r="E1494" s="27" t="n"/>
      <c r="F1494" s="27" t="n"/>
      <c r="G1494" s="27" t="n"/>
      <c r="H1494" s="62" t="n"/>
      <c r="I1494" s="31" t="n"/>
      <c r="J1494" s="31" t="n"/>
      <c r="K1494" s="31" t="n"/>
      <c r="L1494" s="31" t="n"/>
      <c r="M1494" s="1" t="n"/>
    </row>
    <row r="1495">
      <c r="A1495" s="1" t="n"/>
      <c r="B1495" s="24" t="n">
        <v>1489</v>
      </c>
      <c r="C1495" s="61" t="n"/>
      <c r="D1495" s="27" t="n"/>
      <c r="E1495" s="27" t="n"/>
      <c r="F1495" s="27" t="n"/>
      <c r="G1495" s="27" t="n"/>
      <c r="H1495" s="62" t="n"/>
      <c r="I1495" s="31" t="n"/>
      <c r="J1495" s="31" t="n"/>
      <c r="K1495" s="31" t="n"/>
      <c r="L1495" s="31" t="n"/>
      <c r="M1495" s="1" t="n"/>
    </row>
    <row r="1496">
      <c r="A1496" s="1" t="n"/>
      <c r="B1496" s="24" t="n">
        <v>1490</v>
      </c>
      <c r="C1496" s="61" t="n"/>
      <c r="D1496" s="27" t="n"/>
      <c r="E1496" s="27" t="n"/>
      <c r="F1496" s="27" t="n"/>
      <c r="G1496" s="27" t="n"/>
      <c r="H1496" s="62" t="n"/>
      <c r="I1496" s="31" t="n"/>
      <c r="J1496" s="31" t="n"/>
      <c r="K1496" s="31" t="n"/>
      <c r="L1496" s="31" t="n"/>
      <c r="M1496" s="1" t="n"/>
    </row>
    <row r="1497">
      <c r="A1497" s="1" t="n"/>
      <c r="B1497" s="24" t="n">
        <v>1491</v>
      </c>
      <c r="C1497" s="61" t="n"/>
      <c r="D1497" s="27" t="n"/>
      <c r="E1497" s="27" t="n"/>
      <c r="F1497" s="27" t="n"/>
      <c r="G1497" s="27" t="n"/>
      <c r="H1497" s="62" t="n"/>
      <c r="I1497" s="31" t="n"/>
      <c r="J1497" s="31" t="n"/>
      <c r="K1497" s="31" t="n"/>
      <c r="L1497" s="31" t="n"/>
      <c r="M1497" s="1" t="n"/>
    </row>
    <row r="1498">
      <c r="A1498" s="1" t="n"/>
      <c r="B1498" s="24" t="n">
        <v>1492</v>
      </c>
      <c r="C1498" s="61" t="n"/>
      <c r="D1498" s="27" t="n"/>
      <c r="E1498" s="27" t="n"/>
      <c r="F1498" s="27" t="n"/>
      <c r="G1498" s="27" t="n"/>
      <c r="H1498" s="62" t="n"/>
      <c r="I1498" s="31" t="n"/>
      <c r="J1498" s="31" t="n"/>
      <c r="K1498" s="31" t="n"/>
      <c r="L1498" s="31" t="n"/>
      <c r="M1498" s="1" t="n"/>
    </row>
    <row r="1499">
      <c r="A1499" s="1" t="n"/>
      <c r="B1499" s="24" t="n">
        <v>1493</v>
      </c>
      <c r="C1499" s="61" t="n"/>
      <c r="D1499" s="27" t="n"/>
      <c r="E1499" s="27" t="n"/>
      <c r="F1499" s="27" t="n"/>
      <c r="G1499" s="27" t="n"/>
      <c r="H1499" s="62" t="n"/>
      <c r="I1499" s="31" t="n"/>
      <c r="J1499" s="31" t="n"/>
      <c r="K1499" s="31" t="n"/>
      <c r="L1499" s="31" t="n"/>
      <c r="M1499" s="1" t="n"/>
    </row>
    <row r="1500">
      <c r="A1500" s="1" t="n"/>
      <c r="B1500" s="24" t="n">
        <v>1494</v>
      </c>
      <c r="C1500" s="61" t="n"/>
      <c r="D1500" s="27" t="n"/>
      <c r="E1500" s="27" t="n"/>
      <c r="F1500" s="27" t="n"/>
      <c r="G1500" s="27" t="n"/>
      <c r="H1500" s="62" t="n"/>
      <c r="I1500" s="31" t="n"/>
      <c r="J1500" s="31" t="n"/>
      <c r="K1500" s="31" t="n"/>
      <c r="L1500" s="31" t="n"/>
      <c r="M1500" s="1" t="n"/>
    </row>
    <row r="1501">
      <c r="A1501" s="1" t="n"/>
      <c r="B1501" s="24" t="n">
        <v>1495</v>
      </c>
      <c r="C1501" s="61" t="n"/>
      <c r="D1501" s="27" t="n"/>
      <c r="E1501" s="27" t="n"/>
      <c r="F1501" s="27" t="n"/>
      <c r="G1501" s="27" t="n"/>
      <c r="H1501" s="62" t="n"/>
      <c r="I1501" s="31" t="n"/>
      <c r="J1501" s="31" t="n"/>
      <c r="K1501" s="31" t="n"/>
      <c r="L1501" s="31" t="n"/>
      <c r="M1501" s="1" t="n"/>
    </row>
    <row r="1502">
      <c r="A1502" s="1" t="n"/>
      <c r="B1502" s="24" t="n">
        <v>1496</v>
      </c>
      <c r="C1502" s="61" t="n"/>
      <c r="D1502" s="27" t="n"/>
      <c r="E1502" s="27" t="n"/>
      <c r="F1502" s="27" t="n"/>
      <c r="G1502" s="27" t="n"/>
      <c r="H1502" s="62" t="n"/>
      <c r="I1502" s="31" t="n"/>
      <c r="J1502" s="31" t="n"/>
      <c r="K1502" s="31" t="n"/>
      <c r="L1502" s="31" t="n"/>
      <c r="M1502" s="1" t="n"/>
    </row>
    <row r="1503">
      <c r="A1503" s="1" t="n"/>
      <c r="B1503" s="24" t="n">
        <v>1497</v>
      </c>
      <c r="C1503" s="61" t="n"/>
      <c r="D1503" s="27" t="n"/>
      <c r="E1503" s="27" t="n"/>
      <c r="F1503" s="27" t="n"/>
      <c r="G1503" s="27" t="n"/>
      <c r="H1503" s="62" t="n"/>
      <c r="I1503" s="31" t="n"/>
      <c r="J1503" s="31" t="n"/>
      <c r="K1503" s="31" t="n"/>
      <c r="L1503" s="31" t="n"/>
      <c r="M1503" s="1" t="n"/>
    </row>
    <row r="1504">
      <c r="A1504" s="1" t="n"/>
      <c r="B1504" s="24" t="n">
        <v>1498</v>
      </c>
      <c r="C1504" s="61" t="n"/>
      <c r="D1504" s="27" t="n"/>
      <c r="E1504" s="27" t="n"/>
      <c r="F1504" s="27" t="n"/>
      <c r="G1504" s="27" t="n"/>
      <c r="H1504" s="62" t="n"/>
      <c r="I1504" s="31" t="n"/>
      <c r="J1504" s="31" t="n"/>
      <c r="K1504" s="31" t="n"/>
      <c r="L1504" s="31" t="n"/>
      <c r="M1504" s="1" t="n"/>
    </row>
    <row r="1505">
      <c r="A1505" s="1" t="n"/>
      <c r="B1505" s="24" t="n">
        <v>1499</v>
      </c>
      <c r="C1505" s="61" t="n"/>
      <c r="D1505" s="27" t="n"/>
      <c r="E1505" s="27" t="n"/>
      <c r="F1505" s="27" t="n"/>
      <c r="G1505" s="27" t="n"/>
      <c r="H1505" s="62" t="n"/>
      <c r="I1505" s="31" t="n"/>
      <c r="J1505" s="31" t="n"/>
      <c r="K1505" s="31" t="n"/>
      <c r="L1505" s="31" t="n"/>
      <c r="M1505" s="1" t="n"/>
    </row>
    <row r="1506">
      <c r="A1506" s="1" t="n"/>
      <c r="B1506" s="24" t="n">
        <v>1500</v>
      </c>
      <c r="C1506" s="61" t="n"/>
      <c r="D1506" s="27" t="n"/>
      <c r="E1506" s="27" t="n"/>
      <c r="F1506" s="27" t="n"/>
      <c r="G1506" s="27" t="n"/>
      <c r="H1506" s="62" t="n"/>
      <c r="I1506" s="31" t="n"/>
      <c r="J1506" s="31" t="n"/>
      <c r="K1506" s="31" t="n"/>
      <c r="L1506" s="31" t="n"/>
      <c r="M1506" s="1" t="n"/>
    </row>
    <row r="1507">
      <c r="A1507" s="1" t="n"/>
      <c r="B1507" s="24" t="n">
        <v>1501</v>
      </c>
      <c r="C1507" s="61" t="n"/>
      <c r="D1507" s="27" t="n"/>
      <c r="E1507" s="27" t="n"/>
      <c r="F1507" s="27" t="n"/>
      <c r="G1507" s="27" t="n"/>
      <c r="H1507" s="62" t="n"/>
      <c r="I1507" s="31" t="n"/>
      <c r="J1507" s="31" t="n"/>
      <c r="K1507" s="31" t="n"/>
      <c r="L1507" s="31" t="n"/>
      <c r="M1507" s="1" t="n"/>
    </row>
    <row r="1508">
      <c r="A1508" s="1" t="n"/>
      <c r="B1508" s="24" t="n">
        <v>1502</v>
      </c>
      <c r="C1508" s="61" t="n"/>
      <c r="D1508" s="27" t="n"/>
      <c r="E1508" s="27" t="n"/>
      <c r="F1508" s="27" t="n"/>
      <c r="G1508" s="27" t="n"/>
      <c r="H1508" s="62" t="n"/>
      <c r="I1508" s="31" t="n"/>
      <c r="J1508" s="31" t="n"/>
      <c r="K1508" s="31" t="n"/>
      <c r="L1508" s="31" t="n"/>
      <c r="M1508" s="1" t="n"/>
    </row>
    <row r="1509">
      <c r="A1509" s="1" t="n"/>
      <c r="B1509" s="24" t="n">
        <v>1503</v>
      </c>
      <c r="C1509" s="61" t="n"/>
      <c r="D1509" s="27" t="n"/>
      <c r="E1509" s="27" t="n"/>
      <c r="F1509" s="27" t="n"/>
      <c r="G1509" s="27" t="n"/>
      <c r="H1509" s="62" t="n"/>
      <c r="I1509" s="31" t="n"/>
      <c r="J1509" s="31" t="n"/>
      <c r="K1509" s="31" t="n"/>
      <c r="L1509" s="31" t="n"/>
      <c r="M1509" s="1" t="n"/>
    </row>
    <row r="1510">
      <c r="A1510" s="1" t="n"/>
      <c r="B1510" s="24" t="n">
        <v>1504</v>
      </c>
      <c r="C1510" s="61" t="n"/>
      <c r="D1510" s="27" t="n"/>
      <c r="E1510" s="27" t="n"/>
      <c r="F1510" s="27" t="n"/>
      <c r="G1510" s="27" t="n"/>
      <c r="H1510" s="62" t="n"/>
      <c r="I1510" s="31" t="n"/>
      <c r="J1510" s="31" t="n"/>
      <c r="K1510" s="31" t="n"/>
      <c r="L1510" s="31" t="n"/>
      <c r="M1510" s="1" t="n"/>
    </row>
    <row r="1511">
      <c r="A1511" s="1" t="n"/>
      <c r="B1511" s="24" t="n">
        <v>1505</v>
      </c>
      <c r="C1511" s="61" t="n"/>
      <c r="D1511" s="27" t="n"/>
      <c r="E1511" s="27" t="n"/>
      <c r="F1511" s="27" t="n"/>
      <c r="G1511" s="27" t="n"/>
      <c r="H1511" s="62" t="n"/>
      <c r="I1511" s="31" t="n"/>
      <c r="J1511" s="31" t="n"/>
      <c r="K1511" s="31" t="n"/>
      <c r="L1511" s="31" t="n"/>
      <c r="M1511" s="1" t="n"/>
    </row>
    <row r="1512">
      <c r="A1512" s="1" t="n"/>
      <c r="B1512" s="24" t="n">
        <v>1506</v>
      </c>
      <c r="C1512" s="61" t="n"/>
      <c r="D1512" s="27" t="n"/>
      <c r="E1512" s="27" t="n"/>
      <c r="F1512" s="27" t="n"/>
      <c r="G1512" s="27" t="n"/>
      <c r="H1512" s="62" t="n"/>
      <c r="I1512" s="31" t="n"/>
      <c r="J1512" s="31" t="n"/>
      <c r="K1512" s="31" t="n"/>
      <c r="L1512" s="31" t="n"/>
      <c r="M1512" s="1" t="n"/>
    </row>
    <row r="1513">
      <c r="A1513" s="1" t="n"/>
      <c r="B1513" s="24" t="n">
        <v>1507</v>
      </c>
      <c r="C1513" s="61" t="n"/>
      <c r="D1513" s="27" t="n"/>
      <c r="E1513" s="27" t="n"/>
      <c r="F1513" s="27" t="n"/>
      <c r="G1513" s="27" t="n"/>
      <c r="H1513" s="62" t="n"/>
      <c r="I1513" s="31" t="n"/>
      <c r="J1513" s="31" t="n"/>
      <c r="K1513" s="31" t="n"/>
      <c r="L1513" s="31" t="n"/>
      <c r="M1513" s="1" t="n"/>
    </row>
    <row r="1514">
      <c r="A1514" s="1" t="n"/>
      <c r="B1514" s="24" t="n">
        <v>1508</v>
      </c>
      <c r="C1514" s="61" t="n"/>
      <c r="D1514" s="27" t="n"/>
      <c r="E1514" s="27" t="n"/>
      <c r="F1514" s="27" t="n"/>
      <c r="G1514" s="27" t="n"/>
      <c r="H1514" s="62" t="n"/>
      <c r="I1514" s="31" t="n"/>
      <c r="J1514" s="31" t="n"/>
      <c r="K1514" s="31" t="n"/>
      <c r="L1514" s="31" t="n"/>
      <c r="M1514" s="1" t="n"/>
    </row>
    <row r="1515">
      <c r="A1515" s="1" t="n"/>
      <c r="B1515" s="24" t="n">
        <v>1509</v>
      </c>
      <c r="C1515" s="61" t="n"/>
      <c r="D1515" s="27" t="n"/>
      <c r="E1515" s="27" t="n"/>
      <c r="F1515" s="27" t="n"/>
      <c r="G1515" s="27" t="n"/>
      <c r="H1515" s="62" t="n"/>
      <c r="I1515" s="31" t="n"/>
      <c r="J1515" s="31" t="n"/>
      <c r="K1515" s="31" t="n"/>
      <c r="L1515" s="31" t="n"/>
      <c r="M1515" s="1" t="n"/>
    </row>
    <row r="1516">
      <c r="A1516" s="1" t="n"/>
      <c r="B1516" s="24" t="n">
        <v>1510</v>
      </c>
      <c r="C1516" s="61" t="n"/>
      <c r="D1516" s="27" t="n"/>
      <c r="E1516" s="27" t="n"/>
      <c r="F1516" s="27" t="n"/>
      <c r="G1516" s="27" t="n"/>
      <c r="H1516" s="62" t="n"/>
      <c r="I1516" s="31" t="n"/>
      <c r="J1516" s="31" t="n"/>
      <c r="K1516" s="31" t="n"/>
      <c r="L1516" s="31" t="n"/>
      <c r="M1516" s="1" t="n"/>
    </row>
    <row r="1517">
      <c r="A1517" s="1" t="n"/>
      <c r="B1517" s="24" t="n">
        <v>1511</v>
      </c>
      <c r="C1517" s="61" t="n"/>
      <c r="D1517" s="27" t="n"/>
      <c r="E1517" s="27" t="n"/>
      <c r="F1517" s="27" t="n"/>
      <c r="G1517" s="27" t="n"/>
      <c r="H1517" s="62" t="n"/>
      <c r="I1517" s="31" t="n"/>
      <c r="J1517" s="31" t="n"/>
      <c r="K1517" s="31" t="n"/>
      <c r="L1517" s="31" t="n"/>
      <c r="M1517" s="1" t="n"/>
    </row>
    <row r="1518">
      <c r="A1518" s="1" t="n"/>
      <c r="B1518" s="24" t="n">
        <v>1512</v>
      </c>
      <c r="C1518" s="61" t="n"/>
      <c r="D1518" s="27" t="n"/>
      <c r="E1518" s="27" t="n"/>
      <c r="F1518" s="27" t="n"/>
      <c r="G1518" s="27" t="n"/>
      <c r="H1518" s="62" t="n"/>
      <c r="I1518" s="31" t="n"/>
      <c r="J1518" s="31" t="n"/>
      <c r="K1518" s="31" t="n"/>
      <c r="L1518" s="31" t="n"/>
      <c r="M1518" s="1" t="n"/>
    </row>
    <row r="1519">
      <c r="A1519" s="1" t="n"/>
      <c r="B1519" s="24" t="n">
        <v>1513</v>
      </c>
      <c r="C1519" s="61" t="n"/>
      <c r="D1519" s="27" t="n"/>
      <c r="E1519" s="27" t="n"/>
      <c r="F1519" s="27" t="n"/>
      <c r="G1519" s="27" t="n"/>
      <c r="H1519" s="62" t="n"/>
      <c r="I1519" s="31" t="n"/>
      <c r="J1519" s="31" t="n"/>
      <c r="K1519" s="31" t="n"/>
      <c r="L1519" s="31" t="n"/>
      <c r="M1519" s="1" t="n"/>
    </row>
    <row r="1520">
      <c r="A1520" s="1" t="n"/>
      <c r="B1520" s="24" t="n">
        <v>1514</v>
      </c>
      <c r="C1520" s="61" t="n"/>
      <c r="D1520" s="27" t="n"/>
      <c r="E1520" s="27" t="n"/>
      <c r="F1520" s="27" t="n"/>
      <c r="G1520" s="27" t="n"/>
      <c r="H1520" s="62" t="n"/>
      <c r="I1520" s="31" t="n"/>
      <c r="J1520" s="31" t="n"/>
      <c r="K1520" s="31" t="n"/>
      <c r="L1520" s="31" t="n"/>
      <c r="M1520" s="1" t="n"/>
    </row>
    <row r="1521">
      <c r="A1521" s="1" t="n"/>
      <c r="B1521" s="24" t="n">
        <v>1515</v>
      </c>
      <c r="C1521" s="61" t="n"/>
      <c r="D1521" s="27" t="n"/>
      <c r="E1521" s="27" t="n"/>
      <c r="F1521" s="27" t="n"/>
      <c r="G1521" s="27" t="n"/>
      <c r="H1521" s="62" t="n"/>
      <c r="I1521" s="31" t="n"/>
      <c r="J1521" s="31" t="n"/>
      <c r="K1521" s="31" t="n"/>
      <c r="L1521" s="31" t="n"/>
      <c r="M1521" s="1" t="n"/>
    </row>
    <row r="1522">
      <c r="A1522" s="1" t="n"/>
      <c r="B1522" s="24" t="n">
        <v>1516</v>
      </c>
      <c r="C1522" s="61" t="n"/>
      <c r="D1522" s="27" t="n"/>
      <c r="E1522" s="27" t="n"/>
      <c r="F1522" s="27" t="n"/>
      <c r="G1522" s="27" t="n"/>
      <c r="H1522" s="62" t="n"/>
      <c r="I1522" s="31" t="n"/>
      <c r="J1522" s="31" t="n"/>
      <c r="K1522" s="31" t="n"/>
      <c r="L1522" s="31" t="n"/>
      <c r="M1522" s="1" t="n"/>
    </row>
    <row r="1523">
      <c r="A1523" s="1" t="n"/>
      <c r="B1523" s="24" t="n">
        <v>1517</v>
      </c>
      <c r="C1523" s="61" t="n"/>
      <c r="D1523" s="27" t="n"/>
      <c r="E1523" s="27" t="n"/>
      <c r="F1523" s="27" t="n"/>
      <c r="G1523" s="27" t="n"/>
      <c r="H1523" s="62" t="n"/>
      <c r="I1523" s="31" t="n"/>
      <c r="J1523" s="31" t="n"/>
      <c r="K1523" s="31" t="n"/>
      <c r="L1523" s="31" t="n"/>
      <c r="M1523" s="1" t="n"/>
    </row>
    <row r="1524">
      <c r="A1524" s="1" t="n"/>
      <c r="B1524" s="24" t="n">
        <v>1518</v>
      </c>
      <c r="C1524" s="61" t="n"/>
      <c r="D1524" s="27" t="n"/>
      <c r="E1524" s="27" t="n"/>
      <c r="F1524" s="27" t="n"/>
      <c r="G1524" s="27" t="n"/>
      <c r="H1524" s="62" t="n"/>
      <c r="I1524" s="31" t="n"/>
      <c r="J1524" s="31" t="n"/>
      <c r="K1524" s="31" t="n"/>
      <c r="L1524" s="31" t="n"/>
      <c r="M1524" s="1" t="n"/>
    </row>
    <row r="1525">
      <c r="A1525" s="1" t="n"/>
      <c r="B1525" s="24" t="n">
        <v>1519</v>
      </c>
      <c r="C1525" s="61" t="n"/>
      <c r="D1525" s="27" t="n"/>
      <c r="E1525" s="27" t="n"/>
      <c r="F1525" s="27" t="n"/>
      <c r="G1525" s="27" t="n"/>
      <c r="H1525" s="62" t="n"/>
      <c r="I1525" s="31" t="n"/>
      <c r="J1525" s="31" t="n"/>
      <c r="K1525" s="31" t="n"/>
      <c r="L1525" s="31" t="n"/>
      <c r="M1525" s="1" t="n"/>
    </row>
    <row r="1526">
      <c r="A1526" s="1" t="n"/>
      <c r="B1526" s="24" t="n">
        <v>1520</v>
      </c>
      <c r="C1526" s="61" t="n"/>
      <c r="D1526" s="27" t="n"/>
      <c r="E1526" s="27" t="n"/>
      <c r="F1526" s="27" t="n"/>
      <c r="G1526" s="27" t="n"/>
      <c r="H1526" s="62" t="n"/>
      <c r="I1526" s="31" t="n"/>
      <c r="J1526" s="31" t="n"/>
      <c r="K1526" s="31" t="n"/>
      <c r="L1526" s="31" t="n"/>
      <c r="M1526" s="1" t="n"/>
    </row>
    <row r="1527">
      <c r="A1527" s="1" t="n"/>
      <c r="B1527" s="24" t="n">
        <v>1521</v>
      </c>
      <c r="C1527" s="61" t="n"/>
      <c r="D1527" s="27" t="n"/>
      <c r="E1527" s="27" t="n"/>
      <c r="F1527" s="27" t="n"/>
      <c r="G1527" s="27" t="n"/>
      <c r="H1527" s="62" t="n"/>
      <c r="I1527" s="31" t="n"/>
      <c r="J1527" s="31" t="n"/>
      <c r="K1527" s="31" t="n"/>
      <c r="L1527" s="31" t="n"/>
      <c r="M1527" s="1" t="n"/>
    </row>
    <row r="1528">
      <c r="A1528" s="1" t="n"/>
      <c r="B1528" s="24" t="n">
        <v>1522</v>
      </c>
      <c r="C1528" s="61" t="n"/>
      <c r="D1528" s="27" t="n"/>
      <c r="E1528" s="27" t="n"/>
      <c r="F1528" s="27" t="n"/>
      <c r="G1528" s="27" t="n"/>
      <c r="H1528" s="62" t="n"/>
      <c r="I1528" s="31" t="n"/>
      <c r="J1528" s="31" t="n"/>
      <c r="K1528" s="31" t="n"/>
      <c r="L1528" s="31" t="n"/>
      <c r="M1528" s="1" t="n"/>
    </row>
    <row r="1529">
      <c r="A1529" s="1" t="n"/>
      <c r="B1529" s="24" t="n">
        <v>1523</v>
      </c>
      <c r="C1529" s="61" t="n"/>
      <c r="D1529" s="27" t="n"/>
      <c r="E1529" s="27" t="n"/>
      <c r="F1529" s="27" t="n"/>
      <c r="G1529" s="27" t="n"/>
      <c r="H1529" s="62" t="n"/>
      <c r="I1529" s="31" t="n"/>
      <c r="J1529" s="31" t="n"/>
      <c r="K1529" s="31" t="n"/>
      <c r="L1529" s="31" t="n"/>
      <c r="M1529" s="1" t="n"/>
    </row>
    <row r="1530">
      <c r="A1530" s="1" t="n"/>
      <c r="B1530" s="24" t="n">
        <v>1524</v>
      </c>
      <c r="C1530" s="61" t="n"/>
      <c r="D1530" s="27" t="n"/>
      <c r="E1530" s="27" t="n"/>
      <c r="F1530" s="27" t="n"/>
      <c r="G1530" s="27" t="n"/>
      <c r="H1530" s="62" t="n"/>
      <c r="I1530" s="31" t="n"/>
      <c r="J1530" s="31" t="n"/>
      <c r="K1530" s="31" t="n"/>
      <c r="L1530" s="31" t="n"/>
      <c r="M1530" s="1" t="n"/>
    </row>
    <row r="1531">
      <c r="A1531" s="1" t="n"/>
      <c r="B1531" s="24" t="n">
        <v>1525</v>
      </c>
      <c r="C1531" s="61" t="n"/>
      <c r="D1531" s="27" t="n"/>
      <c r="E1531" s="27" t="n"/>
      <c r="F1531" s="27" t="n"/>
      <c r="G1531" s="27" t="n"/>
      <c r="H1531" s="62" t="n"/>
      <c r="I1531" s="31" t="n"/>
      <c r="J1531" s="31" t="n"/>
      <c r="K1531" s="31" t="n"/>
      <c r="L1531" s="31" t="n"/>
      <c r="M1531" s="1" t="n"/>
    </row>
    <row r="1532">
      <c r="A1532" s="1" t="n"/>
      <c r="B1532" s="24" t="n">
        <v>1526</v>
      </c>
      <c r="C1532" s="61" t="n"/>
      <c r="D1532" s="27" t="n"/>
      <c r="E1532" s="27" t="n"/>
      <c r="F1532" s="27" t="n"/>
      <c r="G1532" s="27" t="n"/>
      <c r="H1532" s="62" t="n"/>
      <c r="I1532" s="31" t="n"/>
      <c r="J1532" s="31" t="n"/>
      <c r="K1532" s="31" t="n"/>
      <c r="L1532" s="31" t="n"/>
      <c r="M1532" s="1" t="n"/>
    </row>
    <row r="1533">
      <c r="A1533" s="1" t="n"/>
      <c r="B1533" s="24" t="n">
        <v>1527</v>
      </c>
      <c r="C1533" s="61" t="n"/>
      <c r="D1533" s="27" t="n"/>
      <c r="E1533" s="27" t="n"/>
      <c r="F1533" s="27" t="n"/>
      <c r="G1533" s="27" t="n"/>
      <c r="H1533" s="62" t="n"/>
      <c r="I1533" s="31" t="n"/>
      <c r="J1533" s="31" t="n"/>
      <c r="K1533" s="31" t="n"/>
      <c r="L1533" s="31" t="n"/>
      <c r="M1533" s="1" t="n"/>
    </row>
    <row r="1534">
      <c r="A1534" s="1" t="n"/>
      <c r="B1534" s="24" t="n">
        <v>1528</v>
      </c>
      <c r="C1534" s="61" t="n"/>
      <c r="D1534" s="27" t="n"/>
      <c r="E1534" s="27" t="n"/>
      <c r="F1534" s="27" t="n"/>
      <c r="G1534" s="27" t="n"/>
      <c r="H1534" s="62" t="n"/>
      <c r="I1534" s="31" t="n"/>
      <c r="J1534" s="31" t="n"/>
      <c r="K1534" s="31" t="n"/>
      <c r="L1534" s="31" t="n"/>
      <c r="M1534" s="1" t="n"/>
    </row>
    <row r="1535">
      <c r="A1535" s="1" t="n"/>
      <c r="B1535" s="24" t="n">
        <v>1529</v>
      </c>
      <c r="C1535" s="61" t="n"/>
      <c r="D1535" s="27" t="n"/>
      <c r="E1535" s="27" t="n"/>
      <c r="F1535" s="27" t="n"/>
      <c r="G1535" s="27" t="n"/>
      <c r="H1535" s="62" t="n"/>
      <c r="I1535" s="31" t="n"/>
      <c r="J1535" s="31" t="n"/>
      <c r="K1535" s="31" t="n"/>
      <c r="L1535" s="31" t="n"/>
      <c r="M1535" s="1" t="n"/>
    </row>
    <row r="1536">
      <c r="A1536" s="1" t="n"/>
      <c r="B1536" s="24" t="n">
        <v>1530</v>
      </c>
      <c r="C1536" s="61" t="n"/>
      <c r="D1536" s="27" t="n"/>
      <c r="E1536" s="27" t="n"/>
      <c r="F1536" s="27" t="n"/>
      <c r="G1536" s="27" t="n"/>
      <c r="H1536" s="62" t="n"/>
      <c r="I1536" s="31" t="n"/>
      <c r="J1536" s="31" t="n"/>
      <c r="K1536" s="31" t="n"/>
      <c r="L1536" s="31" t="n"/>
      <c r="M1536" s="1" t="n"/>
    </row>
    <row r="1537">
      <c r="A1537" s="1" t="n"/>
      <c r="B1537" s="24" t="n">
        <v>1531</v>
      </c>
      <c r="C1537" s="61" t="n"/>
      <c r="D1537" s="27" t="n"/>
      <c r="E1537" s="27" t="n"/>
      <c r="F1537" s="27" t="n"/>
      <c r="G1537" s="27" t="n"/>
      <c r="H1537" s="62" t="n"/>
      <c r="I1537" s="31" t="n"/>
      <c r="J1537" s="31" t="n"/>
      <c r="K1537" s="31" t="n"/>
      <c r="L1537" s="31" t="n"/>
      <c r="M1537" s="1" t="n"/>
    </row>
    <row r="1538">
      <c r="A1538" s="1" t="n"/>
      <c r="B1538" s="24" t="n">
        <v>1532</v>
      </c>
      <c r="C1538" s="61" t="n"/>
      <c r="D1538" s="27" t="n"/>
      <c r="E1538" s="27" t="n"/>
      <c r="F1538" s="27" t="n"/>
      <c r="G1538" s="27" t="n"/>
      <c r="H1538" s="62" t="n"/>
      <c r="I1538" s="31" t="n"/>
      <c r="J1538" s="31" t="n"/>
      <c r="K1538" s="31" t="n"/>
      <c r="L1538" s="31" t="n"/>
      <c r="M1538" s="1" t="n"/>
    </row>
    <row r="1539">
      <c r="A1539" s="1" t="n"/>
      <c r="B1539" s="24" t="n">
        <v>1533</v>
      </c>
      <c r="C1539" s="61" t="n"/>
      <c r="D1539" s="27" t="n"/>
      <c r="E1539" s="27" t="n"/>
      <c r="F1539" s="27" t="n"/>
      <c r="G1539" s="27" t="n"/>
      <c r="H1539" s="62" t="n"/>
      <c r="I1539" s="31" t="n"/>
      <c r="J1539" s="31" t="n"/>
      <c r="K1539" s="31" t="n"/>
      <c r="L1539" s="31" t="n"/>
      <c r="M1539" s="1" t="n"/>
    </row>
    <row r="1540">
      <c r="A1540" s="1" t="n"/>
      <c r="B1540" s="24" t="n">
        <v>1534</v>
      </c>
      <c r="C1540" s="61" t="n"/>
      <c r="D1540" s="27" t="n"/>
      <c r="E1540" s="27" t="n"/>
      <c r="F1540" s="27" t="n"/>
      <c r="G1540" s="27" t="n"/>
      <c r="H1540" s="62" t="n"/>
      <c r="I1540" s="31" t="n"/>
      <c r="J1540" s="31" t="n"/>
      <c r="K1540" s="31" t="n"/>
      <c r="L1540" s="31" t="n"/>
      <c r="M1540" s="1" t="n"/>
    </row>
    <row r="1541">
      <c r="A1541" s="1" t="n"/>
      <c r="B1541" s="24" t="n">
        <v>1535</v>
      </c>
      <c r="C1541" s="61" t="n"/>
      <c r="D1541" s="27" t="n"/>
      <c r="E1541" s="27" t="n"/>
      <c r="F1541" s="27" t="n"/>
      <c r="G1541" s="27" t="n"/>
      <c r="H1541" s="62" t="n"/>
      <c r="I1541" s="31" t="n"/>
      <c r="J1541" s="31" t="n"/>
      <c r="K1541" s="31" t="n"/>
      <c r="L1541" s="31" t="n"/>
      <c r="M1541" s="1" t="n"/>
    </row>
    <row r="1542">
      <c r="A1542" s="1" t="n"/>
      <c r="B1542" s="24" t="n">
        <v>1536</v>
      </c>
      <c r="C1542" s="61" t="n"/>
      <c r="D1542" s="27" t="n"/>
      <c r="E1542" s="27" t="n"/>
      <c r="F1542" s="27" t="n"/>
      <c r="G1542" s="27" t="n"/>
      <c r="H1542" s="62" t="n"/>
      <c r="I1542" s="31" t="n"/>
      <c r="J1542" s="31" t="n"/>
      <c r="K1542" s="31" t="n"/>
      <c r="L1542" s="31" t="n"/>
      <c r="M1542" s="1" t="n"/>
    </row>
    <row r="1543">
      <c r="A1543" s="1" t="n"/>
      <c r="B1543" s="24" t="n">
        <v>1537</v>
      </c>
      <c r="C1543" s="61" t="n"/>
      <c r="D1543" s="27" t="n"/>
      <c r="E1543" s="27" t="n"/>
      <c r="F1543" s="27" t="n"/>
      <c r="G1543" s="27" t="n"/>
      <c r="H1543" s="62" t="n"/>
      <c r="I1543" s="31" t="n"/>
      <c r="J1543" s="31" t="n"/>
      <c r="K1543" s="31" t="n"/>
      <c r="L1543" s="31" t="n"/>
      <c r="M1543" s="1" t="n"/>
    </row>
    <row r="1544">
      <c r="A1544" s="1" t="n"/>
      <c r="B1544" s="24" t="n">
        <v>1538</v>
      </c>
      <c r="C1544" s="61" t="n"/>
      <c r="D1544" s="27" t="n"/>
      <c r="E1544" s="27" t="n"/>
      <c r="F1544" s="27" t="n"/>
      <c r="G1544" s="27" t="n"/>
      <c r="H1544" s="62" t="n"/>
      <c r="I1544" s="31" t="n"/>
      <c r="J1544" s="31" t="n"/>
      <c r="K1544" s="31" t="n"/>
      <c r="L1544" s="31" t="n"/>
      <c r="M1544" s="1" t="n"/>
    </row>
    <row r="1545">
      <c r="A1545" s="1" t="n"/>
      <c r="B1545" s="24" t="n">
        <v>1539</v>
      </c>
      <c r="C1545" s="61" t="n"/>
      <c r="D1545" s="27" t="n"/>
      <c r="E1545" s="27" t="n"/>
      <c r="F1545" s="27" t="n"/>
      <c r="G1545" s="27" t="n"/>
      <c r="H1545" s="62" t="n"/>
      <c r="I1545" s="31" t="n"/>
      <c r="J1545" s="31" t="n"/>
      <c r="K1545" s="31" t="n"/>
      <c r="L1545" s="31" t="n"/>
      <c r="M1545" s="1" t="n"/>
    </row>
    <row r="1546">
      <c r="A1546" s="1" t="n"/>
      <c r="B1546" s="24" t="n">
        <v>1540</v>
      </c>
      <c r="C1546" s="61" t="n"/>
      <c r="D1546" s="27" t="n"/>
      <c r="E1546" s="27" t="n"/>
      <c r="F1546" s="27" t="n"/>
      <c r="G1546" s="27" t="n"/>
      <c r="H1546" s="62" t="n"/>
      <c r="I1546" s="31" t="n"/>
      <c r="J1546" s="31" t="n"/>
      <c r="K1546" s="31" t="n"/>
      <c r="L1546" s="31" t="n"/>
      <c r="M1546" s="1" t="n"/>
    </row>
    <row r="1547">
      <c r="A1547" s="1" t="n"/>
      <c r="B1547" s="24" t="n">
        <v>1541</v>
      </c>
      <c r="C1547" s="61" t="n"/>
      <c r="D1547" s="27" t="n"/>
      <c r="E1547" s="27" t="n"/>
      <c r="F1547" s="27" t="n"/>
      <c r="G1547" s="27" t="n"/>
      <c r="H1547" s="62" t="n"/>
      <c r="I1547" s="31" t="n"/>
      <c r="J1547" s="31" t="n"/>
      <c r="K1547" s="31" t="n"/>
      <c r="L1547" s="31" t="n"/>
      <c r="M1547" s="1" t="n"/>
    </row>
    <row r="1548">
      <c r="A1548" s="1" t="n"/>
      <c r="B1548" s="24" t="n">
        <v>1542</v>
      </c>
      <c r="C1548" s="61" t="n"/>
      <c r="D1548" s="27" t="n"/>
      <c r="E1548" s="27" t="n"/>
      <c r="F1548" s="27" t="n"/>
      <c r="G1548" s="27" t="n"/>
      <c r="H1548" s="62" t="n"/>
      <c r="I1548" s="31" t="n"/>
      <c r="J1548" s="31" t="n"/>
      <c r="K1548" s="31" t="n"/>
      <c r="L1548" s="31" t="n"/>
      <c r="M1548" s="1" t="n"/>
    </row>
    <row r="1549">
      <c r="A1549" s="1" t="n"/>
      <c r="B1549" s="24" t="n">
        <v>1543</v>
      </c>
      <c r="C1549" s="61" t="n"/>
      <c r="D1549" s="27" t="n"/>
      <c r="E1549" s="27" t="n"/>
      <c r="F1549" s="27" t="n"/>
      <c r="G1549" s="27" t="n"/>
      <c r="H1549" s="62" t="n"/>
      <c r="I1549" s="31" t="n"/>
      <c r="J1549" s="31" t="n"/>
      <c r="K1549" s="31" t="n"/>
      <c r="L1549" s="31" t="n"/>
      <c r="M1549" s="1" t="n"/>
    </row>
    <row r="1550">
      <c r="A1550" s="1" t="n"/>
      <c r="B1550" s="24" t="n">
        <v>1544</v>
      </c>
      <c r="C1550" s="61" t="n"/>
      <c r="D1550" s="27" t="n"/>
      <c r="E1550" s="27" t="n"/>
      <c r="F1550" s="27" t="n"/>
      <c r="G1550" s="27" t="n"/>
      <c r="H1550" s="62" t="n"/>
      <c r="I1550" s="31" t="n"/>
      <c r="J1550" s="31" t="n"/>
      <c r="K1550" s="31" t="n"/>
      <c r="L1550" s="31" t="n"/>
      <c r="M1550" s="1" t="n"/>
    </row>
    <row r="1551">
      <c r="A1551" s="1" t="n"/>
      <c r="B1551" s="24" t="n">
        <v>1545</v>
      </c>
      <c r="C1551" s="61" t="n"/>
      <c r="D1551" s="27" t="n"/>
      <c r="E1551" s="27" t="n"/>
      <c r="F1551" s="27" t="n"/>
      <c r="G1551" s="27" t="n"/>
      <c r="H1551" s="62" t="n"/>
      <c r="I1551" s="31" t="n"/>
      <c r="J1551" s="31" t="n"/>
      <c r="K1551" s="31" t="n"/>
      <c r="L1551" s="31" t="n"/>
      <c r="M1551" s="1" t="n"/>
    </row>
    <row r="1552">
      <c r="A1552" s="1" t="n"/>
      <c r="B1552" s="24" t="n">
        <v>1546</v>
      </c>
      <c r="C1552" s="61" t="n"/>
      <c r="D1552" s="27" t="n"/>
      <c r="E1552" s="27" t="n"/>
      <c r="F1552" s="27" t="n"/>
      <c r="G1552" s="27" t="n"/>
      <c r="H1552" s="62" t="n"/>
      <c r="I1552" s="31" t="n"/>
      <c r="J1552" s="31" t="n"/>
      <c r="K1552" s="31" t="n"/>
      <c r="L1552" s="31" t="n"/>
      <c r="M1552" s="1" t="n"/>
    </row>
    <row r="1553">
      <c r="A1553" s="1" t="n"/>
      <c r="B1553" s="24" t="n">
        <v>1547</v>
      </c>
      <c r="C1553" s="61" t="n"/>
      <c r="D1553" s="27" t="n"/>
      <c r="E1553" s="27" t="n"/>
      <c r="F1553" s="27" t="n"/>
      <c r="G1553" s="27" t="n"/>
      <c r="H1553" s="62" t="n"/>
      <c r="I1553" s="31" t="n"/>
      <c r="J1553" s="31" t="n"/>
      <c r="K1553" s="31" t="n"/>
      <c r="L1553" s="31" t="n"/>
      <c r="M1553" s="1" t="n"/>
    </row>
    <row r="1554">
      <c r="A1554" s="1" t="n"/>
      <c r="B1554" s="24" t="n">
        <v>1548</v>
      </c>
      <c r="C1554" s="61" t="n"/>
      <c r="D1554" s="27" t="n"/>
      <c r="E1554" s="27" t="n"/>
      <c r="F1554" s="27" t="n"/>
      <c r="G1554" s="27" t="n"/>
      <c r="H1554" s="62" t="n"/>
      <c r="I1554" s="31" t="n"/>
      <c r="J1554" s="31" t="n"/>
      <c r="K1554" s="31" t="n"/>
      <c r="L1554" s="31" t="n"/>
      <c r="M1554" s="1" t="n"/>
    </row>
    <row r="1555">
      <c r="A1555" s="1" t="n"/>
      <c r="B1555" s="24" t="n">
        <v>1549</v>
      </c>
      <c r="C1555" s="61" t="n"/>
      <c r="D1555" s="27" t="n"/>
      <c r="E1555" s="27" t="n"/>
      <c r="F1555" s="27" t="n"/>
      <c r="G1555" s="27" t="n"/>
      <c r="H1555" s="62" t="n"/>
      <c r="I1555" s="31" t="n"/>
      <c r="J1555" s="31" t="n"/>
      <c r="K1555" s="31" t="n"/>
      <c r="L1555" s="31" t="n"/>
      <c r="M1555" s="1" t="n"/>
    </row>
    <row r="1556">
      <c r="A1556" s="1" t="n"/>
      <c r="B1556" s="24" t="n">
        <v>1550</v>
      </c>
      <c r="C1556" s="61" t="n"/>
      <c r="D1556" s="27" t="n"/>
      <c r="E1556" s="27" t="n"/>
      <c r="F1556" s="27" t="n"/>
      <c r="G1556" s="27" t="n"/>
      <c r="H1556" s="62" t="n"/>
      <c r="I1556" s="31" t="n"/>
      <c r="J1556" s="31" t="n"/>
      <c r="K1556" s="31" t="n"/>
      <c r="L1556" s="31" t="n"/>
      <c r="M1556" s="1" t="n"/>
    </row>
    <row r="1557">
      <c r="A1557" s="1" t="n"/>
      <c r="B1557" s="24" t="n">
        <v>1551</v>
      </c>
      <c r="C1557" s="61" t="n"/>
      <c r="D1557" s="27" t="n"/>
      <c r="E1557" s="27" t="n"/>
      <c r="F1557" s="27" t="n"/>
      <c r="G1557" s="27" t="n"/>
      <c r="H1557" s="62" t="n"/>
      <c r="I1557" s="31" t="n"/>
      <c r="J1557" s="31" t="n"/>
      <c r="K1557" s="31" t="n"/>
      <c r="L1557" s="31" t="n"/>
      <c r="M1557" s="1" t="n"/>
    </row>
    <row r="1558">
      <c r="A1558" s="1" t="n"/>
      <c r="B1558" s="24" t="n">
        <v>1552</v>
      </c>
      <c r="C1558" s="61" t="n"/>
      <c r="D1558" s="27" t="n"/>
      <c r="E1558" s="27" t="n"/>
      <c r="F1558" s="27" t="n"/>
      <c r="G1558" s="27" t="n"/>
      <c r="H1558" s="62" t="n"/>
      <c r="I1558" s="31" t="n"/>
      <c r="J1558" s="31" t="n"/>
      <c r="K1558" s="31" t="n"/>
      <c r="L1558" s="31" t="n"/>
      <c r="M1558" s="1" t="n"/>
    </row>
    <row r="1559">
      <c r="A1559" s="1" t="n"/>
      <c r="B1559" s="24" t="n">
        <v>1553</v>
      </c>
      <c r="C1559" s="61" t="n"/>
      <c r="D1559" s="27" t="n"/>
      <c r="E1559" s="27" t="n"/>
      <c r="F1559" s="27" t="n"/>
      <c r="G1559" s="27" t="n"/>
      <c r="H1559" s="62" t="n"/>
      <c r="I1559" s="31" t="n"/>
      <c r="J1559" s="31" t="n"/>
      <c r="K1559" s="31" t="n"/>
      <c r="L1559" s="31" t="n"/>
      <c r="M1559" s="1" t="n"/>
    </row>
    <row r="1560">
      <c r="A1560" s="1" t="n"/>
      <c r="B1560" s="24" t="n">
        <v>1554</v>
      </c>
      <c r="C1560" s="61" t="n"/>
      <c r="D1560" s="27" t="n"/>
      <c r="E1560" s="27" t="n"/>
      <c r="F1560" s="27" t="n"/>
      <c r="G1560" s="27" t="n"/>
      <c r="H1560" s="62" t="n"/>
      <c r="I1560" s="31" t="n"/>
      <c r="J1560" s="31" t="n"/>
      <c r="K1560" s="31" t="n"/>
      <c r="L1560" s="31" t="n"/>
      <c r="M1560" s="1" t="n"/>
    </row>
    <row r="1561">
      <c r="A1561" s="1" t="n"/>
      <c r="B1561" s="24" t="n">
        <v>1555</v>
      </c>
      <c r="C1561" s="61" t="n"/>
      <c r="D1561" s="27" t="n"/>
      <c r="E1561" s="27" t="n"/>
      <c r="F1561" s="27" t="n"/>
      <c r="G1561" s="27" t="n"/>
      <c r="H1561" s="62" t="n"/>
      <c r="I1561" s="31" t="n"/>
      <c r="J1561" s="31" t="n"/>
      <c r="K1561" s="31" t="n"/>
      <c r="L1561" s="31" t="n"/>
      <c r="M1561" s="1" t="n"/>
    </row>
    <row r="1562">
      <c r="A1562" s="1" t="n"/>
      <c r="B1562" s="24" t="n">
        <v>1556</v>
      </c>
      <c r="C1562" s="61" t="n"/>
      <c r="D1562" s="27" t="n"/>
      <c r="E1562" s="27" t="n"/>
      <c r="F1562" s="27" t="n"/>
      <c r="G1562" s="27" t="n"/>
      <c r="H1562" s="62" t="n"/>
      <c r="I1562" s="31" t="n"/>
      <c r="J1562" s="31" t="n"/>
      <c r="K1562" s="31" t="n"/>
      <c r="L1562" s="31" t="n"/>
      <c r="M1562" s="1" t="n"/>
    </row>
    <row r="1563">
      <c r="A1563" s="1" t="n"/>
      <c r="B1563" s="24" t="n">
        <v>1557</v>
      </c>
      <c r="C1563" s="61" t="n"/>
      <c r="D1563" s="27" t="n"/>
      <c r="E1563" s="27" t="n"/>
      <c r="F1563" s="27" t="n"/>
      <c r="G1563" s="27" t="n"/>
      <c r="H1563" s="62" t="n"/>
      <c r="I1563" s="31" t="n"/>
      <c r="J1563" s="31" t="n"/>
      <c r="K1563" s="31" t="n"/>
      <c r="L1563" s="31" t="n"/>
      <c r="M1563" s="1" t="n"/>
    </row>
    <row r="1564">
      <c r="A1564" s="1" t="n"/>
      <c r="B1564" s="24" t="n">
        <v>1558</v>
      </c>
      <c r="C1564" s="61" t="n"/>
      <c r="D1564" s="27" t="n"/>
      <c r="E1564" s="27" t="n"/>
      <c r="F1564" s="27" t="n"/>
      <c r="G1564" s="27" t="n"/>
      <c r="H1564" s="62" t="n"/>
      <c r="I1564" s="31" t="n"/>
      <c r="J1564" s="31" t="n"/>
      <c r="K1564" s="31" t="n"/>
      <c r="L1564" s="31" t="n"/>
      <c r="M1564" s="1" t="n"/>
    </row>
    <row r="1565">
      <c r="A1565" s="1" t="n"/>
      <c r="B1565" s="24" t="n">
        <v>1559</v>
      </c>
      <c r="C1565" s="61" t="n"/>
      <c r="D1565" s="27" t="n"/>
      <c r="E1565" s="27" t="n"/>
      <c r="F1565" s="27" t="n"/>
      <c r="G1565" s="27" t="n"/>
      <c r="H1565" s="62" t="n"/>
      <c r="I1565" s="31" t="n"/>
      <c r="J1565" s="31" t="n"/>
      <c r="K1565" s="31" t="n"/>
      <c r="L1565" s="31" t="n"/>
      <c r="M1565" s="1" t="n"/>
    </row>
    <row r="1566">
      <c r="A1566" s="1" t="n"/>
      <c r="B1566" s="24" t="n">
        <v>1560</v>
      </c>
      <c r="C1566" s="61" t="n"/>
      <c r="D1566" s="27" t="n"/>
      <c r="E1566" s="27" t="n"/>
      <c r="F1566" s="27" t="n"/>
      <c r="G1566" s="27" t="n"/>
      <c r="H1566" s="62" t="n"/>
      <c r="I1566" s="31" t="n"/>
      <c r="J1566" s="31" t="n"/>
      <c r="K1566" s="31" t="n"/>
      <c r="L1566" s="31" t="n"/>
      <c r="M1566" s="1" t="n"/>
    </row>
    <row r="1567">
      <c r="A1567" s="1" t="n"/>
      <c r="B1567" s="24" t="n">
        <v>1561</v>
      </c>
      <c r="C1567" s="61" t="n"/>
      <c r="D1567" s="27" t="n"/>
      <c r="E1567" s="27" t="n"/>
      <c r="F1567" s="27" t="n"/>
      <c r="G1567" s="27" t="n"/>
      <c r="H1567" s="62" t="n"/>
      <c r="I1567" s="31" t="n"/>
      <c r="J1567" s="31" t="n"/>
      <c r="K1567" s="31" t="n"/>
      <c r="L1567" s="31" t="n"/>
      <c r="M1567" s="1" t="n"/>
    </row>
    <row r="1568">
      <c r="A1568" s="1" t="n"/>
      <c r="B1568" s="24" t="n">
        <v>1562</v>
      </c>
      <c r="C1568" s="61" t="n"/>
      <c r="D1568" s="27" t="n"/>
      <c r="E1568" s="27" t="n"/>
      <c r="F1568" s="27" t="n"/>
      <c r="G1568" s="27" t="n"/>
      <c r="H1568" s="62" t="n"/>
      <c r="I1568" s="31" t="n"/>
      <c r="J1568" s="31" t="n"/>
      <c r="K1568" s="31" t="n"/>
      <c r="L1568" s="31" t="n"/>
      <c r="M1568" s="1" t="n"/>
    </row>
    <row r="1569">
      <c r="A1569" s="1" t="n"/>
      <c r="B1569" s="24" t="n">
        <v>1563</v>
      </c>
      <c r="C1569" s="61" t="n"/>
      <c r="D1569" s="27" t="n"/>
      <c r="E1569" s="27" t="n"/>
      <c r="F1569" s="27" t="n"/>
      <c r="G1569" s="27" t="n"/>
      <c r="H1569" s="62" t="n"/>
      <c r="I1569" s="31" t="n"/>
      <c r="J1569" s="31" t="n"/>
      <c r="K1569" s="31" t="n"/>
      <c r="L1569" s="31" t="n"/>
      <c r="M1569" s="1" t="n"/>
    </row>
    <row r="1570">
      <c r="A1570" s="1" t="n"/>
      <c r="B1570" s="24" t="n">
        <v>1564</v>
      </c>
      <c r="C1570" s="61" t="n"/>
      <c r="D1570" s="27" t="n"/>
      <c r="E1570" s="27" t="n"/>
      <c r="F1570" s="27" t="n"/>
      <c r="G1570" s="27" t="n"/>
      <c r="H1570" s="62" t="n"/>
      <c r="I1570" s="31" t="n"/>
      <c r="J1570" s="31" t="n"/>
      <c r="K1570" s="31" t="n"/>
      <c r="L1570" s="31" t="n"/>
      <c r="M1570" s="1" t="n"/>
    </row>
    <row r="1571">
      <c r="A1571" s="1" t="n"/>
      <c r="B1571" s="24" t="n">
        <v>1565</v>
      </c>
      <c r="C1571" s="61" t="n"/>
      <c r="D1571" s="27" t="n"/>
      <c r="E1571" s="27" t="n"/>
      <c r="F1571" s="27" t="n"/>
      <c r="G1571" s="27" t="n"/>
      <c r="H1571" s="62" t="n"/>
      <c r="I1571" s="31" t="n"/>
      <c r="J1571" s="31" t="n"/>
      <c r="K1571" s="31" t="n"/>
      <c r="L1571" s="31" t="n"/>
      <c r="M1571" s="1" t="n"/>
    </row>
    <row r="1572">
      <c r="A1572" s="1" t="n"/>
      <c r="B1572" s="24" t="n">
        <v>1566</v>
      </c>
      <c r="C1572" s="61" t="n"/>
      <c r="D1572" s="27" t="n"/>
      <c r="E1572" s="27" t="n"/>
      <c r="F1572" s="27" t="n"/>
      <c r="G1572" s="27" t="n"/>
      <c r="H1572" s="62" t="n"/>
      <c r="I1572" s="31" t="n"/>
      <c r="J1572" s="31" t="n"/>
      <c r="K1572" s="31" t="n"/>
      <c r="L1572" s="31" t="n"/>
      <c r="M1572" s="1" t="n"/>
    </row>
    <row r="1573">
      <c r="A1573" s="1" t="n"/>
      <c r="B1573" s="24" t="n">
        <v>1567</v>
      </c>
      <c r="C1573" s="61" t="n"/>
      <c r="D1573" s="27" t="n"/>
      <c r="E1573" s="27" t="n"/>
      <c r="F1573" s="27" t="n"/>
      <c r="G1573" s="27" t="n"/>
      <c r="H1573" s="62" t="n"/>
      <c r="I1573" s="31" t="n"/>
      <c r="J1573" s="31" t="n"/>
      <c r="K1573" s="31" t="n"/>
      <c r="L1573" s="31" t="n"/>
      <c r="M1573" s="1" t="n"/>
    </row>
    <row r="1574">
      <c r="A1574" s="1" t="n"/>
      <c r="B1574" s="24" t="n">
        <v>1568</v>
      </c>
      <c r="C1574" s="61" t="n"/>
      <c r="D1574" s="27" t="n"/>
      <c r="E1574" s="27" t="n"/>
      <c r="F1574" s="27" t="n"/>
      <c r="G1574" s="27" t="n"/>
      <c r="H1574" s="62" t="n"/>
      <c r="I1574" s="31" t="n"/>
      <c r="J1574" s="31" t="n"/>
      <c r="K1574" s="31" t="n"/>
      <c r="L1574" s="31" t="n"/>
      <c r="M1574" s="1" t="n"/>
    </row>
    <row r="1575">
      <c r="A1575" s="1" t="n"/>
      <c r="B1575" s="24" t="n">
        <v>1569</v>
      </c>
      <c r="C1575" s="61" t="n"/>
      <c r="D1575" s="27" t="n"/>
      <c r="E1575" s="27" t="n"/>
      <c r="F1575" s="27" t="n"/>
      <c r="G1575" s="27" t="n"/>
      <c r="H1575" s="62" t="n"/>
      <c r="I1575" s="31" t="n"/>
      <c r="J1575" s="31" t="n"/>
      <c r="K1575" s="31" t="n"/>
      <c r="L1575" s="31" t="n"/>
      <c r="M1575" s="1" t="n"/>
    </row>
    <row r="1576">
      <c r="A1576" s="1" t="n"/>
      <c r="B1576" s="24" t="n">
        <v>1570</v>
      </c>
      <c r="C1576" s="61" t="n"/>
      <c r="D1576" s="27" t="n"/>
      <c r="E1576" s="27" t="n"/>
      <c r="F1576" s="27" t="n"/>
      <c r="G1576" s="27" t="n"/>
      <c r="H1576" s="62" t="n"/>
      <c r="I1576" s="31" t="n"/>
      <c r="J1576" s="31" t="n"/>
      <c r="K1576" s="31" t="n"/>
      <c r="L1576" s="31" t="n"/>
      <c r="M1576" s="1" t="n"/>
    </row>
    <row r="1577">
      <c r="A1577" s="1" t="n"/>
      <c r="B1577" s="24" t="n">
        <v>1571</v>
      </c>
      <c r="C1577" s="61" t="n"/>
      <c r="D1577" s="27" t="n"/>
      <c r="E1577" s="27" t="n"/>
      <c r="F1577" s="27" t="n"/>
      <c r="G1577" s="27" t="n"/>
      <c r="H1577" s="62" t="n"/>
      <c r="I1577" s="31" t="n"/>
      <c r="J1577" s="31" t="n"/>
      <c r="K1577" s="31" t="n"/>
      <c r="L1577" s="31" t="n"/>
      <c r="M1577" s="1" t="n"/>
    </row>
    <row r="1578">
      <c r="A1578" s="1" t="n"/>
      <c r="B1578" s="24" t="n">
        <v>1572</v>
      </c>
      <c r="C1578" s="61" t="n"/>
      <c r="D1578" s="27" t="n"/>
      <c r="E1578" s="27" t="n"/>
      <c r="F1578" s="27" t="n"/>
      <c r="G1578" s="27" t="n"/>
      <c r="H1578" s="62" t="n"/>
      <c r="I1578" s="31" t="n"/>
      <c r="J1578" s="31" t="n"/>
      <c r="K1578" s="31" t="n"/>
      <c r="L1578" s="31" t="n"/>
      <c r="M1578" s="1" t="n"/>
    </row>
    <row r="1579">
      <c r="A1579" s="1" t="n"/>
      <c r="B1579" s="24" t="n">
        <v>1573</v>
      </c>
      <c r="C1579" s="61" t="n"/>
      <c r="D1579" s="27" t="n"/>
      <c r="E1579" s="27" t="n"/>
      <c r="F1579" s="27" t="n"/>
      <c r="G1579" s="27" t="n"/>
      <c r="H1579" s="62" t="n"/>
      <c r="I1579" s="31" t="n"/>
      <c r="J1579" s="31" t="n"/>
      <c r="K1579" s="31" t="n"/>
      <c r="L1579" s="31" t="n"/>
      <c r="M1579" s="1" t="n"/>
    </row>
    <row r="1580">
      <c r="A1580" s="1" t="n"/>
      <c r="B1580" s="24" t="n">
        <v>1574</v>
      </c>
      <c r="C1580" s="61" t="n"/>
      <c r="D1580" s="27" t="n"/>
      <c r="E1580" s="27" t="n"/>
      <c r="F1580" s="27" t="n"/>
      <c r="G1580" s="27" t="n"/>
      <c r="H1580" s="62" t="n"/>
      <c r="I1580" s="31" t="n"/>
      <c r="J1580" s="31" t="n"/>
      <c r="K1580" s="31" t="n"/>
      <c r="L1580" s="31" t="n"/>
      <c r="M1580" s="1" t="n"/>
    </row>
    <row r="1581">
      <c r="A1581" s="1" t="n"/>
      <c r="B1581" s="24" t="n">
        <v>1575</v>
      </c>
      <c r="C1581" s="61" t="n"/>
      <c r="D1581" s="27" t="n"/>
      <c r="E1581" s="27" t="n"/>
      <c r="F1581" s="27" t="n"/>
      <c r="G1581" s="27" t="n"/>
      <c r="H1581" s="62" t="n"/>
      <c r="I1581" s="31" t="n"/>
      <c r="J1581" s="31" t="n"/>
      <c r="K1581" s="31" t="n"/>
      <c r="L1581" s="31" t="n"/>
      <c r="M1581" s="1" t="n"/>
    </row>
    <row r="1582">
      <c r="A1582" s="1" t="n"/>
      <c r="B1582" s="24" t="n">
        <v>1576</v>
      </c>
      <c r="C1582" s="61" t="n"/>
      <c r="D1582" s="27" t="n"/>
      <c r="E1582" s="27" t="n"/>
      <c r="F1582" s="27" t="n"/>
      <c r="G1582" s="27" t="n"/>
      <c r="H1582" s="62" t="n"/>
      <c r="I1582" s="31" t="n"/>
      <c r="J1582" s="31" t="n"/>
      <c r="K1582" s="31" t="n"/>
      <c r="L1582" s="31" t="n"/>
      <c r="M1582" s="1" t="n"/>
    </row>
    <row r="1583">
      <c r="A1583" s="1" t="n"/>
      <c r="B1583" s="24" t="n">
        <v>1577</v>
      </c>
      <c r="C1583" s="61" t="n"/>
      <c r="D1583" s="27" t="n"/>
      <c r="E1583" s="27" t="n"/>
      <c r="F1583" s="27" t="n"/>
      <c r="G1583" s="27" t="n"/>
      <c r="H1583" s="62" t="n"/>
      <c r="I1583" s="31" t="n"/>
      <c r="J1583" s="31" t="n"/>
      <c r="K1583" s="31" t="n"/>
      <c r="L1583" s="31" t="n"/>
      <c r="M1583" s="1" t="n"/>
    </row>
    <row r="1584">
      <c r="A1584" s="1" t="n"/>
      <c r="B1584" s="24" t="n">
        <v>1578</v>
      </c>
      <c r="C1584" s="61" t="n"/>
      <c r="D1584" s="27" t="n"/>
      <c r="E1584" s="27" t="n"/>
      <c r="F1584" s="27" t="n"/>
      <c r="G1584" s="27" t="n"/>
      <c r="H1584" s="62" t="n"/>
      <c r="I1584" s="31" t="n"/>
      <c r="J1584" s="31" t="n"/>
      <c r="K1584" s="31" t="n"/>
      <c r="L1584" s="31" t="n"/>
      <c r="M1584" s="1" t="n"/>
    </row>
    <row r="1585">
      <c r="A1585" s="1" t="n"/>
      <c r="B1585" s="24" t="n">
        <v>1579</v>
      </c>
      <c r="C1585" s="61" t="n"/>
      <c r="D1585" s="27" t="n"/>
      <c r="E1585" s="27" t="n"/>
      <c r="F1585" s="27" t="n"/>
      <c r="G1585" s="27" t="n"/>
      <c r="H1585" s="62" t="n"/>
      <c r="I1585" s="31" t="n"/>
      <c r="J1585" s="31" t="n"/>
      <c r="K1585" s="31" t="n"/>
      <c r="L1585" s="31" t="n"/>
      <c r="M1585" s="1" t="n"/>
    </row>
    <row r="1586">
      <c r="A1586" s="1" t="n"/>
      <c r="B1586" s="24" t="n">
        <v>1580</v>
      </c>
      <c r="C1586" s="61" t="n"/>
      <c r="D1586" s="27" t="n"/>
      <c r="E1586" s="27" t="n"/>
      <c r="F1586" s="27" t="n"/>
      <c r="G1586" s="27" t="n"/>
      <c r="H1586" s="62" t="n"/>
      <c r="I1586" s="31" t="n"/>
      <c r="J1586" s="31" t="n"/>
      <c r="K1586" s="31" t="n"/>
      <c r="L1586" s="31" t="n"/>
      <c r="M1586" s="1" t="n"/>
    </row>
    <row r="1587">
      <c r="A1587" s="1" t="n"/>
      <c r="B1587" s="24" t="n">
        <v>1581</v>
      </c>
      <c r="C1587" s="61" t="n"/>
      <c r="D1587" s="27" t="n"/>
      <c r="E1587" s="27" t="n"/>
      <c r="F1587" s="27" t="n"/>
      <c r="G1587" s="27" t="n"/>
      <c r="H1587" s="62" t="n"/>
      <c r="I1587" s="31" t="n"/>
      <c r="J1587" s="31" t="n"/>
      <c r="K1587" s="31" t="n"/>
      <c r="L1587" s="31" t="n"/>
      <c r="M1587" s="1" t="n"/>
    </row>
    <row r="1588">
      <c r="A1588" s="1" t="n"/>
      <c r="B1588" s="24" t="n">
        <v>1582</v>
      </c>
      <c r="C1588" s="61" t="n"/>
      <c r="D1588" s="27" t="n"/>
      <c r="E1588" s="27" t="n"/>
      <c r="F1588" s="27" t="n"/>
      <c r="G1588" s="27" t="n"/>
      <c r="H1588" s="62" t="n"/>
      <c r="I1588" s="31" t="n"/>
      <c r="J1588" s="31" t="n"/>
      <c r="K1588" s="31" t="n"/>
      <c r="L1588" s="31" t="n"/>
      <c r="M1588" s="1" t="n"/>
    </row>
    <row r="1589">
      <c r="A1589" s="1" t="n"/>
      <c r="B1589" s="24" t="n">
        <v>1583</v>
      </c>
      <c r="C1589" s="61" t="n"/>
      <c r="D1589" s="27" t="n"/>
      <c r="E1589" s="27" t="n"/>
      <c r="F1589" s="27" t="n"/>
      <c r="G1589" s="27" t="n"/>
      <c r="H1589" s="62" t="n"/>
      <c r="I1589" s="31" t="n"/>
      <c r="J1589" s="31" t="n"/>
      <c r="K1589" s="31" t="n"/>
      <c r="L1589" s="31" t="n"/>
      <c r="M1589" s="1" t="n"/>
    </row>
    <row r="1590">
      <c r="A1590" s="1" t="n"/>
      <c r="B1590" s="24" t="n">
        <v>1584</v>
      </c>
      <c r="C1590" s="61" t="n"/>
      <c r="D1590" s="27" t="n"/>
      <c r="E1590" s="27" t="n"/>
      <c r="F1590" s="27" t="n"/>
      <c r="G1590" s="27" t="n"/>
      <c r="H1590" s="62" t="n"/>
      <c r="I1590" s="31" t="n"/>
      <c r="J1590" s="31" t="n"/>
      <c r="K1590" s="31" t="n"/>
      <c r="L1590" s="31" t="n"/>
      <c r="M1590" s="1" t="n"/>
    </row>
    <row r="1591">
      <c r="A1591" s="1" t="n"/>
      <c r="B1591" s="24" t="n">
        <v>1585</v>
      </c>
      <c r="C1591" s="61" t="n"/>
      <c r="D1591" s="27" t="n"/>
      <c r="E1591" s="27" t="n"/>
      <c r="F1591" s="27" t="n"/>
      <c r="G1591" s="27" t="n"/>
      <c r="H1591" s="62" t="n"/>
      <c r="I1591" s="31" t="n"/>
      <c r="J1591" s="31" t="n"/>
      <c r="K1591" s="31" t="n"/>
      <c r="L1591" s="31" t="n"/>
      <c r="M1591" s="1" t="n"/>
    </row>
    <row r="1592">
      <c r="A1592" s="1" t="n"/>
      <c r="B1592" s="24" t="n">
        <v>1586</v>
      </c>
      <c r="C1592" s="61" t="n"/>
      <c r="D1592" s="27" t="n"/>
      <c r="E1592" s="27" t="n"/>
      <c r="F1592" s="27" t="n"/>
      <c r="G1592" s="27" t="n"/>
      <c r="H1592" s="62" t="n"/>
      <c r="I1592" s="31" t="n"/>
      <c r="J1592" s="31" t="n"/>
      <c r="K1592" s="31" t="n"/>
      <c r="L1592" s="31" t="n"/>
      <c r="M1592" s="1" t="n"/>
    </row>
    <row r="1593">
      <c r="A1593" s="1" t="n"/>
      <c r="B1593" s="24" t="n">
        <v>1587</v>
      </c>
      <c r="C1593" s="61" t="n"/>
      <c r="D1593" s="27" t="n"/>
      <c r="E1593" s="27" t="n"/>
      <c r="F1593" s="27" t="n"/>
      <c r="G1593" s="27" t="n"/>
      <c r="H1593" s="62" t="n"/>
      <c r="I1593" s="31" t="n"/>
      <c r="J1593" s="31" t="n"/>
      <c r="K1593" s="31" t="n"/>
      <c r="L1593" s="31" t="n"/>
      <c r="M1593" s="1" t="n"/>
    </row>
    <row r="1594">
      <c r="A1594" s="1" t="n"/>
      <c r="B1594" s="24" t="n">
        <v>1588</v>
      </c>
      <c r="C1594" s="61" t="n"/>
      <c r="D1594" s="27" t="n"/>
      <c r="E1594" s="27" t="n"/>
      <c r="F1594" s="27" t="n"/>
      <c r="G1594" s="27" t="n"/>
      <c r="H1594" s="62" t="n"/>
      <c r="I1594" s="31" t="n"/>
      <c r="J1594" s="31" t="n"/>
      <c r="K1594" s="31" t="n"/>
      <c r="L1594" s="31" t="n"/>
      <c r="M1594" s="1" t="n"/>
    </row>
    <row r="1595">
      <c r="A1595" s="1" t="n"/>
      <c r="B1595" s="24" t="n">
        <v>1589</v>
      </c>
      <c r="C1595" s="61" t="n"/>
      <c r="D1595" s="27" t="n"/>
      <c r="E1595" s="27" t="n"/>
      <c r="F1595" s="27" t="n"/>
      <c r="G1595" s="27" t="n"/>
      <c r="H1595" s="62" t="n"/>
      <c r="I1595" s="31" t="n"/>
      <c r="J1595" s="31" t="n"/>
      <c r="K1595" s="31" t="n"/>
      <c r="L1595" s="31" t="n"/>
      <c r="M1595" s="1" t="n"/>
    </row>
    <row r="1596">
      <c r="A1596" s="1" t="n"/>
      <c r="B1596" s="24" t="n">
        <v>1590</v>
      </c>
      <c r="C1596" s="61" t="n"/>
      <c r="D1596" s="27" t="n"/>
      <c r="E1596" s="27" t="n"/>
      <c r="F1596" s="27" t="n"/>
      <c r="G1596" s="27" t="n"/>
      <c r="H1596" s="62" t="n"/>
      <c r="I1596" s="31" t="n"/>
      <c r="J1596" s="31" t="n"/>
      <c r="K1596" s="31" t="n"/>
      <c r="L1596" s="31" t="n"/>
      <c r="M1596" s="1" t="n"/>
    </row>
    <row r="1597">
      <c r="A1597" s="1" t="n"/>
      <c r="B1597" s="24" t="n">
        <v>1591</v>
      </c>
      <c r="C1597" s="61" t="n"/>
      <c r="D1597" s="27" t="n"/>
      <c r="E1597" s="27" t="n"/>
      <c r="F1597" s="27" t="n"/>
      <c r="G1597" s="27" t="n"/>
      <c r="H1597" s="62" t="n"/>
      <c r="I1597" s="31" t="n"/>
      <c r="J1597" s="31" t="n"/>
      <c r="K1597" s="31" t="n"/>
      <c r="L1597" s="31" t="n"/>
      <c r="M1597" s="1" t="n"/>
    </row>
    <row r="1598">
      <c r="A1598" s="1" t="n"/>
      <c r="B1598" s="24" t="n">
        <v>1592</v>
      </c>
      <c r="C1598" s="61" t="n"/>
      <c r="D1598" s="27" t="n"/>
      <c r="E1598" s="27" t="n"/>
      <c r="F1598" s="27" t="n"/>
      <c r="G1598" s="27" t="n"/>
      <c r="H1598" s="62" t="n"/>
      <c r="I1598" s="31" t="n"/>
      <c r="J1598" s="31" t="n"/>
      <c r="K1598" s="31" t="n"/>
      <c r="L1598" s="31" t="n"/>
      <c r="M1598" s="1" t="n"/>
    </row>
    <row r="1599">
      <c r="A1599" s="1" t="n"/>
      <c r="B1599" s="24" t="n">
        <v>1593</v>
      </c>
      <c r="C1599" s="61" t="n"/>
      <c r="D1599" s="27" t="n"/>
      <c r="E1599" s="27" t="n"/>
      <c r="F1599" s="27" t="n"/>
      <c r="G1599" s="27" t="n"/>
      <c r="H1599" s="62" t="n"/>
      <c r="I1599" s="31" t="n"/>
      <c r="J1599" s="31" t="n"/>
      <c r="K1599" s="31" t="n"/>
      <c r="L1599" s="31" t="n"/>
      <c r="M1599" s="1" t="n"/>
    </row>
    <row r="1600">
      <c r="A1600" s="1" t="n"/>
      <c r="B1600" s="24" t="n">
        <v>1594</v>
      </c>
      <c r="C1600" s="61" t="n"/>
      <c r="D1600" s="27" t="n"/>
      <c r="E1600" s="27" t="n"/>
      <c r="F1600" s="27" t="n"/>
      <c r="G1600" s="27" t="n"/>
      <c r="H1600" s="62" t="n"/>
      <c r="I1600" s="31" t="n"/>
      <c r="J1600" s="31" t="n"/>
      <c r="K1600" s="31" t="n"/>
      <c r="L1600" s="31" t="n"/>
      <c r="M1600" s="1" t="n"/>
    </row>
    <row r="1601">
      <c r="A1601" s="1" t="n"/>
      <c r="B1601" s="24" t="n">
        <v>1595</v>
      </c>
      <c r="C1601" s="61" t="n"/>
      <c r="D1601" s="27" t="n"/>
      <c r="E1601" s="27" t="n"/>
      <c r="F1601" s="27" t="n"/>
      <c r="G1601" s="27" t="n"/>
      <c r="H1601" s="62" t="n"/>
      <c r="I1601" s="31" t="n"/>
      <c r="J1601" s="31" t="n"/>
      <c r="K1601" s="31" t="n"/>
      <c r="L1601" s="31" t="n"/>
      <c r="M1601" s="1" t="n"/>
    </row>
    <row r="1602">
      <c r="A1602" s="1" t="n"/>
      <c r="B1602" s="24" t="n">
        <v>1596</v>
      </c>
      <c r="C1602" s="61" t="n"/>
      <c r="D1602" s="27" t="n"/>
      <c r="E1602" s="27" t="n"/>
      <c r="F1602" s="27" t="n"/>
      <c r="G1602" s="27" t="n"/>
      <c r="H1602" s="62" t="n"/>
      <c r="I1602" s="31" t="n"/>
      <c r="J1602" s="31" t="n"/>
      <c r="K1602" s="31" t="n"/>
      <c r="L1602" s="31" t="n"/>
      <c r="M1602" s="1" t="n"/>
    </row>
    <row r="1603">
      <c r="A1603" s="1" t="n"/>
      <c r="B1603" s="24" t="n">
        <v>1597</v>
      </c>
      <c r="C1603" s="61" t="n"/>
      <c r="D1603" s="27" t="n"/>
      <c r="E1603" s="27" t="n"/>
      <c r="F1603" s="27" t="n"/>
      <c r="G1603" s="27" t="n"/>
      <c r="H1603" s="62" t="n"/>
      <c r="I1603" s="31" t="n"/>
      <c r="J1603" s="31" t="n"/>
      <c r="K1603" s="31" t="n"/>
      <c r="L1603" s="31" t="n"/>
      <c r="M1603" s="1" t="n"/>
    </row>
    <row r="1604">
      <c r="A1604" s="1" t="n"/>
      <c r="B1604" s="24" t="n">
        <v>1598</v>
      </c>
      <c r="C1604" s="61" t="n"/>
      <c r="D1604" s="27" t="n"/>
      <c r="E1604" s="27" t="n"/>
      <c r="F1604" s="27" t="n"/>
      <c r="G1604" s="27" t="n"/>
      <c r="H1604" s="62" t="n"/>
      <c r="I1604" s="31" t="n"/>
      <c r="J1604" s="31" t="n"/>
      <c r="K1604" s="31" t="n"/>
      <c r="L1604" s="31" t="n"/>
      <c r="M1604" s="1" t="n"/>
    </row>
    <row r="1605">
      <c r="A1605" s="1" t="n"/>
      <c r="B1605" s="24" t="n">
        <v>1599</v>
      </c>
      <c r="C1605" s="61" t="n"/>
      <c r="D1605" s="27" t="n"/>
      <c r="E1605" s="27" t="n"/>
      <c r="F1605" s="27" t="n"/>
      <c r="G1605" s="27" t="n"/>
      <c r="H1605" s="62" t="n"/>
      <c r="I1605" s="31" t="n"/>
      <c r="J1605" s="31" t="n"/>
      <c r="K1605" s="31" t="n"/>
      <c r="L1605" s="31" t="n"/>
      <c r="M1605" s="1" t="n"/>
    </row>
    <row r="1606">
      <c r="A1606" s="1" t="n"/>
      <c r="B1606" s="24" t="n">
        <v>1600</v>
      </c>
      <c r="C1606" s="61" t="n"/>
      <c r="D1606" s="27" t="n"/>
      <c r="E1606" s="27" t="n"/>
      <c r="F1606" s="27" t="n"/>
      <c r="G1606" s="27" t="n"/>
      <c r="H1606" s="62" t="n"/>
      <c r="I1606" s="31" t="n"/>
      <c r="J1606" s="31" t="n"/>
      <c r="K1606" s="31" t="n"/>
      <c r="L1606" s="31" t="n"/>
      <c r="M1606" s="1" t="n"/>
    </row>
    <row r="1607">
      <c r="A1607" s="1" t="n"/>
      <c r="B1607" s="24" t="n">
        <v>1601</v>
      </c>
      <c r="C1607" s="61" t="n"/>
      <c r="D1607" s="27" t="n"/>
      <c r="E1607" s="27" t="n"/>
      <c r="F1607" s="27" t="n"/>
      <c r="G1607" s="27" t="n"/>
      <c r="H1607" s="62" t="n"/>
      <c r="I1607" s="31" t="n"/>
      <c r="J1607" s="31" t="n"/>
      <c r="K1607" s="31" t="n"/>
      <c r="L1607" s="31" t="n"/>
      <c r="M1607" s="1" t="n"/>
    </row>
    <row r="1608">
      <c r="A1608" s="1" t="n"/>
      <c r="B1608" s="24" t="n">
        <v>1602</v>
      </c>
      <c r="C1608" s="61" t="n"/>
      <c r="D1608" s="27" t="n"/>
      <c r="E1608" s="27" t="n"/>
      <c r="F1608" s="27" t="n"/>
      <c r="G1608" s="27" t="n"/>
      <c r="H1608" s="62" t="n"/>
      <c r="I1608" s="31" t="n"/>
      <c r="J1608" s="31" t="n"/>
      <c r="K1608" s="31" t="n"/>
      <c r="L1608" s="31" t="n"/>
      <c r="M1608" s="1" t="n"/>
    </row>
    <row r="1609">
      <c r="A1609" s="1" t="n"/>
      <c r="B1609" s="24" t="n">
        <v>1603</v>
      </c>
      <c r="C1609" s="61" t="n"/>
      <c r="D1609" s="27" t="n"/>
      <c r="E1609" s="27" t="n"/>
      <c r="F1609" s="27" t="n"/>
      <c r="G1609" s="27" t="n"/>
      <c r="H1609" s="62" t="n"/>
      <c r="I1609" s="31" t="n"/>
      <c r="J1609" s="31" t="n"/>
      <c r="K1609" s="31" t="n"/>
      <c r="L1609" s="31" t="n"/>
      <c r="M1609" s="1" t="n"/>
    </row>
    <row r="1610">
      <c r="A1610" s="1" t="n"/>
      <c r="B1610" s="24" t="n">
        <v>1604</v>
      </c>
      <c r="C1610" s="61" t="n"/>
      <c r="D1610" s="27" t="n"/>
      <c r="E1610" s="27" t="n"/>
      <c r="F1610" s="27" t="n"/>
      <c r="G1610" s="27" t="n"/>
      <c r="H1610" s="62" t="n"/>
      <c r="I1610" s="31" t="n"/>
      <c r="J1610" s="31" t="n"/>
      <c r="K1610" s="31" t="n"/>
      <c r="L1610" s="31" t="n"/>
      <c r="M1610" s="1" t="n"/>
    </row>
    <row r="1611">
      <c r="A1611" s="1" t="n"/>
      <c r="B1611" s="24" t="n">
        <v>1605</v>
      </c>
      <c r="C1611" s="61" t="n"/>
      <c r="D1611" s="27" t="n"/>
      <c r="E1611" s="27" t="n"/>
      <c r="F1611" s="27" t="n"/>
      <c r="G1611" s="27" t="n"/>
      <c r="H1611" s="62" t="n"/>
      <c r="I1611" s="31" t="n"/>
      <c r="J1611" s="31" t="n"/>
      <c r="K1611" s="31" t="n"/>
      <c r="L1611" s="31" t="n"/>
      <c r="M1611" s="1" t="n"/>
    </row>
    <row r="1612">
      <c r="A1612" s="1" t="n"/>
      <c r="B1612" s="24" t="n">
        <v>1606</v>
      </c>
      <c r="C1612" s="61" t="n"/>
      <c r="D1612" s="27" t="n"/>
      <c r="E1612" s="27" t="n"/>
      <c r="F1612" s="27" t="n"/>
      <c r="G1612" s="27" t="n"/>
      <c r="H1612" s="62" t="n"/>
      <c r="I1612" s="31" t="n"/>
      <c r="J1612" s="31" t="n"/>
      <c r="K1612" s="31" t="n"/>
      <c r="L1612" s="31" t="n"/>
      <c r="M1612" s="1" t="n"/>
    </row>
    <row r="1613">
      <c r="A1613" s="1" t="n"/>
      <c r="B1613" s="24" t="n">
        <v>1607</v>
      </c>
      <c r="C1613" s="61" t="n"/>
      <c r="D1613" s="27" t="n"/>
      <c r="E1613" s="27" t="n"/>
      <c r="F1613" s="27" t="n"/>
      <c r="G1613" s="27" t="n"/>
      <c r="H1613" s="62" t="n"/>
      <c r="I1613" s="31" t="n"/>
      <c r="J1613" s="31" t="n"/>
      <c r="K1613" s="31" t="n"/>
      <c r="L1613" s="31" t="n"/>
      <c r="M1613" s="1" t="n"/>
    </row>
    <row r="1614">
      <c r="A1614" s="1" t="n"/>
      <c r="B1614" s="24" t="n">
        <v>1608</v>
      </c>
      <c r="C1614" s="61" t="n"/>
      <c r="D1614" s="27" t="n"/>
      <c r="E1614" s="27" t="n"/>
      <c r="F1614" s="27" t="n"/>
      <c r="G1614" s="27" t="n"/>
      <c r="H1614" s="62" t="n"/>
      <c r="I1614" s="31" t="n"/>
      <c r="J1614" s="31" t="n"/>
      <c r="K1614" s="31" t="n"/>
      <c r="L1614" s="31" t="n"/>
      <c r="M1614" s="1" t="n"/>
    </row>
    <row r="1615">
      <c r="A1615" s="1" t="n"/>
      <c r="B1615" s="24" t="n">
        <v>1609</v>
      </c>
      <c r="C1615" s="61" t="n"/>
      <c r="D1615" s="27" t="n"/>
      <c r="E1615" s="27" t="n"/>
      <c r="F1615" s="27" t="n"/>
      <c r="G1615" s="27" t="n"/>
      <c r="H1615" s="62" t="n"/>
      <c r="I1615" s="31" t="n"/>
      <c r="J1615" s="31" t="n"/>
      <c r="K1615" s="31" t="n"/>
      <c r="L1615" s="31" t="n"/>
      <c r="M1615" s="1" t="n"/>
    </row>
    <row r="1616">
      <c r="A1616" s="1" t="n"/>
      <c r="B1616" s="24" t="n">
        <v>1610</v>
      </c>
      <c r="C1616" s="61" t="n"/>
      <c r="D1616" s="27" t="n"/>
      <c r="E1616" s="27" t="n"/>
      <c r="F1616" s="27" t="n"/>
      <c r="G1616" s="27" t="n"/>
      <c r="H1616" s="62" t="n"/>
      <c r="I1616" s="31" t="n"/>
      <c r="J1616" s="31" t="n"/>
      <c r="K1616" s="31" t="n"/>
      <c r="L1616" s="31" t="n"/>
      <c r="M1616" s="1" t="n"/>
    </row>
    <row r="1617">
      <c r="A1617" s="1" t="n"/>
      <c r="B1617" s="24" t="n">
        <v>1611</v>
      </c>
      <c r="C1617" s="61" t="n"/>
      <c r="D1617" s="27" t="n"/>
      <c r="E1617" s="27" t="n"/>
      <c r="F1617" s="27" t="n"/>
      <c r="G1617" s="27" t="n"/>
      <c r="H1617" s="62" t="n"/>
      <c r="I1617" s="31" t="n"/>
      <c r="J1617" s="31" t="n"/>
      <c r="K1617" s="31" t="n"/>
      <c r="L1617" s="31" t="n"/>
      <c r="M1617" s="1" t="n"/>
    </row>
    <row r="1618">
      <c r="A1618" s="1" t="n"/>
      <c r="B1618" s="24" t="n">
        <v>1612</v>
      </c>
      <c r="C1618" s="61" t="n"/>
      <c r="D1618" s="27" t="n"/>
      <c r="E1618" s="27" t="n"/>
      <c r="F1618" s="27" t="n"/>
      <c r="G1618" s="27" t="n"/>
      <c r="H1618" s="62" t="n"/>
      <c r="I1618" s="31" t="n"/>
      <c r="J1618" s="31" t="n"/>
      <c r="K1618" s="31" t="n"/>
      <c r="L1618" s="31" t="n"/>
      <c r="M1618" s="1" t="n"/>
    </row>
    <row r="1619">
      <c r="A1619" s="1" t="n"/>
      <c r="B1619" s="24" t="n">
        <v>1613</v>
      </c>
      <c r="C1619" s="61" t="n"/>
      <c r="D1619" s="27" t="n"/>
      <c r="E1619" s="27" t="n"/>
      <c r="F1619" s="27" t="n"/>
      <c r="G1619" s="27" t="n"/>
      <c r="H1619" s="62" t="n"/>
      <c r="I1619" s="31" t="n"/>
      <c r="J1619" s="31" t="n"/>
      <c r="K1619" s="31" t="n"/>
      <c r="L1619" s="31" t="n"/>
      <c r="M1619" s="1" t="n"/>
    </row>
    <row r="1620">
      <c r="A1620" s="1" t="n"/>
      <c r="B1620" s="24" t="n">
        <v>1614</v>
      </c>
      <c r="C1620" s="61" t="n"/>
      <c r="D1620" s="27" t="n"/>
      <c r="E1620" s="27" t="n"/>
      <c r="F1620" s="27" t="n"/>
      <c r="G1620" s="27" t="n"/>
      <c r="H1620" s="62" t="n"/>
      <c r="I1620" s="31" t="n"/>
      <c r="J1620" s="31" t="n"/>
      <c r="K1620" s="31" t="n"/>
      <c r="L1620" s="31" t="n"/>
      <c r="M1620" s="1" t="n"/>
    </row>
    <row r="1621">
      <c r="A1621" s="1" t="n"/>
      <c r="B1621" s="24" t="n">
        <v>1615</v>
      </c>
      <c r="C1621" s="61" t="n"/>
      <c r="D1621" s="27" t="n"/>
      <c r="E1621" s="27" t="n"/>
      <c r="F1621" s="27" t="n"/>
      <c r="G1621" s="27" t="n"/>
      <c r="H1621" s="62" t="n"/>
      <c r="I1621" s="31" t="n"/>
      <c r="J1621" s="31" t="n"/>
      <c r="K1621" s="31" t="n"/>
      <c r="L1621" s="31" t="n"/>
      <c r="M1621" s="1" t="n"/>
    </row>
    <row r="1622">
      <c r="A1622" s="1" t="n"/>
      <c r="B1622" s="24" t="n">
        <v>1616</v>
      </c>
      <c r="C1622" s="61" t="n"/>
      <c r="D1622" s="27" t="n"/>
      <c r="E1622" s="27" t="n"/>
      <c r="F1622" s="27" t="n"/>
      <c r="G1622" s="27" t="n"/>
      <c r="H1622" s="62" t="n"/>
      <c r="I1622" s="31" t="n"/>
      <c r="J1622" s="31" t="n"/>
      <c r="K1622" s="31" t="n"/>
      <c r="L1622" s="31" t="n"/>
      <c r="M1622" s="1" t="n"/>
    </row>
    <row r="1623">
      <c r="A1623" s="1" t="n"/>
      <c r="B1623" s="24" t="n">
        <v>1617</v>
      </c>
      <c r="C1623" s="61" t="n"/>
      <c r="D1623" s="27" t="n"/>
      <c r="E1623" s="27" t="n"/>
      <c r="F1623" s="27" t="n"/>
      <c r="G1623" s="27" t="n"/>
      <c r="H1623" s="62" t="n"/>
      <c r="I1623" s="31" t="n"/>
      <c r="J1623" s="31" t="n"/>
      <c r="K1623" s="31" t="n"/>
      <c r="L1623" s="31" t="n"/>
      <c r="M1623" s="1" t="n"/>
    </row>
    <row r="1624">
      <c r="A1624" s="1" t="n"/>
      <c r="B1624" s="24" t="n">
        <v>1618</v>
      </c>
      <c r="C1624" s="61" t="n"/>
      <c r="D1624" s="27" t="n"/>
      <c r="E1624" s="27" t="n"/>
      <c r="F1624" s="27" t="n"/>
      <c r="G1624" s="27" t="n"/>
      <c r="H1624" s="62" t="n"/>
      <c r="I1624" s="31" t="n"/>
      <c r="J1624" s="31" t="n"/>
      <c r="K1624" s="31" t="n"/>
      <c r="L1624" s="31" t="n"/>
      <c r="M1624" s="1" t="n"/>
    </row>
    <row r="1625">
      <c r="A1625" s="1" t="n"/>
      <c r="B1625" s="24" t="n">
        <v>1619</v>
      </c>
      <c r="C1625" s="61" t="n"/>
      <c r="D1625" s="27" t="n"/>
      <c r="E1625" s="27" t="n"/>
      <c r="F1625" s="27" t="n"/>
      <c r="G1625" s="27" t="n"/>
      <c r="H1625" s="62" t="n"/>
      <c r="I1625" s="31" t="n"/>
      <c r="J1625" s="31" t="n"/>
      <c r="K1625" s="31" t="n"/>
      <c r="L1625" s="31" t="n"/>
      <c r="M1625" s="1" t="n"/>
    </row>
    <row r="1626">
      <c r="A1626" s="1" t="n"/>
      <c r="B1626" s="24" t="n">
        <v>1620</v>
      </c>
      <c r="C1626" s="61" t="n"/>
      <c r="D1626" s="27" t="n"/>
      <c r="E1626" s="27" t="n"/>
      <c r="F1626" s="27" t="n"/>
      <c r="G1626" s="27" t="n"/>
      <c r="H1626" s="62" t="n"/>
      <c r="I1626" s="31" t="n"/>
      <c r="J1626" s="31" t="n"/>
      <c r="K1626" s="31" t="n"/>
      <c r="L1626" s="31" t="n"/>
      <c r="M1626" s="1" t="n"/>
    </row>
    <row r="1627">
      <c r="A1627" s="1" t="n"/>
      <c r="B1627" s="24" t="n">
        <v>1621</v>
      </c>
      <c r="C1627" s="61" t="n"/>
      <c r="D1627" s="27" t="n"/>
      <c r="E1627" s="27" t="n"/>
      <c r="F1627" s="27" t="n"/>
      <c r="G1627" s="27" t="n"/>
      <c r="H1627" s="62" t="n"/>
      <c r="I1627" s="31" t="n"/>
      <c r="J1627" s="31" t="n"/>
      <c r="K1627" s="31" t="n"/>
      <c r="L1627" s="31" t="n"/>
      <c r="M1627" s="1" t="n"/>
    </row>
    <row r="1628">
      <c r="A1628" s="1" t="n"/>
      <c r="B1628" s="24" t="n">
        <v>1622</v>
      </c>
      <c r="C1628" s="61" t="n"/>
      <c r="D1628" s="27" t="n"/>
      <c r="E1628" s="27" t="n"/>
      <c r="F1628" s="27" t="n"/>
      <c r="G1628" s="27" t="n"/>
      <c r="H1628" s="62" t="n"/>
      <c r="I1628" s="31" t="n"/>
      <c r="J1628" s="31" t="n"/>
      <c r="K1628" s="31" t="n"/>
      <c r="L1628" s="31" t="n"/>
      <c r="M1628" s="1" t="n"/>
    </row>
    <row r="1629">
      <c r="A1629" s="1" t="n"/>
      <c r="B1629" s="24" t="n">
        <v>1623</v>
      </c>
      <c r="C1629" s="61" t="n"/>
      <c r="D1629" s="27" t="n"/>
      <c r="E1629" s="27" t="n"/>
      <c r="F1629" s="27" t="n"/>
      <c r="G1629" s="27" t="n"/>
      <c r="H1629" s="62" t="n"/>
      <c r="I1629" s="31" t="n"/>
      <c r="J1629" s="31" t="n"/>
      <c r="K1629" s="31" t="n"/>
      <c r="L1629" s="31" t="n"/>
      <c r="M1629" s="1" t="n"/>
    </row>
    <row r="1630">
      <c r="A1630" s="1" t="n"/>
      <c r="B1630" s="24" t="n">
        <v>1624</v>
      </c>
      <c r="C1630" s="61" t="n"/>
      <c r="D1630" s="27" t="n"/>
      <c r="E1630" s="27" t="n"/>
      <c r="F1630" s="27" t="n"/>
      <c r="G1630" s="27" t="n"/>
      <c r="H1630" s="62" t="n"/>
      <c r="I1630" s="31" t="n"/>
      <c r="J1630" s="31" t="n"/>
      <c r="K1630" s="31" t="n"/>
      <c r="L1630" s="31" t="n"/>
      <c r="M1630" s="1" t="n"/>
    </row>
    <row r="1631">
      <c r="A1631" s="1" t="n"/>
      <c r="B1631" s="24" t="n">
        <v>1625</v>
      </c>
      <c r="C1631" s="61" t="n"/>
      <c r="D1631" s="27" t="n"/>
      <c r="E1631" s="27" t="n"/>
      <c r="F1631" s="27" t="n"/>
      <c r="G1631" s="27" t="n"/>
      <c r="H1631" s="62" t="n"/>
      <c r="I1631" s="31" t="n"/>
      <c r="J1631" s="31" t="n"/>
      <c r="K1631" s="31" t="n"/>
      <c r="L1631" s="31" t="n"/>
      <c r="M1631" s="1" t="n"/>
    </row>
    <row r="1632">
      <c r="A1632" s="1" t="n"/>
      <c r="B1632" s="24" t="n">
        <v>1626</v>
      </c>
      <c r="C1632" s="61" t="n"/>
      <c r="D1632" s="27" t="n"/>
      <c r="E1632" s="27" t="n"/>
      <c r="F1632" s="27" t="n"/>
      <c r="G1632" s="27" t="n"/>
      <c r="H1632" s="62" t="n"/>
      <c r="I1632" s="31" t="n"/>
      <c r="J1632" s="31" t="n"/>
      <c r="K1632" s="31" t="n"/>
      <c r="L1632" s="31" t="n"/>
      <c r="M1632" s="1" t="n"/>
    </row>
    <row r="1633">
      <c r="A1633" s="1" t="n"/>
      <c r="B1633" s="24" t="n">
        <v>1627</v>
      </c>
      <c r="C1633" s="61" t="n"/>
      <c r="D1633" s="27" t="n"/>
      <c r="E1633" s="27" t="n"/>
      <c r="F1633" s="27" t="n"/>
      <c r="G1633" s="27" t="n"/>
      <c r="H1633" s="62" t="n"/>
      <c r="I1633" s="31" t="n"/>
      <c r="J1633" s="31" t="n"/>
      <c r="K1633" s="31" t="n"/>
      <c r="L1633" s="31" t="n"/>
      <c r="M1633" s="1" t="n"/>
    </row>
    <row r="1634">
      <c r="A1634" s="1" t="n"/>
      <c r="B1634" s="24" t="n">
        <v>1628</v>
      </c>
      <c r="C1634" s="61" t="n"/>
      <c r="D1634" s="27" t="n"/>
      <c r="E1634" s="27" t="n"/>
      <c r="F1634" s="27" t="n"/>
      <c r="G1634" s="27" t="n"/>
      <c r="H1634" s="62" t="n"/>
      <c r="I1634" s="31" t="n"/>
      <c r="J1634" s="31" t="n"/>
      <c r="K1634" s="31" t="n"/>
      <c r="L1634" s="31" t="n"/>
      <c r="M1634" s="1" t="n"/>
    </row>
    <row r="1635">
      <c r="A1635" s="1" t="n"/>
      <c r="B1635" s="24" t="n">
        <v>1629</v>
      </c>
      <c r="C1635" s="61" t="n"/>
      <c r="D1635" s="27" t="n"/>
      <c r="E1635" s="27" t="n"/>
      <c r="F1635" s="27" t="n"/>
      <c r="G1635" s="27" t="n"/>
      <c r="H1635" s="62" t="n"/>
      <c r="I1635" s="31" t="n"/>
      <c r="J1635" s="31" t="n"/>
      <c r="K1635" s="31" t="n"/>
      <c r="L1635" s="31" t="n"/>
      <c r="M1635" s="1" t="n"/>
    </row>
    <row r="1636">
      <c r="A1636" s="1" t="n"/>
      <c r="B1636" s="24" t="n">
        <v>1630</v>
      </c>
      <c r="C1636" s="61" t="n"/>
      <c r="D1636" s="27" t="n"/>
      <c r="E1636" s="27" t="n"/>
      <c r="F1636" s="27" t="n"/>
      <c r="G1636" s="27" t="n"/>
      <c r="H1636" s="62" t="n"/>
      <c r="I1636" s="31" t="n"/>
      <c r="J1636" s="31" t="n"/>
      <c r="K1636" s="31" t="n"/>
      <c r="L1636" s="31" t="n"/>
      <c r="M1636" s="1" t="n"/>
    </row>
    <row r="1637">
      <c r="A1637" s="1" t="n"/>
      <c r="B1637" s="24" t="n">
        <v>1631</v>
      </c>
      <c r="C1637" s="61" t="n"/>
      <c r="D1637" s="27" t="n"/>
      <c r="E1637" s="27" t="n"/>
      <c r="F1637" s="27" t="n"/>
      <c r="G1637" s="27" t="n"/>
      <c r="H1637" s="62" t="n"/>
      <c r="I1637" s="31" t="n"/>
      <c r="J1637" s="31" t="n"/>
      <c r="K1637" s="31" t="n"/>
      <c r="L1637" s="31" t="n"/>
      <c r="M1637" s="1" t="n"/>
    </row>
    <row r="1638">
      <c r="A1638" s="1" t="n"/>
      <c r="B1638" s="24" t="n">
        <v>1632</v>
      </c>
      <c r="C1638" s="61" t="n"/>
      <c r="D1638" s="27" t="n"/>
      <c r="E1638" s="27" t="n"/>
      <c r="F1638" s="27" t="n"/>
      <c r="G1638" s="27" t="n"/>
      <c r="H1638" s="62" t="n"/>
      <c r="I1638" s="31" t="n"/>
      <c r="J1638" s="31" t="n"/>
      <c r="K1638" s="31" t="n"/>
      <c r="L1638" s="31" t="n"/>
      <c r="M1638" s="1" t="n"/>
    </row>
    <row r="1639">
      <c r="A1639" s="1" t="n"/>
      <c r="B1639" s="24" t="n">
        <v>1633</v>
      </c>
      <c r="C1639" s="61" t="n"/>
      <c r="D1639" s="27" t="n"/>
      <c r="E1639" s="27" t="n"/>
      <c r="F1639" s="27" t="n"/>
      <c r="G1639" s="27" t="n"/>
      <c r="H1639" s="62" t="n"/>
      <c r="I1639" s="31" t="n"/>
      <c r="J1639" s="31" t="n"/>
      <c r="K1639" s="31" t="n"/>
      <c r="L1639" s="31" t="n"/>
      <c r="M1639" s="1" t="n"/>
    </row>
    <row r="1640">
      <c r="A1640" s="1" t="n"/>
      <c r="B1640" s="24" t="n">
        <v>1634</v>
      </c>
      <c r="C1640" s="61" t="n"/>
      <c r="D1640" s="27" t="n"/>
      <c r="E1640" s="27" t="n"/>
      <c r="F1640" s="27" t="n"/>
      <c r="G1640" s="27" t="n"/>
      <c r="H1640" s="62" t="n"/>
      <c r="I1640" s="31" t="n"/>
      <c r="J1640" s="31" t="n"/>
      <c r="K1640" s="31" t="n"/>
      <c r="L1640" s="31" t="n"/>
      <c r="M1640" s="1" t="n"/>
    </row>
    <row r="1641">
      <c r="A1641" s="1" t="n"/>
      <c r="B1641" s="24" t="n">
        <v>1635</v>
      </c>
      <c r="C1641" s="61" t="n"/>
      <c r="D1641" s="27" t="n"/>
      <c r="E1641" s="27" t="n"/>
      <c r="F1641" s="27" t="n"/>
      <c r="G1641" s="27" t="n"/>
      <c r="H1641" s="62" t="n"/>
      <c r="I1641" s="31" t="n"/>
      <c r="J1641" s="31" t="n"/>
      <c r="K1641" s="31" t="n"/>
      <c r="L1641" s="31" t="n"/>
      <c r="M1641" s="1" t="n"/>
    </row>
    <row r="1642">
      <c r="A1642" s="1" t="n"/>
      <c r="B1642" s="24" t="n">
        <v>1636</v>
      </c>
      <c r="C1642" s="61" t="n"/>
      <c r="D1642" s="27" t="n"/>
      <c r="E1642" s="27" t="n"/>
      <c r="F1642" s="27" t="n"/>
      <c r="G1642" s="27" t="n"/>
      <c r="H1642" s="62" t="n"/>
      <c r="I1642" s="31" t="n"/>
      <c r="J1642" s="31" t="n"/>
      <c r="K1642" s="31" t="n"/>
      <c r="L1642" s="31" t="n"/>
      <c r="M1642" s="1" t="n"/>
    </row>
    <row r="1643">
      <c r="A1643" s="1" t="n"/>
      <c r="B1643" s="24" t="n">
        <v>1637</v>
      </c>
      <c r="C1643" s="61" t="n"/>
      <c r="D1643" s="27" t="n"/>
      <c r="E1643" s="27" t="n"/>
      <c r="F1643" s="27" t="n"/>
      <c r="G1643" s="27" t="n"/>
      <c r="H1643" s="62" t="n"/>
      <c r="I1643" s="31" t="n"/>
      <c r="J1643" s="31" t="n"/>
      <c r="K1643" s="31" t="n"/>
      <c r="L1643" s="31" t="n"/>
      <c r="M1643" s="1" t="n"/>
    </row>
    <row r="1644">
      <c r="A1644" s="1" t="n"/>
      <c r="B1644" s="24" t="n">
        <v>1638</v>
      </c>
      <c r="C1644" s="61" t="n"/>
      <c r="D1644" s="27" t="n"/>
      <c r="E1644" s="27" t="n"/>
      <c r="F1644" s="27" t="n"/>
      <c r="G1644" s="27" t="n"/>
      <c r="H1644" s="62" t="n"/>
      <c r="I1644" s="31" t="n"/>
      <c r="J1644" s="31" t="n"/>
      <c r="K1644" s="31" t="n"/>
      <c r="L1644" s="31" t="n"/>
      <c r="M1644" s="1" t="n"/>
    </row>
    <row r="1645">
      <c r="A1645" s="1" t="n"/>
      <c r="B1645" s="24" t="n">
        <v>1639</v>
      </c>
      <c r="C1645" s="61" t="n"/>
      <c r="D1645" s="27" t="n"/>
      <c r="E1645" s="27" t="n"/>
      <c r="F1645" s="27" t="n"/>
      <c r="G1645" s="27" t="n"/>
      <c r="H1645" s="62" t="n"/>
      <c r="I1645" s="31" t="n"/>
      <c r="J1645" s="31" t="n"/>
      <c r="K1645" s="31" t="n"/>
      <c r="L1645" s="31" t="n"/>
      <c r="M1645" s="1" t="n"/>
    </row>
    <row r="1646">
      <c r="A1646" s="1" t="n"/>
      <c r="B1646" s="24" t="n">
        <v>1640</v>
      </c>
      <c r="C1646" s="61" t="n"/>
      <c r="D1646" s="27" t="n"/>
      <c r="E1646" s="27" t="n"/>
      <c r="F1646" s="27" t="n"/>
      <c r="G1646" s="27" t="n"/>
      <c r="H1646" s="62" t="n"/>
      <c r="I1646" s="31" t="n"/>
      <c r="J1646" s="31" t="n"/>
      <c r="K1646" s="31" t="n"/>
      <c r="L1646" s="31" t="n"/>
      <c r="M1646" s="1" t="n"/>
    </row>
    <row r="1647">
      <c r="A1647" s="1" t="n"/>
      <c r="B1647" s="24" t="n">
        <v>1641</v>
      </c>
      <c r="C1647" s="61" t="n"/>
      <c r="D1647" s="27" t="n"/>
      <c r="E1647" s="27" t="n"/>
      <c r="F1647" s="27" t="n"/>
      <c r="G1647" s="27" t="n"/>
      <c r="H1647" s="62" t="n"/>
      <c r="I1647" s="31" t="n"/>
      <c r="J1647" s="31" t="n"/>
      <c r="K1647" s="31" t="n"/>
      <c r="L1647" s="31" t="n"/>
      <c r="M1647" s="1" t="n"/>
    </row>
    <row r="1648">
      <c r="A1648" s="1" t="n"/>
      <c r="B1648" s="24" t="n">
        <v>1642</v>
      </c>
      <c r="C1648" s="61" t="n"/>
      <c r="D1648" s="27" t="n"/>
      <c r="E1648" s="27" t="n"/>
      <c r="F1648" s="27" t="n"/>
      <c r="G1648" s="27" t="n"/>
      <c r="H1648" s="62" t="n"/>
      <c r="I1648" s="31" t="n"/>
      <c r="J1648" s="31" t="n"/>
      <c r="K1648" s="31" t="n"/>
      <c r="L1648" s="31" t="n"/>
      <c r="M1648" s="1" t="n"/>
    </row>
    <row r="1649">
      <c r="A1649" s="1" t="n"/>
      <c r="B1649" s="24" t="n">
        <v>1643</v>
      </c>
      <c r="C1649" s="61" t="n"/>
      <c r="D1649" s="27" t="n"/>
      <c r="E1649" s="27" t="n"/>
      <c r="F1649" s="27" t="n"/>
      <c r="G1649" s="27" t="n"/>
      <c r="H1649" s="62" t="n"/>
      <c r="I1649" s="31" t="n"/>
      <c r="J1649" s="31" t="n"/>
      <c r="K1649" s="31" t="n"/>
      <c r="L1649" s="31" t="n"/>
      <c r="M1649" s="1" t="n"/>
    </row>
    <row r="1650">
      <c r="A1650" s="1" t="n"/>
      <c r="B1650" s="24" t="n">
        <v>1644</v>
      </c>
      <c r="C1650" s="61" t="n"/>
      <c r="D1650" s="27" t="n"/>
      <c r="E1650" s="27" t="n"/>
      <c r="F1650" s="27" t="n"/>
      <c r="G1650" s="27" t="n"/>
      <c r="H1650" s="62" t="n"/>
      <c r="I1650" s="31" t="n"/>
      <c r="J1650" s="31" t="n"/>
      <c r="K1650" s="31" t="n"/>
      <c r="L1650" s="31" t="n"/>
      <c r="M1650" s="1" t="n"/>
    </row>
    <row r="1651">
      <c r="A1651" s="1" t="n"/>
      <c r="B1651" s="24" t="n">
        <v>1645</v>
      </c>
      <c r="C1651" s="61" t="n"/>
      <c r="D1651" s="27" t="n"/>
      <c r="E1651" s="27" t="n"/>
      <c r="F1651" s="27" t="n"/>
      <c r="G1651" s="27" t="n"/>
      <c r="H1651" s="62" t="n"/>
      <c r="I1651" s="31" t="n"/>
      <c r="J1651" s="31" t="n"/>
      <c r="K1651" s="31" t="n"/>
      <c r="L1651" s="31" t="n"/>
      <c r="M1651" s="1" t="n"/>
    </row>
    <row r="1652">
      <c r="A1652" s="1" t="n"/>
      <c r="B1652" s="24" t="n">
        <v>1646</v>
      </c>
      <c r="C1652" s="61" t="n"/>
      <c r="D1652" s="27" t="n"/>
      <c r="E1652" s="27" t="n"/>
      <c r="F1652" s="27" t="n"/>
      <c r="G1652" s="27" t="n"/>
      <c r="H1652" s="62" t="n"/>
      <c r="I1652" s="31" t="n"/>
      <c r="J1652" s="31" t="n"/>
      <c r="K1652" s="31" t="n"/>
      <c r="L1652" s="31" t="n"/>
      <c r="M1652" s="1" t="n"/>
    </row>
    <row r="1653">
      <c r="A1653" s="1" t="n"/>
      <c r="B1653" s="24" t="n">
        <v>1647</v>
      </c>
      <c r="C1653" s="61" t="n"/>
      <c r="D1653" s="27" t="n"/>
      <c r="E1653" s="27" t="n"/>
      <c r="F1653" s="27" t="n"/>
      <c r="G1653" s="27" t="n"/>
      <c r="H1653" s="62" t="n"/>
      <c r="I1653" s="31" t="n"/>
      <c r="J1653" s="31" t="n"/>
      <c r="K1653" s="31" t="n"/>
      <c r="L1653" s="31" t="n"/>
      <c r="M1653" s="1" t="n"/>
    </row>
    <row r="1654">
      <c r="A1654" s="1" t="n"/>
      <c r="B1654" s="24" t="n">
        <v>1648</v>
      </c>
      <c r="C1654" s="61" t="n"/>
      <c r="D1654" s="27" t="n"/>
      <c r="E1654" s="27" t="n"/>
      <c r="F1654" s="27" t="n"/>
      <c r="G1654" s="27" t="n"/>
      <c r="H1654" s="62" t="n"/>
      <c r="I1654" s="31" t="n"/>
      <c r="J1654" s="31" t="n"/>
      <c r="K1654" s="31" t="n"/>
      <c r="L1654" s="31" t="n"/>
      <c r="M1654" s="1" t="n"/>
    </row>
    <row r="1655">
      <c r="A1655" s="1" t="n"/>
      <c r="B1655" s="24" t="n">
        <v>1649</v>
      </c>
      <c r="C1655" s="61" t="n"/>
      <c r="D1655" s="27" t="n"/>
      <c r="E1655" s="27" t="n"/>
      <c r="F1655" s="27" t="n"/>
      <c r="G1655" s="27" t="n"/>
      <c r="H1655" s="62" t="n"/>
      <c r="I1655" s="31" t="n"/>
      <c r="J1655" s="31" t="n"/>
      <c r="K1655" s="31" t="n"/>
      <c r="L1655" s="31" t="n"/>
      <c r="M1655" s="1" t="n"/>
    </row>
    <row r="1656">
      <c r="A1656" s="1" t="n"/>
      <c r="B1656" s="24" t="n">
        <v>1650</v>
      </c>
      <c r="C1656" s="61" t="n"/>
      <c r="D1656" s="27" t="n"/>
      <c r="E1656" s="27" t="n"/>
      <c r="F1656" s="27" t="n"/>
      <c r="G1656" s="27" t="n"/>
      <c r="H1656" s="62" t="n"/>
      <c r="I1656" s="31" t="n"/>
      <c r="J1656" s="31" t="n"/>
      <c r="K1656" s="31" t="n"/>
      <c r="L1656" s="31" t="n"/>
      <c r="M1656" s="1" t="n"/>
    </row>
    <row r="1657">
      <c r="A1657" s="1" t="n"/>
      <c r="B1657" s="24" t="n">
        <v>1651</v>
      </c>
      <c r="C1657" s="61" t="n"/>
      <c r="D1657" s="27" t="n"/>
      <c r="E1657" s="27" t="n"/>
      <c r="F1657" s="27" t="n"/>
      <c r="G1657" s="27" t="n"/>
      <c r="H1657" s="62" t="n"/>
      <c r="I1657" s="31" t="n"/>
      <c r="J1657" s="31" t="n"/>
      <c r="K1657" s="31" t="n"/>
      <c r="L1657" s="31" t="n"/>
      <c r="M1657" s="1" t="n"/>
    </row>
    <row r="1658">
      <c r="A1658" s="1" t="n"/>
      <c r="B1658" s="24" t="n">
        <v>1652</v>
      </c>
      <c r="C1658" s="61" t="n"/>
      <c r="D1658" s="27" t="n"/>
      <c r="E1658" s="27" t="n"/>
      <c r="F1658" s="27" t="n"/>
      <c r="G1658" s="27" t="n"/>
      <c r="H1658" s="62" t="n"/>
      <c r="I1658" s="31" t="n"/>
      <c r="J1658" s="31" t="n"/>
      <c r="K1658" s="31" t="n"/>
      <c r="L1658" s="31" t="n"/>
      <c r="M1658" s="1" t="n"/>
    </row>
    <row r="1659">
      <c r="A1659" s="1" t="n"/>
      <c r="B1659" s="24" t="n">
        <v>1653</v>
      </c>
      <c r="C1659" s="61" t="n"/>
      <c r="D1659" s="27" t="n"/>
      <c r="E1659" s="27" t="n"/>
      <c r="F1659" s="27" t="n"/>
      <c r="G1659" s="27" t="n"/>
      <c r="H1659" s="62" t="n"/>
      <c r="I1659" s="31" t="n"/>
      <c r="J1659" s="31" t="n"/>
      <c r="K1659" s="31" t="n"/>
      <c r="L1659" s="31" t="n"/>
      <c r="M1659" s="1" t="n"/>
    </row>
    <row r="1660">
      <c r="A1660" s="1" t="n"/>
      <c r="B1660" s="24" t="n">
        <v>1654</v>
      </c>
      <c r="C1660" s="61" t="n"/>
      <c r="D1660" s="27" t="n"/>
      <c r="E1660" s="27" t="n"/>
      <c r="F1660" s="27" t="n"/>
      <c r="G1660" s="27" t="n"/>
      <c r="H1660" s="62" t="n"/>
      <c r="I1660" s="31" t="n"/>
      <c r="J1660" s="31" t="n"/>
      <c r="K1660" s="31" t="n"/>
      <c r="L1660" s="31" t="n"/>
      <c r="M1660" s="1" t="n"/>
    </row>
    <row r="1661">
      <c r="A1661" s="1" t="n"/>
      <c r="B1661" s="24" t="n">
        <v>1655</v>
      </c>
      <c r="C1661" s="61" t="n"/>
      <c r="D1661" s="27" t="n"/>
      <c r="E1661" s="27" t="n"/>
      <c r="F1661" s="27" t="n"/>
      <c r="G1661" s="27" t="n"/>
      <c r="H1661" s="62" t="n"/>
      <c r="I1661" s="31" t="n"/>
      <c r="J1661" s="31" t="n"/>
      <c r="K1661" s="31" t="n"/>
      <c r="L1661" s="31" t="n"/>
      <c r="M1661" s="1" t="n"/>
    </row>
    <row r="1662">
      <c r="A1662" s="1" t="n"/>
      <c r="B1662" s="24" t="n">
        <v>1656</v>
      </c>
      <c r="C1662" s="61" t="n"/>
      <c r="D1662" s="27" t="n"/>
      <c r="E1662" s="27" t="n"/>
      <c r="F1662" s="27" t="n"/>
      <c r="G1662" s="27" t="n"/>
      <c r="H1662" s="62" t="n"/>
      <c r="I1662" s="31" t="n"/>
      <c r="J1662" s="31" t="n"/>
      <c r="K1662" s="31" t="n"/>
      <c r="L1662" s="31" t="n"/>
      <c r="M1662" s="1" t="n"/>
    </row>
    <row r="1663">
      <c r="A1663" s="1" t="n"/>
      <c r="B1663" s="24" t="n">
        <v>1657</v>
      </c>
      <c r="C1663" s="61" t="n"/>
      <c r="D1663" s="27" t="n"/>
      <c r="E1663" s="27" t="n"/>
      <c r="F1663" s="27" t="n"/>
      <c r="G1663" s="27" t="n"/>
      <c r="H1663" s="62" t="n"/>
      <c r="I1663" s="31" t="n"/>
      <c r="J1663" s="31" t="n"/>
      <c r="K1663" s="31" t="n"/>
      <c r="L1663" s="31" t="n"/>
      <c r="M1663" s="1" t="n"/>
    </row>
    <row r="1664">
      <c r="A1664" s="1" t="n"/>
      <c r="B1664" s="24" t="n">
        <v>1658</v>
      </c>
      <c r="C1664" s="61" t="n"/>
      <c r="D1664" s="27" t="n"/>
      <c r="E1664" s="27" t="n"/>
      <c r="F1664" s="27" t="n"/>
      <c r="G1664" s="27" t="n"/>
      <c r="H1664" s="62" t="n"/>
      <c r="I1664" s="31" t="n"/>
      <c r="J1664" s="31" t="n"/>
      <c r="K1664" s="31" t="n"/>
      <c r="L1664" s="31" t="n"/>
      <c r="M1664" s="1" t="n"/>
    </row>
    <row r="1665">
      <c r="A1665" s="1" t="n"/>
      <c r="B1665" s="24" t="n">
        <v>1659</v>
      </c>
      <c r="C1665" s="61" t="n"/>
      <c r="D1665" s="27" t="n"/>
      <c r="E1665" s="27" t="n"/>
      <c r="F1665" s="27" t="n"/>
      <c r="G1665" s="27" t="n"/>
      <c r="H1665" s="62" t="n"/>
      <c r="I1665" s="31" t="n"/>
      <c r="J1665" s="31" t="n"/>
      <c r="K1665" s="31" t="n"/>
      <c r="L1665" s="31" t="n"/>
      <c r="M1665" s="1" t="n"/>
    </row>
    <row r="1666">
      <c r="A1666" s="1" t="n"/>
      <c r="B1666" s="24" t="n">
        <v>1660</v>
      </c>
      <c r="C1666" s="61" t="n"/>
      <c r="D1666" s="27" t="n"/>
      <c r="E1666" s="27" t="n"/>
      <c r="F1666" s="27" t="n"/>
      <c r="G1666" s="27" t="n"/>
      <c r="H1666" s="62" t="n"/>
      <c r="I1666" s="31" t="n"/>
      <c r="J1666" s="31" t="n"/>
      <c r="K1666" s="31" t="n"/>
      <c r="L1666" s="31" t="n"/>
      <c r="M1666" s="1" t="n"/>
    </row>
    <row r="1667">
      <c r="A1667" s="1" t="n"/>
      <c r="B1667" s="24" t="n">
        <v>1661</v>
      </c>
      <c r="C1667" s="61" t="n"/>
      <c r="D1667" s="27" t="n"/>
      <c r="E1667" s="27" t="n"/>
      <c r="F1667" s="27" t="n"/>
      <c r="G1667" s="27" t="n"/>
      <c r="H1667" s="62" t="n"/>
      <c r="I1667" s="31" t="n"/>
      <c r="J1667" s="31" t="n"/>
      <c r="K1667" s="31" t="n"/>
      <c r="L1667" s="31" t="n"/>
      <c r="M1667" s="1" t="n"/>
    </row>
    <row r="1668">
      <c r="A1668" s="1" t="n"/>
      <c r="B1668" s="24" t="n">
        <v>1662</v>
      </c>
      <c r="C1668" s="61" t="n"/>
      <c r="D1668" s="27" t="n"/>
      <c r="E1668" s="27" t="n"/>
      <c r="F1668" s="27" t="n"/>
      <c r="G1668" s="27" t="n"/>
      <c r="H1668" s="62" t="n"/>
      <c r="I1668" s="31" t="n"/>
      <c r="J1668" s="31" t="n"/>
      <c r="K1668" s="31" t="n"/>
      <c r="L1668" s="31" t="n"/>
      <c r="M1668" s="1" t="n"/>
    </row>
    <row r="1669">
      <c r="A1669" s="1" t="n"/>
      <c r="B1669" s="24" t="n">
        <v>1663</v>
      </c>
      <c r="C1669" s="61" t="n"/>
      <c r="D1669" s="27" t="n"/>
      <c r="E1669" s="27" t="n"/>
      <c r="F1669" s="27" t="n"/>
      <c r="G1669" s="27" t="n"/>
      <c r="H1669" s="62" t="n"/>
      <c r="I1669" s="31" t="n"/>
      <c r="J1669" s="31" t="n"/>
      <c r="K1669" s="31" t="n"/>
      <c r="L1669" s="31" t="n"/>
      <c r="M1669" s="1" t="n"/>
    </row>
    <row r="1670">
      <c r="A1670" s="1" t="n"/>
      <c r="B1670" s="24" t="n">
        <v>1664</v>
      </c>
      <c r="C1670" s="61" t="n"/>
      <c r="D1670" s="27" t="n"/>
      <c r="E1670" s="27" t="n"/>
      <c r="F1670" s="27" t="n"/>
      <c r="G1670" s="27" t="n"/>
      <c r="H1670" s="62" t="n"/>
      <c r="I1670" s="31" t="n"/>
      <c r="J1670" s="31" t="n"/>
      <c r="K1670" s="31" t="n"/>
      <c r="L1670" s="31" t="n"/>
      <c r="M1670" s="1" t="n"/>
    </row>
    <row r="1671">
      <c r="A1671" s="1" t="n"/>
      <c r="B1671" s="24" t="n">
        <v>1665</v>
      </c>
      <c r="C1671" s="61" t="n"/>
      <c r="D1671" s="27" t="n"/>
      <c r="E1671" s="27" t="n"/>
      <c r="F1671" s="27" t="n"/>
      <c r="G1671" s="27" t="n"/>
      <c r="H1671" s="62" t="n"/>
      <c r="I1671" s="31" t="n"/>
      <c r="J1671" s="31" t="n"/>
      <c r="K1671" s="31" t="n"/>
      <c r="L1671" s="31" t="n"/>
      <c r="M1671" s="1" t="n"/>
    </row>
    <row r="1672">
      <c r="A1672" s="1" t="n"/>
      <c r="B1672" s="24" t="n">
        <v>1666</v>
      </c>
      <c r="C1672" s="61" t="n"/>
      <c r="D1672" s="27" t="n"/>
      <c r="E1672" s="27" t="n"/>
      <c r="F1672" s="27" t="n"/>
      <c r="G1672" s="27" t="n"/>
      <c r="H1672" s="62" t="n"/>
      <c r="I1672" s="31" t="n"/>
      <c r="J1672" s="31" t="n"/>
      <c r="K1672" s="31" t="n"/>
      <c r="L1672" s="31" t="n"/>
      <c r="M1672" s="1" t="n"/>
    </row>
    <row r="1673">
      <c r="A1673" s="1" t="n"/>
      <c r="B1673" s="24" t="n">
        <v>1667</v>
      </c>
      <c r="C1673" s="61" t="n"/>
      <c r="D1673" s="27" t="n"/>
      <c r="E1673" s="27" t="n"/>
      <c r="F1673" s="27" t="n"/>
      <c r="G1673" s="27" t="n"/>
      <c r="H1673" s="62" t="n"/>
      <c r="I1673" s="31" t="n"/>
      <c r="J1673" s="31" t="n"/>
      <c r="K1673" s="31" t="n"/>
      <c r="L1673" s="31" t="n"/>
      <c r="M1673" s="1" t="n"/>
    </row>
    <row r="1674">
      <c r="A1674" s="1" t="n"/>
      <c r="B1674" s="24" t="n">
        <v>1668</v>
      </c>
      <c r="C1674" s="61" t="n"/>
      <c r="D1674" s="27" t="n"/>
      <c r="E1674" s="27" t="n"/>
      <c r="F1674" s="27" t="n"/>
      <c r="G1674" s="27" t="n"/>
      <c r="H1674" s="62" t="n"/>
      <c r="I1674" s="31" t="n"/>
      <c r="J1674" s="31" t="n"/>
      <c r="K1674" s="31" t="n"/>
      <c r="L1674" s="31" t="n"/>
      <c r="M1674" s="1" t="n"/>
    </row>
    <row r="1675">
      <c r="A1675" s="1" t="n"/>
      <c r="B1675" s="24" t="n">
        <v>1669</v>
      </c>
      <c r="C1675" s="61" t="n"/>
      <c r="D1675" s="27" t="n"/>
      <c r="E1675" s="27" t="n"/>
      <c r="F1675" s="27" t="n"/>
      <c r="G1675" s="27" t="n"/>
      <c r="H1675" s="62" t="n"/>
      <c r="I1675" s="31" t="n"/>
      <c r="J1675" s="31" t="n"/>
      <c r="K1675" s="31" t="n"/>
      <c r="L1675" s="31" t="n"/>
      <c r="M1675" s="1" t="n"/>
    </row>
    <row r="1676">
      <c r="A1676" s="1" t="n"/>
      <c r="B1676" s="24" t="n">
        <v>1670</v>
      </c>
      <c r="C1676" s="61" t="n"/>
      <c r="D1676" s="27" t="n"/>
      <c r="E1676" s="27" t="n"/>
      <c r="F1676" s="27" t="n"/>
      <c r="G1676" s="27" t="n"/>
      <c r="H1676" s="62" t="n"/>
      <c r="I1676" s="31" t="n"/>
      <c r="J1676" s="31" t="n"/>
      <c r="K1676" s="31" t="n"/>
      <c r="L1676" s="31" t="n"/>
      <c r="M1676" s="1" t="n"/>
    </row>
    <row r="1677">
      <c r="A1677" s="1" t="n"/>
      <c r="B1677" s="24" t="n">
        <v>1671</v>
      </c>
      <c r="C1677" s="61" t="n"/>
      <c r="D1677" s="27" t="n"/>
      <c r="E1677" s="27" t="n"/>
      <c r="F1677" s="27" t="n"/>
      <c r="G1677" s="27" t="n"/>
      <c r="H1677" s="62" t="n"/>
      <c r="I1677" s="31" t="n"/>
      <c r="J1677" s="31" t="n"/>
      <c r="K1677" s="31" t="n"/>
      <c r="L1677" s="31" t="n"/>
      <c r="M1677" s="1" t="n"/>
    </row>
    <row r="1678">
      <c r="A1678" s="1" t="n"/>
      <c r="B1678" s="24" t="n">
        <v>1672</v>
      </c>
      <c r="C1678" s="61" t="n"/>
      <c r="D1678" s="27" t="n"/>
      <c r="E1678" s="27" t="n"/>
      <c r="F1678" s="27" t="n"/>
      <c r="G1678" s="27" t="n"/>
      <c r="H1678" s="62" t="n"/>
      <c r="I1678" s="31" t="n"/>
      <c r="J1678" s="31" t="n"/>
      <c r="K1678" s="31" t="n"/>
      <c r="L1678" s="31" t="n"/>
      <c r="M1678" s="1" t="n"/>
    </row>
    <row r="1679">
      <c r="A1679" s="1" t="n"/>
      <c r="B1679" s="24" t="n">
        <v>1673</v>
      </c>
      <c r="C1679" s="61" t="n"/>
      <c r="D1679" s="27" t="n"/>
      <c r="E1679" s="27" t="n"/>
      <c r="F1679" s="27" t="n"/>
      <c r="G1679" s="27" t="n"/>
      <c r="H1679" s="62" t="n"/>
      <c r="I1679" s="31" t="n"/>
      <c r="J1679" s="31" t="n"/>
      <c r="K1679" s="31" t="n"/>
      <c r="L1679" s="31" t="n"/>
      <c r="M1679" s="1" t="n"/>
    </row>
    <row r="1680">
      <c r="A1680" s="1" t="n"/>
      <c r="B1680" s="24" t="n">
        <v>1674</v>
      </c>
      <c r="C1680" s="61" t="n"/>
      <c r="D1680" s="27" t="n"/>
      <c r="E1680" s="27" t="n"/>
      <c r="F1680" s="27" t="n"/>
      <c r="G1680" s="27" t="n"/>
      <c r="H1680" s="62" t="n"/>
      <c r="I1680" s="31" t="n"/>
      <c r="J1680" s="31" t="n"/>
      <c r="K1680" s="31" t="n"/>
      <c r="L1680" s="31" t="n"/>
      <c r="M1680" s="1" t="n"/>
    </row>
    <row r="1681">
      <c r="A1681" s="1" t="n"/>
      <c r="B1681" s="24" t="n">
        <v>1675</v>
      </c>
      <c r="C1681" s="61" t="n"/>
      <c r="D1681" s="27" t="n"/>
      <c r="E1681" s="27" t="n"/>
      <c r="F1681" s="27" t="n"/>
      <c r="G1681" s="27" t="n"/>
      <c r="H1681" s="62" t="n"/>
      <c r="I1681" s="31" t="n"/>
      <c r="J1681" s="31" t="n"/>
      <c r="K1681" s="31" t="n"/>
      <c r="L1681" s="31" t="n"/>
      <c r="M1681" s="1" t="n"/>
    </row>
    <row r="1682">
      <c r="A1682" s="1" t="n"/>
      <c r="B1682" s="24" t="n">
        <v>1676</v>
      </c>
      <c r="C1682" s="61" t="n"/>
      <c r="D1682" s="27" t="n"/>
      <c r="E1682" s="27" t="n"/>
      <c r="F1682" s="27" t="n"/>
      <c r="G1682" s="27" t="n"/>
      <c r="H1682" s="62" t="n"/>
      <c r="I1682" s="31" t="n"/>
      <c r="J1682" s="31" t="n"/>
      <c r="K1682" s="31" t="n"/>
      <c r="L1682" s="31" t="n"/>
      <c r="M1682" s="1" t="n"/>
    </row>
    <row r="1683">
      <c r="A1683" s="1" t="n"/>
      <c r="B1683" s="24" t="n">
        <v>1677</v>
      </c>
      <c r="C1683" s="61" t="n"/>
      <c r="D1683" s="27" t="n"/>
      <c r="E1683" s="27" t="n"/>
      <c r="F1683" s="27" t="n"/>
      <c r="G1683" s="27" t="n"/>
      <c r="H1683" s="62" t="n"/>
      <c r="I1683" s="31" t="n"/>
      <c r="J1683" s="31" t="n"/>
      <c r="K1683" s="31" t="n"/>
      <c r="L1683" s="31" t="n"/>
      <c r="M1683" s="1" t="n"/>
    </row>
    <row r="1684">
      <c r="A1684" s="1" t="n"/>
      <c r="B1684" s="24" t="n">
        <v>1678</v>
      </c>
      <c r="C1684" s="61" t="n"/>
      <c r="D1684" s="27" t="n"/>
      <c r="E1684" s="27" t="n"/>
      <c r="F1684" s="27" t="n"/>
      <c r="G1684" s="27" t="n"/>
      <c r="H1684" s="62" t="n"/>
      <c r="I1684" s="31" t="n"/>
      <c r="J1684" s="31" t="n"/>
      <c r="K1684" s="31" t="n"/>
      <c r="L1684" s="31" t="n"/>
      <c r="M1684" s="1" t="n"/>
    </row>
    <row r="1685">
      <c r="A1685" s="1" t="n"/>
      <c r="B1685" s="24" t="n">
        <v>1679</v>
      </c>
      <c r="C1685" s="61" t="n"/>
      <c r="D1685" s="27" t="n"/>
      <c r="E1685" s="27" t="n"/>
      <c r="F1685" s="27" t="n"/>
      <c r="G1685" s="27" t="n"/>
      <c r="H1685" s="62" t="n"/>
      <c r="I1685" s="31" t="n"/>
      <c r="J1685" s="31" t="n"/>
      <c r="K1685" s="31" t="n"/>
      <c r="L1685" s="31" t="n"/>
      <c r="M1685" s="1" t="n"/>
    </row>
    <row r="1686">
      <c r="A1686" s="1" t="n"/>
      <c r="B1686" s="24" t="n">
        <v>1680</v>
      </c>
      <c r="C1686" s="61" t="n"/>
      <c r="D1686" s="27" t="n"/>
      <c r="E1686" s="27" t="n"/>
      <c r="F1686" s="27" t="n"/>
      <c r="G1686" s="27" t="n"/>
      <c r="H1686" s="62" t="n"/>
      <c r="I1686" s="31" t="n"/>
      <c r="J1686" s="31" t="n"/>
      <c r="K1686" s="31" t="n"/>
      <c r="L1686" s="31" t="n"/>
      <c r="M1686" s="1" t="n"/>
    </row>
    <row r="1687">
      <c r="A1687" s="1" t="n"/>
      <c r="B1687" s="24" t="n">
        <v>1681</v>
      </c>
      <c r="C1687" s="61" t="n"/>
      <c r="D1687" s="27" t="n"/>
      <c r="E1687" s="27" t="n"/>
      <c r="F1687" s="27" t="n"/>
      <c r="G1687" s="27" t="n"/>
      <c r="H1687" s="62" t="n"/>
      <c r="I1687" s="31" t="n"/>
      <c r="J1687" s="31" t="n"/>
      <c r="K1687" s="31" t="n"/>
      <c r="L1687" s="31" t="n"/>
      <c r="M1687" s="1" t="n"/>
    </row>
    <row r="1688">
      <c r="A1688" s="1" t="n"/>
      <c r="B1688" s="24" t="n">
        <v>1682</v>
      </c>
      <c r="C1688" s="61" t="n"/>
      <c r="D1688" s="27" t="n"/>
      <c r="E1688" s="27" t="n"/>
      <c r="F1688" s="27" t="n"/>
      <c r="G1688" s="27" t="n"/>
      <c r="H1688" s="62" t="n"/>
      <c r="I1688" s="31" t="n"/>
      <c r="J1688" s="31" t="n"/>
      <c r="K1688" s="31" t="n"/>
      <c r="L1688" s="31" t="n"/>
      <c r="M1688" s="1" t="n"/>
    </row>
    <row r="1689">
      <c r="A1689" s="1" t="n"/>
      <c r="B1689" s="24" t="n">
        <v>1683</v>
      </c>
      <c r="C1689" s="61" t="n"/>
      <c r="D1689" s="27" t="n"/>
      <c r="E1689" s="27" t="n"/>
      <c r="F1689" s="27" t="n"/>
      <c r="G1689" s="27" t="n"/>
      <c r="H1689" s="62" t="n"/>
      <c r="I1689" s="31" t="n"/>
      <c r="J1689" s="31" t="n"/>
      <c r="K1689" s="31" t="n"/>
      <c r="L1689" s="31" t="n"/>
      <c r="M1689" s="1" t="n"/>
    </row>
    <row r="1690">
      <c r="A1690" s="1" t="n"/>
      <c r="B1690" s="24" t="n">
        <v>1684</v>
      </c>
      <c r="C1690" s="61" t="n"/>
      <c r="D1690" s="27" t="n"/>
      <c r="E1690" s="27" t="n"/>
      <c r="F1690" s="27" t="n"/>
      <c r="G1690" s="27" t="n"/>
      <c r="H1690" s="62" t="n"/>
      <c r="I1690" s="31" t="n"/>
      <c r="J1690" s="31" t="n"/>
      <c r="K1690" s="31" t="n"/>
      <c r="L1690" s="31" t="n"/>
      <c r="M1690" s="1" t="n"/>
    </row>
    <row r="1691">
      <c r="A1691" s="1" t="n"/>
      <c r="B1691" s="24" t="n">
        <v>1685</v>
      </c>
      <c r="C1691" s="61" t="n"/>
      <c r="D1691" s="27" t="n"/>
      <c r="E1691" s="27" t="n"/>
      <c r="F1691" s="27" t="n"/>
      <c r="G1691" s="27" t="n"/>
      <c r="H1691" s="62" t="n"/>
      <c r="I1691" s="31" t="n"/>
      <c r="J1691" s="31" t="n"/>
      <c r="K1691" s="31" t="n"/>
      <c r="L1691" s="31" t="n"/>
      <c r="M1691" s="1" t="n"/>
    </row>
    <row r="1692">
      <c r="A1692" s="1" t="n"/>
      <c r="B1692" s="24" t="n">
        <v>1686</v>
      </c>
      <c r="C1692" s="61" t="n"/>
      <c r="D1692" s="27" t="n"/>
      <c r="E1692" s="27" t="n"/>
      <c r="F1692" s="27" t="n"/>
      <c r="G1692" s="27" t="n"/>
      <c r="H1692" s="62" t="n"/>
      <c r="I1692" s="31" t="n"/>
      <c r="J1692" s="31" t="n"/>
      <c r="K1692" s="31" t="n"/>
      <c r="L1692" s="31" t="n"/>
      <c r="M1692" s="1" t="n"/>
    </row>
    <row r="1693">
      <c r="A1693" s="1" t="n"/>
      <c r="B1693" s="24" t="n">
        <v>1687</v>
      </c>
      <c r="C1693" s="61" t="n"/>
      <c r="D1693" s="27" t="n"/>
      <c r="E1693" s="27" t="n"/>
      <c r="F1693" s="27" t="n"/>
      <c r="G1693" s="27" t="n"/>
      <c r="H1693" s="62" t="n"/>
      <c r="I1693" s="31" t="n"/>
      <c r="J1693" s="31" t="n"/>
      <c r="K1693" s="31" t="n"/>
      <c r="L1693" s="31" t="n"/>
      <c r="M1693" s="1" t="n"/>
    </row>
    <row r="1694">
      <c r="A1694" s="1" t="n"/>
      <c r="B1694" s="24" t="n">
        <v>1688</v>
      </c>
      <c r="C1694" s="61" t="n"/>
      <c r="D1694" s="27" t="n"/>
      <c r="E1694" s="27" t="n"/>
      <c r="F1694" s="27" t="n"/>
      <c r="G1694" s="27" t="n"/>
      <c r="H1694" s="62" t="n"/>
      <c r="I1694" s="31" t="n"/>
      <c r="J1694" s="31" t="n"/>
      <c r="K1694" s="31" t="n"/>
      <c r="L1694" s="31" t="n"/>
      <c r="M1694" s="1" t="n"/>
    </row>
    <row r="1695">
      <c r="A1695" s="1" t="n"/>
      <c r="B1695" s="24" t="n">
        <v>1689</v>
      </c>
      <c r="C1695" s="61" t="n"/>
      <c r="D1695" s="27" t="n"/>
      <c r="E1695" s="27" t="n"/>
      <c r="F1695" s="27" t="n"/>
      <c r="G1695" s="27" t="n"/>
      <c r="H1695" s="62" t="n"/>
      <c r="I1695" s="31" t="n"/>
      <c r="J1695" s="31" t="n"/>
      <c r="K1695" s="31" t="n"/>
      <c r="L1695" s="31" t="n"/>
      <c r="M1695" s="1" t="n"/>
    </row>
    <row r="1696">
      <c r="A1696" s="1" t="n"/>
      <c r="B1696" s="24" t="n">
        <v>1690</v>
      </c>
      <c r="C1696" s="61" t="n"/>
      <c r="D1696" s="27" t="n"/>
      <c r="E1696" s="27" t="n"/>
      <c r="F1696" s="27" t="n"/>
      <c r="G1696" s="27" t="n"/>
      <c r="H1696" s="62" t="n"/>
      <c r="I1696" s="31" t="n"/>
      <c r="J1696" s="31" t="n"/>
      <c r="K1696" s="31" t="n"/>
      <c r="L1696" s="31" t="n"/>
      <c r="M1696" s="1" t="n"/>
    </row>
    <row r="1697">
      <c r="A1697" s="1" t="n"/>
      <c r="B1697" s="24" t="n">
        <v>1691</v>
      </c>
      <c r="C1697" s="61" t="n"/>
      <c r="D1697" s="27" t="n"/>
      <c r="E1697" s="27" t="n"/>
      <c r="F1697" s="27" t="n"/>
      <c r="G1697" s="27" t="n"/>
      <c r="H1697" s="62" t="n"/>
      <c r="I1697" s="31" t="n"/>
      <c r="J1697" s="31" t="n"/>
      <c r="K1697" s="31" t="n"/>
      <c r="L1697" s="31" t="n"/>
      <c r="M1697" s="1" t="n"/>
    </row>
    <row r="1698">
      <c r="A1698" s="1" t="n"/>
      <c r="B1698" s="24" t="n">
        <v>1692</v>
      </c>
      <c r="C1698" s="61" t="n"/>
      <c r="D1698" s="27" t="n"/>
      <c r="E1698" s="27" t="n"/>
      <c r="F1698" s="27" t="n"/>
      <c r="G1698" s="27" t="n"/>
      <c r="H1698" s="62" t="n"/>
      <c r="I1698" s="31" t="n"/>
      <c r="J1698" s="31" t="n"/>
      <c r="K1698" s="31" t="n"/>
      <c r="L1698" s="31" t="n"/>
      <c r="M1698" s="1" t="n"/>
    </row>
    <row r="1699">
      <c r="A1699" s="1" t="n"/>
      <c r="B1699" s="24" t="n">
        <v>1693</v>
      </c>
      <c r="C1699" s="61" t="n"/>
      <c r="D1699" s="27" t="n"/>
      <c r="E1699" s="27" t="n"/>
      <c r="F1699" s="27" t="n"/>
      <c r="G1699" s="27" t="n"/>
      <c r="H1699" s="62" t="n"/>
      <c r="I1699" s="31" t="n"/>
      <c r="J1699" s="31" t="n"/>
      <c r="K1699" s="31" t="n"/>
      <c r="L1699" s="31" t="n"/>
      <c r="M1699" s="1" t="n"/>
    </row>
    <row r="1700">
      <c r="A1700" s="1" t="n"/>
      <c r="B1700" s="24" t="n">
        <v>1694</v>
      </c>
      <c r="C1700" s="61" t="n"/>
      <c r="D1700" s="27" t="n"/>
      <c r="E1700" s="27" t="n"/>
      <c r="F1700" s="27" t="n"/>
      <c r="G1700" s="27" t="n"/>
      <c r="H1700" s="62" t="n"/>
      <c r="I1700" s="31" t="n"/>
      <c r="J1700" s="31" t="n"/>
      <c r="K1700" s="31" t="n"/>
      <c r="L1700" s="31" t="n"/>
      <c r="M1700" s="1" t="n"/>
    </row>
    <row r="1701">
      <c r="A1701" s="1" t="n"/>
      <c r="B1701" s="24" t="n">
        <v>1695</v>
      </c>
      <c r="C1701" s="61" t="n"/>
      <c r="D1701" s="27" t="n"/>
      <c r="E1701" s="27" t="n"/>
      <c r="F1701" s="27" t="n"/>
      <c r="G1701" s="27" t="n"/>
      <c r="H1701" s="62" t="n"/>
      <c r="I1701" s="31" t="n"/>
      <c r="J1701" s="31" t="n"/>
      <c r="K1701" s="31" t="n"/>
      <c r="L1701" s="31" t="n"/>
      <c r="M1701" s="1" t="n"/>
    </row>
    <row r="1702">
      <c r="A1702" s="1" t="n"/>
      <c r="B1702" s="24" t="n">
        <v>1696</v>
      </c>
      <c r="C1702" s="61" t="n"/>
      <c r="D1702" s="27" t="n"/>
      <c r="E1702" s="27" t="n"/>
      <c r="F1702" s="27" t="n"/>
      <c r="G1702" s="27" t="n"/>
      <c r="H1702" s="62" t="n"/>
      <c r="I1702" s="31" t="n"/>
      <c r="J1702" s="31" t="n"/>
      <c r="K1702" s="31" t="n"/>
      <c r="L1702" s="31" t="n"/>
      <c r="M1702" s="1" t="n"/>
    </row>
    <row r="1703">
      <c r="A1703" s="1" t="n"/>
      <c r="B1703" s="24" t="n">
        <v>1697</v>
      </c>
      <c r="C1703" s="61" t="n"/>
      <c r="D1703" s="27" t="n"/>
      <c r="E1703" s="27" t="n"/>
      <c r="F1703" s="27" t="n"/>
      <c r="G1703" s="27" t="n"/>
      <c r="H1703" s="62" t="n"/>
      <c r="I1703" s="31" t="n"/>
      <c r="J1703" s="31" t="n"/>
      <c r="K1703" s="31" t="n"/>
      <c r="L1703" s="31" t="n"/>
      <c r="M1703" s="1" t="n"/>
    </row>
    <row r="1704">
      <c r="A1704" s="1" t="n"/>
      <c r="B1704" s="24" t="n">
        <v>1698</v>
      </c>
      <c r="C1704" s="61" t="n"/>
      <c r="D1704" s="27" t="n"/>
      <c r="E1704" s="27" t="n"/>
      <c r="F1704" s="27" t="n"/>
      <c r="G1704" s="27" t="n"/>
      <c r="H1704" s="62" t="n"/>
      <c r="I1704" s="31" t="n"/>
      <c r="J1704" s="31" t="n"/>
      <c r="K1704" s="31" t="n"/>
      <c r="L1704" s="31" t="n"/>
      <c r="M1704" s="1" t="n"/>
    </row>
    <row r="1705">
      <c r="A1705" s="1" t="n"/>
      <c r="B1705" s="24" t="n">
        <v>1699</v>
      </c>
      <c r="C1705" s="61" t="n"/>
      <c r="D1705" s="27" t="n"/>
      <c r="E1705" s="27" t="n"/>
      <c r="F1705" s="27" t="n"/>
      <c r="G1705" s="27" t="n"/>
      <c r="H1705" s="62" t="n"/>
      <c r="I1705" s="31" t="n"/>
      <c r="J1705" s="31" t="n"/>
      <c r="K1705" s="31" t="n"/>
      <c r="L1705" s="31" t="n"/>
      <c r="M1705" s="1" t="n"/>
    </row>
    <row r="1706">
      <c r="A1706" s="1" t="n"/>
      <c r="B1706" s="24" t="n">
        <v>1700</v>
      </c>
      <c r="C1706" s="61" t="n"/>
      <c r="D1706" s="27" t="n"/>
      <c r="E1706" s="27" t="n"/>
      <c r="F1706" s="27" t="n"/>
      <c r="G1706" s="27" t="n"/>
      <c r="H1706" s="62" t="n"/>
      <c r="I1706" s="31" t="n"/>
      <c r="J1706" s="31" t="n"/>
      <c r="K1706" s="31" t="n"/>
      <c r="L1706" s="31" t="n"/>
      <c r="M1706" s="1" t="n"/>
    </row>
    <row r="1707">
      <c r="A1707" s="1" t="n"/>
      <c r="B1707" s="24" t="n">
        <v>1701</v>
      </c>
      <c r="C1707" s="61" t="n"/>
      <c r="D1707" s="27" t="n"/>
      <c r="E1707" s="27" t="n"/>
      <c r="F1707" s="27" t="n"/>
      <c r="G1707" s="27" t="n"/>
      <c r="H1707" s="62" t="n"/>
      <c r="I1707" s="31" t="n"/>
      <c r="J1707" s="31" t="n"/>
      <c r="K1707" s="31" t="n"/>
      <c r="L1707" s="31" t="n"/>
      <c r="M1707" s="1" t="n"/>
    </row>
    <row r="1708">
      <c r="A1708" s="1" t="n"/>
      <c r="B1708" s="24" t="n">
        <v>1702</v>
      </c>
      <c r="C1708" s="61" t="n"/>
      <c r="D1708" s="27" t="n"/>
      <c r="E1708" s="27" t="n"/>
      <c r="F1708" s="27" t="n"/>
      <c r="G1708" s="27" t="n"/>
      <c r="H1708" s="62" t="n"/>
      <c r="I1708" s="31" t="n"/>
      <c r="J1708" s="31" t="n"/>
      <c r="K1708" s="31" t="n"/>
      <c r="L1708" s="31" t="n"/>
      <c r="M1708" s="1" t="n"/>
    </row>
    <row r="1709">
      <c r="A1709" s="1" t="n"/>
      <c r="B1709" s="24" t="n">
        <v>1703</v>
      </c>
      <c r="C1709" s="61" t="n"/>
      <c r="D1709" s="27" t="n"/>
      <c r="E1709" s="27" t="n"/>
      <c r="F1709" s="27" t="n"/>
      <c r="G1709" s="27" t="n"/>
      <c r="H1709" s="62" t="n"/>
      <c r="I1709" s="31" t="n"/>
      <c r="J1709" s="31" t="n"/>
      <c r="K1709" s="31" t="n"/>
      <c r="L1709" s="31" t="n"/>
      <c r="M1709" s="1" t="n"/>
    </row>
    <row r="1710">
      <c r="A1710" s="1" t="n"/>
      <c r="B1710" s="24" t="n">
        <v>1704</v>
      </c>
      <c r="C1710" s="61" t="n"/>
      <c r="D1710" s="27" t="n"/>
      <c r="E1710" s="27" t="n"/>
      <c r="F1710" s="27" t="n"/>
      <c r="G1710" s="27" t="n"/>
      <c r="H1710" s="62" t="n"/>
      <c r="I1710" s="31" t="n"/>
      <c r="J1710" s="31" t="n"/>
      <c r="K1710" s="31" t="n"/>
      <c r="L1710" s="31" t="n"/>
      <c r="M1710" s="1" t="n"/>
    </row>
    <row r="1711">
      <c r="A1711" s="1" t="n"/>
      <c r="B1711" s="24" t="n">
        <v>1705</v>
      </c>
      <c r="C1711" s="61" t="n"/>
      <c r="D1711" s="27" t="n"/>
      <c r="E1711" s="27" t="n"/>
      <c r="F1711" s="27" t="n"/>
      <c r="G1711" s="27" t="n"/>
      <c r="H1711" s="62" t="n"/>
      <c r="I1711" s="31" t="n"/>
      <c r="J1711" s="31" t="n"/>
      <c r="K1711" s="31" t="n"/>
      <c r="L1711" s="31" t="n"/>
      <c r="M1711" s="1" t="n"/>
    </row>
    <row r="1712">
      <c r="A1712" s="1" t="n"/>
      <c r="B1712" s="24" t="n">
        <v>1706</v>
      </c>
      <c r="C1712" s="61" t="n"/>
      <c r="D1712" s="27" t="n"/>
      <c r="E1712" s="27" t="n"/>
      <c r="F1712" s="27" t="n"/>
      <c r="G1712" s="27" t="n"/>
      <c r="H1712" s="62" t="n"/>
      <c r="I1712" s="31" t="n"/>
      <c r="J1712" s="31" t="n"/>
      <c r="K1712" s="31" t="n"/>
      <c r="L1712" s="31" t="n"/>
      <c r="M1712" s="1" t="n"/>
    </row>
    <row r="1713">
      <c r="A1713" s="1" t="n"/>
      <c r="B1713" s="24" t="n">
        <v>1707</v>
      </c>
      <c r="C1713" s="61" t="n"/>
      <c r="D1713" s="27" t="n"/>
      <c r="E1713" s="27" t="n"/>
      <c r="F1713" s="27" t="n"/>
      <c r="G1713" s="27" t="n"/>
      <c r="H1713" s="62" t="n"/>
      <c r="I1713" s="31" t="n"/>
      <c r="J1713" s="31" t="n"/>
      <c r="K1713" s="31" t="n"/>
      <c r="L1713" s="31" t="n"/>
      <c r="M1713" s="1" t="n"/>
    </row>
    <row r="1714">
      <c r="A1714" s="1" t="n"/>
      <c r="B1714" s="24" t="n">
        <v>1708</v>
      </c>
      <c r="C1714" s="61" t="n"/>
      <c r="D1714" s="27" t="n"/>
      <c r="E1714" s="27" t="n"/>
      <c r="F1714" s="27" t="n"/>
      <c r="G1714" s="27" t="n"/>
      <c r="H1714" s="62" t="n"/>
      <c r="I1714" s="31" t="n"/>
      <c r="J1714" s="31" t="n"/>
      <c r="K1714" s="31" t="n"/>
      <c r="L1714" s="31" t="n"/>
      <c r="M1714" s="1" t="n"/>
    </row>
    <row r="1715">
      <c r="A1715" s="1" t="n"/>
      <c r="B1715" s="24" t="n">
        <v>1709</v>
      </c>
      <c r="C1715" s="61" t="n"/>
      <c r="D1715" s="27" t="n"/>
      <c r="E1715" s="27" t="n"/>
      <c r="F1715" s="27" t="n"/>
      <c r="G1715" s="27" t="n"/>
      <c r="H1715" s="62" t="n"/>
      <c r="I1715" s="31" t="n"/>
      <c r="J1715" s="31" t="n"/>
      <c r="K1715" s="31" t="n"/>
      <c r="L1715" s="31" t="n"/>
      <c r="M1715" s="1" t="n"/>
    </row>
    <row r="1716">
      <c r="A1716" s="1" t="n"/>
      <c r="B1716" s="24" t="n">
        <v>1710</v>
      </c>
      <c r="C1716" s="61" t="n"/>
      <c r="D1716" s="27" t="n"/>
      <c r="E1716" s="27" t="n"/>
      <c r="F1716" s="27" t="n"/>
      <c r="G1716" s="27" t="n"/>
      <c r="H1716" s="62" t="n"/>
      <c r="I1716" s="31" t="n"/>
      <c r="J1716" s="31" t="n"/>
      <c r="K1716" s="31" t="n"/>
      <c r="L1716" s="31" t="n"/>
      <c r="M1716" s="1" t="n"/>
    </row>
    <row r="1717">
      <c r="A1717" s="1" t="n"/>
      <c r="B1717" s="24" t="n">
        <v>1711</v>
      </c>
      <c r="C1717" s="61" t="n"/>
      <c r="D1717" s="27" t="n"/>
      <c r="E1717" s="27" t="n"/>
      <c r="F1717" s="27" t="n"/>
      <c r="G1717" s="27" t="n"/>
      <c r="H1717" s="62" t="n"/>
      <c r="I1717" s="31" t="n"/>
      <c r="J1717" s="31" t="n"/>
      <c r="K1717" s="31" t="n"/>
      <c r="L1717" s="31" t="n"/>
      <c r="M1717" s="1" t="n"/>
    </row>
    <row r="1718">
      <c r="A1718" s="1" t="n"/>
      <c r="B1718" s="24" t="n">
        <v>1712</v>
      </c>
      <c r="C1718" s="61" t="n"/>
      <c r="D1718" s="27" t="n"/>
      <c r="E1718" s="27" t="n"/>
      <c r="F1718" s="27" t="n"/>
      <c r="G1718" s="27" t="n"/>
      <c r="H1718" s="62" t="n"/>
      <c r="I1718" s="31" t="n"/>
      <c r="J1718" s="31" t="n"/>
      <c r="K1718" s="31" t="n"/>
      <c r="L1718" s="31" t="n"/>
      <c r="M1718" s="1" t="n"/>
    </row>
    <row r="1719">
      <c r="A1719" s="1" t="n"/>
      <c r="B1719" s="24" t="n">
        <v>1713</v>
      </c>
      <c r="C1719" s="61" t="n"/>
      <c r="D1719" s="27" t="n"/>
      <c r="E1719" s="27" t="n"/>
      <c r="F1719" s="27" t="n"/>
      <c r="G1719" s="27" t="n"/>
      <c r="H1719" s="62" t="n"/>
      <c r="I1719" s="31" t="n"/>
      <c r="J1719" s="31" t="n"/>
      <c r="K1719" s="31" t="n"/>
      <c r="L1719" s="31" t="n"/>
      <c r="M1719" s="1" t="n"/>
    </row>
    <row r="1720">
      <c r="A1720" s="1" t="n"/>
      <c r="B1720" s="24" t="n">
        <v>1714</v>
      </c>
      <c r="C1720" s="61" t="n"/>
      <c r="D1720" s="27" t="n"/>
      <c r="E1720" s="27" t="n"/>
      <c r="F1720" s="27" t="n"/>
      <c r="G1720" s="27" t="n"/>
      <c r="H1720" s="62" t="n"/>
      <c r="I1720" s="31" t="n"/>
      <c r="J1720" s="31" t="n"/>
      <c r="K1720" s="31" t="n"/>
      <c r="L1720" s="31" t="n"/>
      <c r="M1720" s="1" t="n"/>
    </row>
    <row r="1721">
      <c r="A1721" s="1" t="n"/>
      <c r="B1721" s="24" t="n">
        <v>1715</v>
      </c>
      <c r="C1721" s="61" t="n"/>
      <c r="D1721" s="27" t="n"/>
      <c r="E1721" s="27" t="n"/>
      <c r="F1721" s="27" t="n"/>
      <c r="G1721" s="27" t="n"/>
      <c r="H1721" s="62" t="n"/>
      <c r="I1721" s="31" t="n"/>
      <c r="J1721" s="31" t="n"/>
      <c r="K1721" s="31" t="n"/>
      <c r="L1721" s="31" t="n"/>
      <c r="M1721" s="1" t="n"/>
    </row>
    <row r="1722">
      <c r="A1722" s="1" t="n"/>
      <c r="B1722" s="24" t="n">
        <v>1716</v>
      </c>
      <c r="C1722" s="61" t="n"/>
      <c r="D1722" s="27" t="n"/>
      <c r="E1722" s="27" t="n"/>
      <c r="F1722" s="27" t="n"/>
      <c r="G1722" s="27" t="n"/>
      <c r="H1722" s="62" t="n"/>
      <c r="I1722" s="31" t="n"/>
      <c r="J1722" s="31" t="n"/>
      <c r="K1722" s="31" t="n"/>
      <c r="L1722" s="31" t="n"/>
      <c r="M1722" s="1" t="n"/>
    </row>
    <row r="1723">
      <c r="A1723" s="1" t="n"/>
      <c r="B1723" s="24" t="n">
        <v>1717</v>
      </c>
      <c r="C1723" s="61" t="n"/>
      <c r="D1723" s="27" t="n"/>
      <c r="E1723" s="27" t="n"/>
      <c r="F1723" s="27" t="n"/>
      <c r="G1723" s="27" t="n"/>
      <c r="H1723" s="62" t="n"/>
      <c r="I1723" s="31" t="n"/>
      <c r="J1723" s="31" t="n"/>
      <c r="K1723" s="31" t="n"/>
      <c r="L1723" s="31" t="n"/>
      <c r="M1723" s="1" t="n"/>
    </row>
    <row r="1724">
      <c r="A1724" s="1" t="n"/>
      <c r="B1724" s="24" t="n">
        <v>1718</v>
      </c>
      <c r="C1724" s="61" t="n"/>
      <c r="D1724" s="27" t="n"/>
      <c r="E1724" s="27" t="n"/>
      <c r="F1724" s="27" t="n"/>
      <c r="G1724" s="27" t="n"/>
      <c r="H1724" s="62" t="n"/>
      <c r="I1724" s="31" t="n"/>
      <c r="J1724" s="31" t="n"/>
      <c r="K1724" s="31" t="n"/>
      <c r="L1724" s="31" t="n"/>
      <c r="M1724" s="1" t="n"/>
    </row>
    <row r="1725">
      <c r="A1725" s="1" t="n"/>
      <c r="B1725" s="24" t="n">
        <v>1719</v>
      </c>
      <c r="C1725" s="61" t="n"/>
      <c r="D1725" s="27" t="n"/>
      <c r="E1725" s="27" t="n"/>
      <c r="F1725" s="27" t="n"/>
      <c r="G1725" s="27" t="n"/>
      <c r="H1725" s="62" t="n"/>
      <c r="I1725" s="31" t="n"/>
      <c r="J1725" s="31" t="n"/>
      <c r="K1725" s="31" t="n"/>
      <c r="L1725" s="31" t="n"/>
      <c r="M1725" s="1" t="n"/>
    </row>
    <row r="1726">
      <c r="A1726" s="1" t="n"/>
      <c r="B1726" s="24" t="n">
        <v>1720</v>
      </c>
      <c r="C1726" s="61" t="n"/>
      <c r="D1726" s="27" t="n"/>
      <c r="E1726" s="27" t="n"/>
      <c r="F1726" s="27" t="n"/>
      <c r="G1726" s="27" t="n"/>
      <c r="H1726" s="62" t="n"/>
      <c r="I1726" s="31" t="n"/>
      <c r="J1726" s="31" t="n"/>
      <c r="K1726" s="31" t="n"/>
      <c r="L1726" s="31" t="n"/>
      <c r="M1726" s="1" t="n"/>
    </row>
    <row r="1727">
      <c r="A1727" s="1" t="n"/>
      <c r="B1727" s="24" t="n">
        <v>1721</v>
      </c>
      <c r="C1727" s="61" t="n"/>
      <c r="D1727" s="27" t="n"/>
      <c r="E1727" s="27" t="n"/>
      <c r="F1727" s="27" t="n"/>
      <c r="G1727" s="27" t="n"/>
      <c r="H1727" s="62" t="n"/>
      <c r="I1727" s="31" t="n"/>
      <c r="J1727" s="31" t="n"/>
      <c r="K1727" s="31" t="n"/>
      <c r="L1727" s="31" t="n"/>
      <c r="M1727" s="1" t="n"/>
    </row>
    <row r="1728">
      <c r="A1728" s="1" t="n"/>
      <c r="B1728" s="24" t="n">
        <v>1722</v>
      </c>
      <c r="C1728" s="61" t="n"/>
      <c r="D1728" s="27" t="n"/>
      <c r="E1728" s="27" t="n"/>
      <c r="F1728" s="27" t="n"/>
      <c r="G1728" s="27" t="n"/>
      <c r="H1728" s="62" t="n"/>
      <c r="I1728" s="31" t="n"/>
      <c r="J1728" s="31" t="n"/>
      <c r="K1728" s="31" t="n"/>
      <c r="L1728" s="31" t="n"/>
      <c r="M1728" s="1" t="n"/>
    </row>
    <row r="1729">
      <c r="A1729" s="1" t="n"/>
      <c r="B1729" s="24" t="n">
        <v>1723</v>
      </c>
      <c r="C1729" s="61" t="n"/>
      <c r="D1729" s="27" t="n"/>
      <c r="E1729" s="27" t="n"/>
      <c r="F1729" s="27" t="n"/>
      <c r="G1729" s="27" t="n"/>
      <c r="H1729" s="62" t="n"/>
      <c r="I1729" s="31" t="n"/>
      <c r="J1729" s="31" t="n"/>
      <c r="K1729" s="31" t="n"/>
      <c r="L1729" s="31" t="n"/>
      <c r="M1729" s="1" t="n"/>
    </row>
    <row r="1730">
      <c r="A1730" s="1" t="n"/>
      <c r="B1730" s="24" t="n">
        <v>1724</v>
      </c>
      <c r="C1730" s="61" t="n"/>
      <c r="D1730" s="27" t="n"/>
      <c r="E1730" s="27" t="n"/>
      <c r="F1730" s="27" t="n"/>
      <c r="G1730" s="27" t="n"/>
      <c r="H1730" s="62" t="n"/>
      <c r="I1730" s="31" t="n"/>
      <c r="J1730" s="31" t="n"/>
      <c r="K1730" s="31" t="n"/>
      <c r="L1730" s="31" t="n"/>
      <c r="M1730" s="1" t="n"/>
    </row>
    <row r="1731">
      <c r="A1731" s="1" t="n"/>
      <c r="B1731" s="24" t="n">
        <v>1725</v>
      </c>
      <c r="C1731" s="61" t="n"/>
      <c r="D1731" s="27" t="n"/>
      <c r="E1731" s="27" t="n"/>
      <c r="F1731" s="27" t="n"/>
      <c r="G1731" s="27" t="n"/>
      <c r="H1731" s="62" t="n"/>
      <c r="I1731" s="31" t="n"/>
      <c r="J1731" s="31" t="n"/>
      <c r="K1731" s="31" t="n"/>
      <c r="L1731" s="31" t="n"/>
      <c r="M1731" s="1" t="n"/>
    </row>
    <row r="1732">
      <c r="A1732" s="1" t="n"/>
      <c r="B1732" s="24" t="n">
        <v>1726</v>
      </c>
      <c r="C1732" s="61" t="n"/>
      <c r="D1732" s="27" t="n"/>
      <c r="E1732" s="27" t="n"/>
      <c r="F1732" s="27" t="n"/>
      <c r="G1732" s="27" t="n"/>
      <c r="H1732" s="62" t="n"/>
      <c r="I1732" s="31" t="n"/>
      <c r="J1732" s="31" t="n"/>
      <c r="K1732" s="31" t="n"/>
      <c r="L1732" s="31" t="n"/>
      <c r="M1732" s="1" t="n"/>
    </row>
    <row r="1733">
      <c r="A1733" s="1" t="n"/>
      <c r="B1733" s="24" t="n">
        <v>1727</v>
      </c>
      <c r="C1733" s="61" t="n"/>
      <c r="D1733" s="27" t="n"/>
      <c r="E1733" s="27" t="n"/>
      <c r="F1733" s="27" t="n"/>
      <c r="G1733" s="27" t="n"/>
      <c r="H1733" s="62" t="n"/>
      <c r="I1733" s="31" t="n"/>
      <c r="J1733" s="31" t="n"/>
      <c r="K1733" s="31" t="n"/>
      <c r="L1733" s="31" t="n"/>
      <c r="M1733" s="1" t="n"/>
    </row>
    <row r="1734">
      <c r="A1734" s="1" t="n"/>
      <c r="B1734" s="24" t="n">
        <v>1728</v>
      </c>
      <c r="C1734" s="61" t="n"/>
      <c r="D1734" s="27" t="n"/>
      <c r="E1734" s="27" t="n"/>
      <c r="F1734" s="27" t="n"/>
      <c r="G1734" s="27" t="n"/>
      <c r="H1734" s="62" t="n"/>
      <c r="I1734" s="31" t="n"/>
      <c r="J1734" s="31" t="n"/>
      <c r="K1734" s="31" t="n"/>
      <c r="L1734" s="31" t="n"/>
      <c r="M1734" s="1" t="n"/>
    </row>
    <row r="1735">
      <c r="A1735" s="1" t="n"/>
      <c r="B1735" s="24" t="n">
        <v>1729</v>
      </c>
      <c r="C1735" s="61" t="n"/>
      <c r="D1735" s="27" t="n"/>
      <c r="E1735" s="27" t="n"/>
      <c r="F1735" s="27" t="n"/>
      <c r="G1735" s="27" t="n"/>
      <c r="H1735" s="62" t="n"/>
      <c r="I1735" s="31" t="n"/>
      <c r="J1735" s="31" t="n"/>
      <c r="K1735" s="31" t="n"/>
      <c r="L1735" s="31" t="n"/>
      <c r="M1735" s="1" t="n"/>
    </row>
    <row r="1736">
      <c r="A1736" s="1" t="n"/>
      <c r="B1736" s="24" t="n">
        <v>1730</v>
      </c>
      <c r="C1736" s="61" t="n"/>
      <c r="D1736" s="27" t="n"/>
      <c r="E1736" s="27" t="n"/>
      <c r="F1736" s="27" t="n"/>
      <c r="G1736" s="27" t="n"/>
      <c r="H1736" s="62" t="n"/>
      <c r="I1736" s="31" t="n"/>
      <c r="J1736" s="31" t="n"/>
      <c r="K1736" s="31" t="n"/>
      <c r="L1736" s="31" t="n"/>
      <c r="M1736" s="1" t="n"/>
    </row>
    <row r="1737">
      <c r="A1737" s="1" t="n"/>
      <c r="B1737" s="24" t="n">
        <v>1731</v>
      </c>
      <c r="C1737" s="61" t="n"/>
      <c r="D1737" s="27" t="n"/>
      <c r="E1737" s="27" t="n"/>
      <c r="F1737" s="27" t="n"/>
      <c r="G1737" s="27" t="n"/>
      <c r="H1737" s="62" t="n"/>
      <c r="I1737" s="31" t="n"/>
      <c r="J1737" s="31" t="n"/>
      <c r="K1737" s="31" t="n"/>
      <c r="L1737" s="31" t="n"/>
      <c r="M1737" s="1" t="n"/>
    </row>
    <row r="1738">
      <c r="A1738" s="1" t="n"/>
      <c r="B1738" s="24" t="n">
        <v>1732</v>
      </c>
      <c r="C1738" s="61" t="n"/>
      <c r="D1738" s="27" t="n"/>
      <c r="E1738" s="27" t="n"/>
      <c r="F1738" s="27" t="n"/>
      <c r="G1738" s="27" t="n"/>
      <c r="H1738" s="62" t="n"/>
      <c r="I1738" s="31" t="n"/>
      <c r="J1738" s="31" t="n"/>
      <c r="K1738" s="31" t="n"/>
      <c r="L1738" s="31" t="n"/>
      <c r="M1738" s="1" t="n"/>
    </row>
    <row r="1739">
      <c r="A1739" s="1" t="n"/>
      <c r="B1739" s="24" t="n">
        <v>1733</v>
      </c>
      <c r="C1739" s="61" t="n"/>
      <c r="D1739" s="27" t="n"/>
      <c r="E1739" s="27" t="n"/>
      <c r="F1739" s="27" t="n"/>
      <c r="G1739" s="27" t="n"/>
      <c r="H1739" s="62" t="n"/>
      <c r="I1739" s="31" t="n"/>
      <c r="J1739" s="31" t="n"/>
      <c r="K1739" s="31" t="n"/>
      <c r="L1739" s="31" t="n"/>
      <c r="M1739" s="1" t="n"/>
    </row>
    <row r="1740">
      <c r="A1740" s="1" t="n"/>
      <c r="B1740" s="24" t="n">
        <v>1734</v>
      </c>
      <c r="C1740" s="61" t="n"/>
      <c r="D1740" s="27" t="n"/>
      <c r="E1740" s="27" t="n"/>
      <c r="F1740" s="27" t="n"/>
      <c r="G1740" s="27" t="n"/>
      <c r="H1740" s="62" t="n"/>
      <c r="I1740" s="31" t="n"/>
      <c r="J1740" s="31" t="n"/>
      <c r="K1740" s="31" t="n"/>
      <c r="L1740" s="31" t="n"/>
      <c r="M1740" s="1" t="n"/>
    </row>
    <row r="1741">
      <c r="A1741" s="1" t="n"/>
      <c r="B1741" s="24" t="n">
        <v>1735</v>
      </c>
      <c r="C1741" s="61" t="n"/>
      <c r="D1741" s="27" t="n"/>
      <c r="E1741" s="27" t="n"/>
      <c r="F1741" s="27" t="n"/>
      <c r="G1741" s="27" t="n"/>
      <c r="H1741" s="62" t="n"/>
      <c r="I1741" s="31" t="n"/>
      <c r="J1741" s="31" t="n"/>
      <c r="K1741" s="31" t="n"/>
      <c r="L1741" s="31" t="n"/>
      <c r="M1741" s="1" t="n"/>
    </row>
    <row r="1742">
      <c r="A1742" s="1" t="n"/>
      <c r="B1742" s="24" t="n">
        <v>1736</v>
      </c>
      <c r="C1742" s="61" t="n"/>
      <c r="D1742" s="27" t="n"/>
      <c r="E1742" s="27" t="n"/>
      <c r="F1742" s="27" t="n"/>
      <c r="G1742" s="27" t="n"/>
      <c r="H1742" s="62" t="n"/>
      <c r="I1742" s="31" t="n"/>
      <c r="J1742" s="31" t="n"/>
      <c r="K1742" s="31" t="n"/>
      <c r="L1742" s="31" t="n"/>
      <c r="M1742" s="1" t="n"/>
    </row>
    <row r="1743">
      <c r="A1743" s="1" t="n"/>
      <c r="B1743" s="24" t="n">
        <v>1737</v>
      </c>
      <c r="C1743" s="61" t="n"/>
      <c r="D1743" s="27" t="n"/>
      <c r="E1743" s="27" t="n"/>
      <c r="F1743" s="27" t="n"/>
      <c r="G1743" s="27" t="n"/>
      <c r="H1743" s="62" t="n"/>
      <c r="I1743" s="31" t="n"/>
      <c r="J1743" s="31" t="n"/>
      <c r="K1743" s="31" t="n"/>
      <c r="L1743" s="31" t="n"/>
      <c r="M1743" s="1" t="n"/>
    </row>
    <row r="1744">
      <c r="A1744" s="1" t="n"/>
      <c r="B1744" s="24" t="n">
        <v>1738</v>
      </c>
      <c r="C1744" s="61" t="n"/>
      <c r="D1744" s="27" t="n"/>
      <c r="E1744" s="27" t="n"/>
      <c r="F1744" s="27" t="n"/>
      <c r="G1744" s="27" t="n"/>
      <c r="H1744" s="62" t="n"/>
      <c r="I1744" s="31" t="n"/>
      <c r="J1744" s="31" t="n"/>
      <c r="K1744" s="31" t="n"/>
      <c r="L1744" s="31" t="n"/>
      <c r="M1744" s="1" t="n"/>
    </row>
    <row r="1745">
      <c r="A1745" s="1" t="n"/>
      <c r="B1745" s="24" t="n">
        <v>1739</v>
      </c>
      <c r="C1745" s="61" t="n"/>
      <c r="D1745" s="27" t="n"/>
      <c r="E1745" s="27" t="n"/>
      <c r="F1745" s="27" t="n"/>
      <c r="G1745" s="27" t="n"/>
      <c r="H1745" s="62" t="n"/>
      <c r="I1745" s="31" t="n"/>
      <c r="J1745" s="31" t="n"/>
      <c r="K1745" s="31" t="n"/>
      <c r="L1745" s="31" t="n"/>
      <c r="M1745" s="1" t="n"/>
    </row>
    <row r="1746">
      <c r="A1746" s="1" t="n"/>
      <c r="B1746" s="24" t="n">
        <v>1740</v>
      </c>
      <c r="C1746" s="61" t="n"/>
      <c r="D1746" s="27" t="n"/>
      <c r="E1746" s="27" t="n"/>
      <c r="F1746" s="27" t="n"/>
      <c r="G1746" s="27" t="n"/>
      <c r="H1746" s="62" t="n"/>
      <c r="I1746" s="31" t="n"/>
      <c r="J1746" s="31" t="n"/>
      <c r="K1746" s="31" t="n"/>
      <c r="L1746" s="31" t="n"/>
      <c r="M1746" s="1" t="n"/>
    </row>
    <row r="1747">
      <c r="A1747" s="1" t="n"/>
      <c r="B1747" s="24" t="n">
        <v>1741</v>
      </c>
      <c r="C1747" s="61" t="n"/>
      <c r="D1747" s="27" t="n"/>
      <c r="E1747" s="27" t="n"/>
      <c r="F1747" s="27" t="n"/>
      <c r="G1747" s="27" t="n"/>
      <c r="H1747" s="62" t="n"/>
      <c r="I1747" s="31" t="n"/>
      <c r="J1747" s="31" t="n"/>
      <c r="K1747" s="31" t="n"/>
      <c r="L1747" s="31" t="n"/>
      <c r="M1747" s="1" t="n"/>
    </row>
    <row r="1748">
      <c r="A1748" s="1" t="n"/>
      <c r="B1748" s="24" t="n">
        <v>1742</v>
      </c>
      <c r="C1748" s="61" t="n"/>
      <c r="D1748" s="27" t="n"/>
      <c r="E1748" s="27" t="n"/>
      <c r="F1748" s="27" t="n"/>
      <c r="G1748" s="27" t="n"/>
      <c r="H1748" s="62" t="n"/>
      <c r="I1748" s="31" t="n"/>
      <c r="J1748" s="31" t="n"/>
      <c r="K1748" s="31" t="n"/>
      <c r="L1748" s="31" t="n"/>
      <c r="M1748" s="1" t="n"/>
    </row>
    <row r="1749">
      <c r="A1749" s="1" t="n"/>
      <c r="B1749" s="24" t="n">
        <v>1743</v>
      </c>
      <c r="C1749" s="61" t="n"/>
      <c r="D1749" s="27" t="n"/>
      <c r="E1749" s="27" t="n"/>
      <c r="F1749" s="27" t="n"/>
      <c r="G1749" s="27" t="n"/>
      <c r="H1749" s="62" t="n"/>
      <c r="I1749" s="31" t="n"/>
      <c r="J1749" s="31" t="n"/>
      <c r="K1749" s="31" t="n"/>
      <c r="L1749" s="31" t="n"/>
      <c r="M1749" s="1" t="n"/>
    </row>
    <row r="1750">
      <c r="A1750" s="1" t="n"/>
      <c r="B1750" s="24" t="n">
        <v>1744</v>
      </c>
      <c r="C1750" s="61" t="n"/>
      <c r="D1750" s="27" t="n"/>
      <c r="E1750" s="27" t="n"/>
      <c r="F1750" s="27" t="n"/>
      <c r="G1750" s="27" t="n"/>
      <c r="H1750" s="62" t="n"/>
      <c r="I1750" s="31" t="n"/>
      <c r="J1750" s="31" t="n"/>
      <c r="K1750" s="31" t="n"/>
      <c r="L1750" s="31" t="n"/>
      <c r="M1750" s="1" t="n"/>
    </row>
    <row r="1751">
      <c r="A1751" s="1" t="n"/>
      <c r="B1751" s="24" t="n">
        <v>1745</v>
      </c>
      <c r="C1751" s="61" t="n"/>
      <c r="D1751" s="27" t="n"/>
      <c r="E1751" s="27" t="n"/>
      <c r="F1751" s="27" t="n"/>
      <c r="G1751" s="27" t="n"/>
      <c r="H1751" s="62" t="n"/>
      <c r="I1751" s="31" t="n"/>
      <c r="J1751" s="31" t="n"/>
      <c r="K1751" s="31" t="n"/>
      <c r="L1751" s="31" t="n"/>
      <c r="M1751" s="1" t="n"/>
    </row>
    <row r="1752">
      <c r="A1752" s="1" t="n"/>
      <c r="B1752" s="24" t="n">
        <v>1746</v>
      </c>
      <c r="C1752" s="61" t="n"/>
      <c r="D1752" s="27" t="n"/>
      <c r="E1752" s="27" t="n"/>
      <c r="F1752" s="27" t="n"/>
      <c r="G1752" s="27" t="n"/>
      <c r="H1752" s="62" t="n"/>
      <c r="I1752" s="31" t="n"/>
      <c r="J1752" s="31" t="n"/>
      <c r="K1752" s="31" t="n"/>
      <c r="L1752" s="31" t="n"/>
      <c r="M1752" s="1" t="n"/>
    </row>
    <row r="1753">
      <c r="A1753" s="1" t="n"/>
      <c r="B1753" s="24" t="n">
        <v>1747</v>
      </c>
      <c r="C1753" s="61" t="n"/>
      <c r="D1753" s="27" t="n"/>
      <c r="E1753" s="27" t="n"/>
      <c r="F1753" s="27" t="n"/>
      <c r="G1753" s="27" t="n"/>
      <c r="H1753" s="62" t="n"/>
      <c r="I1753" s="31" t="n"/>
      <c r="J1753" s="31" t="n"/>
      <c r="K1753" s="31" t="n"/>
      <c r="L1753" s="31" t="n"/>
      <c r="M1753" s="1" t="n"/>
    </row>
    <row r="1754">
      <c r="A1754" s="1" t="n"/>
      <c r="B1754" s="24" t="n">
        <v>1748</v>
      </c>
      <c r="C1754" s="61" t="n"/>
      <c r="D1754" s="27" t="n"/>
      <c r="E1754" s="27" t="n"/>
      <c r="F1754" s="27" t="n"/>
      <c r="G1754" s="27" t="n"/>
      <c r="H1754" s="62" t="n"/>
      <c r="I1754" s="31" t="n"/>
      <c r="J1754" s="31" t="n"/>
      <c r="K1754" s="31" t="n"/>
      <c r="L1754" s="31" t="n"/>
      <c r="M1754" s="1" t="n"/>
    </row>
    <row r="1755">
      <c r="A1755" s="1" t="n"/>
      <c r="B1755" s="24" t="n">
        <v>1749</v>
      </c>
      <c r="C1755" s="61" t="n"/>
      <c r="D1755" s="27" t="n"/>
      <c r="E1755" s="27" t="n"/>
      <c r="F1755" s="27" t="n"/>
      <c r="G1755" s="27" t="n"/>
      <c r="H1755" s="62" t="n"/>
      <c r="I1755" s="31" t="n"/>
      <c r="J1755" s="31" t="n"/>
      <c r="K1755" s="31" t="n"/>
      <c r="L1755" s="31" t="n"/>
      <c r="M1755" s="1" t="n"/>
    </row>
    <row r="1756">
      <c r="A1756" s="1" t="n"/>
      <c r="B1756" s="24" t="n">
        <v>1750</v>
      </c>
      <c r="C1756" s="61" t="n"/>
      <c r="D1756" s="27" t="n"/>
      <c r="E1756" s="27" t="n"/>
      <c r="F1756" s="27" t="n"/>
      <c r="G1756" s="27" t="n"/>
      <c r="H1756" s="62" t="n"/>
      <c r="I1756" s="31" t="n"/>
      <c r="J1756" s="31" t="n"/>
      <c r="K1756" s="31" t="n"/>
      <c r="L1756" s="31" t="n"/>
      <c r="M1756" s="1" t="n"/>
    </row>
    <row r="1757">
      <c r="A1757" s="1" t="n"/>
      <c r="B1757" s="24" t="n">
        <v>1751</v>
      </c>
      <c r="C1757" s="61" t="n"/>
      <c r="D1757" s="27" t="n"/>
      <c r="E1757" s="27" t="n"/>
      <c r="F1757" s="27" t="n"/>
      <c r="G1757" s="27" t="n"/>
      <c r="H1757" s="62" t="n"/>
      <c r="I1757" s="31" t="n"/>
      <c r="J1757" s="31" t="n"/>
      <c r="K1757" s="31" t="n"/>
      <c r="L1757" s="31" t="n"/>
      <c r="M1757" s="1" t="n"/>
    </row>
    <row r="1758">
      <c r="A1758" s="1" t="n"/>
      <c r="B1758" s="24" t="n">
        <v>1752</v>
      </c>
      <c r="C1758" s="61" t="n"/>
      <c r="D1758" s="27" t="n"/>
      <c r="E1758" s="27" t="n"/>
      <c r="F1758" s="27" t="n"/>
      <c r="G1758" s="27" t="n"/>
      <c r="H1758" s="62" t="n"/>
      <c r="I1758" s="31" t="n"/>
      <c r="J1758" s="31" t="n"/>
      <c r="K1758" s="31" t="n"/>
      <c r="L1758" s="31" t="n"/>
      <c r="M1758" s="1" t="n"/>
    </row>
    <row r="1759">
      <c r="A1759" s="1" t="n"/>
      <c r="B1759" s="24" t="n">
        <v>1753</v>
      </c>
      <c r="C1759" s="61" t="n"/>
      <c r="D1759" s="27" t="n"/>
      <c r="E1759" s="27" t="n"/>
      <c r="F1759" s="27" t="n"/>
      <c r="G1759" s="27" t="n"/>
      <c r="H1759" s="62" t="n"/>
      <c r="I1759" s="31" t="n"/>
      <c r="J1759" s="31" t="n"/>
      <c r="K1759" s="31" t="n"/>
      <c r="L1759" s="31" t="n"/>
      <c r="M1759" s="1" t="n"/>
    </row>
    <row r="1760">
      <c r="A1760" s="1" t="n"/>
      <c r="B1760" s="24" t="n">
        <v>1754</v>
      </c>
      <c r="C1760" s="61" t="n"/>
      <c r="D1760" s="27" t="n"/>
      <c r="E1760" s="27" t="n"/>
      <c r="F1760" s="27" t="n"/>
      <c r="G1760" s="27" t="n"/>
      <c r="H1760" s="62" t="n"/>
      <c r="I1760" s="31" t="n"/>
      <c r="J1760" s="31" t="n"/>
      <c r="K1760" s="31" t="n"/>
      <c r="L1760" s="31" t="n"/>
      <c r="M1760" s="1" t="n"/>
    </row>
    <row r="1761">
      <c r="A1761" s="1" t="n"/>
      <c r="B1761" s="24" t="n">
        <v>1755</v>
      </c>
      <c r="C1761" s="61" t="n"/>
      <c r="D1761" s="27" t="n"/>
      <c r="E1761" s="27" t="n"/>
      <c r="F1761" s="27" t="n"/>
      <c r="G1761" s="27" t="n"/>
      <c r="H1761" s="62" t="n"/>
      <c r="I1761" s="31" t="n"/>
      <c r="J1761" s="31" t="n"/>
      <c r="K1761" s="31" t="n"/>
      <c r="L1761" s="31" t="n"/>
      <c r="M1761" s="1" t="n"/>
    </row>
    <row r="1762">
      <c r="A1762" s="1" t="n"/>
      <c r="B1762" s="24" t="n">
        <v>1756</v>
      </c>
      <c r="C1762" s="61" t="n"/>
      <c r="D1762" s="27" t="n"/>
      <c r="E1762" s="27" t="n"/>
      <c r="F1762" s="27" t="n"/>
      <c r="G1762" s="27" t="n"/>
      <c r="H1762" s="62" t="n"/>
      <c r="I1762" s="31" t="n"/>
      <c r="J1762" s="31" t="n"/>
      <c r="K1762" s="31" t="n"/>
      <c r="L1762" s="31" t="n"/>
      <c r="M1762" s="1" t="n"/>
    </row>
    <row r="1763">
      <c r="A1763" s="1" t="n"/>
      <c r="B1763" s="24" t="n">
        <v>1757</v>
      </c>
      <c r="C1763" s="61" t="n"/>
      <c r="D1763" s="27" t="n"/>
      <c r="E1763" s="27" t="n"/>
      <c r="F1763" s="27" t="n"/>
      <c r="G1763" s="27" t="n"/>
      <c r="H1763" s="62" t="n"/>
      <c r="I1763" s="31" t="n"/>
      <c r="J1763" s="31" t="n"/>
      <c r="K1763" s="31" t="n"/>
      <c r="L1763" s="31" t="n"/>
      <c r="M1763" s="1" t="n"/>
    </row>
    <row r="1764">
      <c r="A1764" s="1" t="n"/>
      <c r="B1764" s="24" t="n">
        <v>1758</v>
      </c>
      <c r="C1764" s="61" t="n"/>
      <c r="D1764" s="27" t="n"/>
      <c r="E1764" s="27" t="n"/>
      <c r="F1764" s="27" t="n"/>
      <c r="G1764" s="27" t="n"/>
      <c r="H1764" s="62" t="n"/>
      <c r="I1764" s="31" t="n"/>
      <c r="J1764" s="31" t="n"/>
      <c r="K1764" s="31" t="n"/>
      <c r="L1764" s="31" t="n"/>
      <c r="M1764" s="1" t="n"/>
    </row>
    <row r="1765">
      <c r="A1765" s="1" t="n"/>
      <c r="B1765" s="24" t="n">
        <v>1759</v>
      </c>
      <c r="C1765" s="61" t="n"/>
      <c r="D1765" s="27" t="n"/>
      <c r="E1765" s="27" t="n"/>
      <c r="F1765" s="27" t="n"/>
      <c r="G1765" s="27" t="n"/>
      <c r="H1765" s="62" t="n"/>
      <c r="I1765" s="31" t="n"/>
      <c r="J1765" s="31" t="n"/>
      <c r="K1765" s="31" t="n"/>
      <c r="L1765" s="31" t="n"/>
      <c r="M1765" s="1" t="n"/>
    </row>
    <row r="1766">
      <c r="A1766" s="1" t="n"/>
      <c r="B1766" s="24" t="n">
        <v>1760</v>
      </c>
      <c r="C1766" s="61" t="n"/>
      <c r="D1766" s="27" t="n"/>
      <c r="E1766" s="27" t="n"/>
      <c r="F1766" s="27" t="n"/>
      <c r="G1766" s="27" t="n"/>
      <c r="H1766" s="62" t="n"/>
      <c r="I1766" s="31" t="n"/>
      <c r="J1766" s="31" t="n"/>
      <c r="K1766" s="31" t="n"/>
      <c r="L1766" s="31" t="n"/>
      <c r="M1766" s="1" t="n"/>
    </row>
    <row r="1767">
      <c r="A1767" s="1" t="n"/>
      <c r="B1767" s="24" t="n">
        <v>1761</v>
      </c>
      <c r="C1767" s="61" t="n"/>
      <c r="D1767" s="27" t="n"/>
      <c r="E1767" s="27" t="n"/>
      <c r="F1767" s="27" t="n"/>
      <c r="G1767" s="27" t="n"/>
      <c r="H1767" s="62" t="n"/>
      <c r="I1767" s="31" t="n"/>
      <c r="J1767" s="31" t="n"/>
      <c r="K1767" s="31" t="n"/>
      <c r="L1767" s="31" t="n"/>
      <c r="M1767" s="1" t="n"/>
    </row>
    <row r="1768">
      <c r="A1768" s="1" t="n"/>
      <c r="B1768" s="24" t="n">
        <v>1762</v>
      </c>
      <c r="C1768" s="61" t="n"/>
      <c r="D1768" s="27" t="n"/>
      <c r="E1768" s="27" t="n"/>
      <c r="F1768" s="27" t="n"/>
      <c r="G1768" s="27" t="n"/>
      <c r="H1768" s="62" t="n"/>
      <c r="I1768" s="31" t="n"/>
      <c r="J1768" s="31" t="n"/>
      <c r="K1768" s="31" t="n"/>
      <c r="L1768" s="31" t="n"/>
      <c r="M1768" s="1" t="n"/>
    </row>
    <row r="1769">
      <c r="A1769" s="1" t="n"/>
      <c r="B1769" s="24" t="n">
        <v>1763</v>
      </c>
      <c r="C1769" s="61" t="n"/>
      <c r="D1769" s="27" t="n"/>
      <c r="E1769" s="27" t="n"/>
      <c r="F1769" s="27" t="n"/>
      <c r="G1769" s="27" t="n"/>
      <c r="H1769" s="62" t="n"/>
      <c r="I1769" s="31" t="n"/>
      <c r="J1769" s="31" t="n"/>
      <c r="K1769" s="31" t="n"/>
      <c r="L1769" s="31" t="n"/>
      <c r="M1769" s="1" t="n"/>
    </row>
    <row r="1770">
      <c r="A1770" s="1" t="n"/>
      <c r="B1770" s="24" t="n">
        <v>1764</v>
      </c>
      <c r="C1770" s="61" t="n"/>
      <c r="D1770" s="27" t="n"/>
      <c r="E1770" s="27" t="n"/>
      <c r="F1770" s="27" t="n"/>
      <c r="G1770" s="27" t="n"/>
      <c r="H1770" s="62" t="n"/>
      <c r="I1770" s="31" t="n"/>
      <c r="J1770" s="31" t="n"/>
      <c r="K1770" s="31" t="n"/>
      <c r="L1770" s="31" t="n"/>
      <c r="M1770" s="1" t="n"/>
    </row>
    <row r="1771">
      <c r="A1771" s="1" t="n"/>
      <c r="B1771" s="24" t="n">
        <v>1765</v>
      </c>
      <c r="C1771" s="61" t="n"/>
      <c r="D1771" s="27" t="n"/>
      <c r="E1771" s="27" t="n"/>
      <c r="F1771" s="27" t="n"/>
      <c r="G1771" s="27" t="n"/>
      <c r="H1771" s="62" t="n"/>
      <c r="I1771" s="31" t="n"/>
      <c r="J1771" s="31" t="n"/>
      <c r="K1771" s="31" t="n"/>
      <c r="L1771" s="31" t="n"/>
      <c r="M1771" s="1" t="n"/>
    </row>
    <row r="1772">
      <c r="A1772" s="1" t="n"/>
      <c r="B1772" s="24" t="n">
        <v>1766</v>
      </c>
      <c r="C1772" s="61" t="n"/>
      <c r="D1772" s="27" t="n"/>
      <c r="E1772" s="27" t="n"/>
      <c r="F1772" s="27" t="n"/>
      <c r="G1772" s="27" t="n"/>
      <c r="H1772" s="62" t="n"/>
      <c r="I1772" s="31" t="n"/>
      <c r="J1772" s="31" t="n"/>
      <c r="K1772" s="31" t="n"/>
      <c r="L1772" s="31" t="n"/>
      <c r="M1772" s="1" t="n"/>
    </row>
    <row r="1773">
      <c r="A1773" s="1" t="n"/>
      <c r="B1773" s="24" t="n">
        <v>1767</v>
      </c>
      <c r="C1773" s="61" t="n"/>
      <c r="D1773" s="27" t="n"/>
      <c r="E1773" s="27" t="n"/>
      <c r="F1773" s="27" t="n"/>
      <c r="G1773" s="27" t="n"/>
      <c r="H1773" s="62" t="n"/>
      <c r="I1773" s="31" t="n"/>
      <c r="J1773" s="31" t="n"/>
      <c r="K1773" s="31" t="n"/>
      <c r="L1773" s="31" t="n"/>
      <c r="M1773" s="1" t="n"/>
    </row>
    <row r="1774">
      <c r="A1774" s="1" t="n"/>
      <c r="B1774" s="24" t="n">
        <v>1768</v>
      </c>
      <c r="C1774" s="61" t="n"/>
      <c r="D1774" s="27" t="n"/>
      <c r="E1774" s="27" t="n"/>
      <c r="F1774" s="27" t="n"/>
      <c r="G1774" s="27" t="n"/>
      <c r="H1774" s="62" t="n"/>
      <c r="I1774" s="31" t="n"/>
      <c r="J1774" s="31" t="n"/>
      <c r="K1774" s="31" t="n"/>
      <c r="L1774" s="31" t="n"/>
      <c r="M1774" s="1" t="n"/>
    </row>
    <row r="1775">
      <c r="A1775" s="1" t="n"/>
      <c r="B1775" s="24" t="n">
        <v>1769</v>
      </c>
      <c r="C1775" s="61" t="n"/>
      <c r="D1775" s="27" t="n"/>
      <c r="E1775" s="27" t="n"/>
      <c r="F1775" s="27" t="n"/>
      <c r="G1775" s="27" t="n"/>
      <c r="H1775" s="62" t="n"/>
      <c r="I1775" s="31" t="n"/>
      <c r="J1775" s="31" t="n"/>
      <c r="K1775" s="31" t="n"/>
      <c r="L1775" s="31" t="n"/>
      <c r="M1775" s="1" t="n"/>
    </row>
    <row r="1776">
      <c r="A1776" s="1" t="n"/>
      <c r="B1776" s="24" t="n">
        <v>1770</v>
      </c>
      <c r="C1776" s="61" t="n"/>
      <c r="D1776" s="27" t="n"/>
      <c r="E1776" s="27" t="n"/>
      <c r="F1776" s="27" t="n"/>
      <c r="G1776" s="27" t="n"/>
      <c r="H1776" s="62" t="n"/>
      <c r="I1776" s="31" t="n"/>
      <c r="J1776" s="31" t="n"/>
      <c r="K1776" s="31" t="n"/>
      <c r="L1776" s="31" t="n"/>
      <c r="M1776" s="1" t="n"/>
    </row>
    <row r="1777">
      <c r="A1777" s="1" t="n"/>
      <c r="B1777" s="24" t="n">
        <v>1771</v>
      </c>
      <c r="C1777" s="61" t="n"/>
      <c r="D1777" s="27" t="n"/>
      <c r="E1777" s="27" t="n"/>
      <c r="F1777" s="27" t="n"/>
      <c r="G1777" s="27" t="n"/>
      <c r="H1777" s="62" t="n"/>
      <c r="I1777" s="31" t="n"/>
      <c r="J1777" s="31" t="n"/>
      <c r="K1777" s="31" t="n"/>
      <c r="L1777" s="31" t="n"/>
      <c r="M1777" s="1" t="n"/>
    </row>
    <row r="1778">
      <c r="A1778" s="1" t="n"/>
      <c r="B1778" s="24" t="n">
        <v>1772</v>
      </c>
      <c r="C1778" s="61" t="n"/>
      <c r="D1778" s="27" t="n"/>
      <c r="E1778" s="27" t="n"/>
      <c r="F1778" s="27" t="n"/>
      <c r="G1778" s="27" t="n"/>
      <c r="H1778" s="62" t="n"/>
      <c r="I1778" s="31" t="n"/>
      <c r="J1778" s="31" t="n"/>
      <c r="K1778" s="31" t="n"/>
      <c r="L1778" s="31" t="n"/>
      <c r="M1778" s="1" t="n"/>
    </row>
    <row r="1779">
      <c r="A1779" s="1" t="n"/>
      <c r="B1779" s="24" t="n">
        <v>1773</v>
      </c>
      <c r="C1779" s="61" t="n"/>
      <c r="D1779" s="27" t="n"/>
      <c r="E1779" s="27" t="n"/>
      <c r="F1779" s="27" t="n"/>
      <c r="G1779" s="27" t="n"/>
      <c r="H1779" s="62" t="n"/>
      <c r="I1779" s="31" t="n"/>
      <c r="J1779" s="31" t="n"/>
      <c r="K1779" s="31" t="n"/>
      <c r="L1779" s="31" t="n"/>
      <c r="M1779" s="1" t="n"/>
    </row>
    <row r="1780">
      <c r="A1780" s="1" t="n"/>
      <c r="B1780" s="24" t="n">
        <v>1774</v>
      </c>
      <c r="C1780" s="61" t="n"/>
      <c r="D1780" s="27" t="n"/>
      <c r="E1780" s="27" t="n"/>
      <c r="F1780" s="27" t="n"/>
      <c r="G1780" s="27" t="n"/>
      <c r="H1780" s="62" t="n"/>
      <c r="I1780" s="31" t="n"/>
      <c r="J1780" s="31" t="n"/>
      <c r="K1780" s="31" t="n"/>
      <c r="L1780" s="31" t="n"/>
      <c r="M1780" s="1" t="n"/>
    </row>
    <row r="1781">
      <c r="A1781" s="1" t="n"/>
      <c r="B1781" s="24" t="n">
        <v>1775</v>
      </c>
      <c r="C1781" s="61" t="n"/>
      <c r="D1781" s="27" t="n"/>
      <c r="E1781" s="27" t="n"/>
      <c r="F1781" s="27" t="n"/>
      <c r="G1781" s="27" t="n"/>
      <c r="H1781" s="62" t="n"/>
      <c r="I1781" s="31" t="n"/>
      <c r="J1781" s="31" t="n"/>
      <c r="K1781" s="31" t="n"/>
      <c r="L1781" s="31" t="n"/>
      <c r="M1781" s="1" t="n"/>
    </row>
    <row r="1782">
      <c r="A1782" s="1" t="n"/>
      <c r="B1782" s="24" t="n">
        <v>1776</v>
      </c>
      <c r="C1782" s="61" t="n"/>
      <c r="D1782" s="27" t="n"/>
      <c r="E1782" s="27" t="n"/>
      <c r="F1782" s="27" t="n"/>
      <c r="G1782" s="27" t="n"/>
      <c r="H1782" s="62" t="n"/>
      <c r="I1782" s="31" t="n"/>
      <c r="J1782" s="31" t="n"/>
      <c r="K1782" s="31" t="n"/>
      <c r="L1782" s="31" t="n"/>
      <c r="M1782" s="1" t="n"/>
    </row>
    <row r="1783">
      <c r="A1783" s="1" t="n"/>
      <c r="B1783" s="24" t="n">
        <v>1777</v>
      </c>
      <c r="C1783" s="61" t="n"/>
      <c r="D1783" s="27" t="n"/>
      <c r="E1783" s="27" t="n"/>
      <c r="F1783" s="27" t="n"/>
      <c r="G1783" s="27" t="n"/>
      <c r="H1783" s="62" t="n"/>
      <c r="I1783" s="31" t="n"/>
      <c r="J1783" s="31" t="n"/>
      <c r="K1783" s="31" t="n"/>
      <c r="L1783" s="31" t="n"/>
      <c r="M1783" s="1" t="n"/>
    </row>
    <row r="1784">
      <c r="A1784" s="1" t="n"/>
      <c r="B1784" s="24" t="n">
        <v>1778</v>
      </c>
      <c r="C1784" s="61" t="n"/>
      <c r="D1784" s="27" t="n"/>
      <c r="E1784" s="27" t="n"/>
      <c r="F1784" s="27" t="n"/>
      <c r="G1784" s="27" t="n"/>
      <c r="H1784" s="62" t="n"/>
      <c r="I1784" s="31" t="n"/>
      <c r="J1784" s="31" t="n"/>
      <c r="K1784" s="31" t="n"/>
      <c r="L1784" s="31" t="n"/>
      <c r="M1784" s="1" t="n"/>
    </row>
    <row r="1785">
      <c r="A1785" s="1" t="n"/>
      <c r="B1785" s="24" t="n">
        <v>1779</v>
      </c>
      <c r="C1785" s="61" t="n"/>
      <c r="D1785" s="27" t="n"/>
      <c r="E1785" s="27" t="n"/>
      <c r="F1785" s="27" t="n"/>
      <c r="G1785" s="27" t="n"/>
      <c r="H1785" s="62" t="n"/>
      <c r="I1785" s="31" t="n"/>
      <c r="J1785" s="31" t="n"/>
      <c r="K1785" s="31" t="n"/>
      <c r="L1785" s="31" t="n"/>
      <c r="M1785" s="1" t="n"/>
    </row>
    <row r="1786">
      <c r="A1786" s="1" t="n"/>
      <c r="B1786" s="24" t="n">
        <v>1780</v>
      </c>
      <c r="C1786" s="61" t="n"/>
      <c r="D1786" s="27" t="n"/>
      <c r="E1786" s="27" t="n"/>
      <c r="F1786" s="27" t="n"/>
      <c r="G1786" s="27" t="n"/>
      <c r="H1786" s="62" t="n"/>
      <c r="I1786" s="31" t="n"/>
      <c r="J1786" s="31" t="n"/>
      <c r="K1786" s="31" t="n"/>
      <c r="L1786" s="31" t="n"/>
      <c r="M1786" s="1" t="n"/>
    </row>
    <row r="1787">
      <c r="A1787" s="1" t="n"/>
      <c r="B1787" s="24" t="n">
        <v>1781</v>
      </c>
      <c r="C1787" s="61" t="n"/>
      <c r="D1787" s="27" t="n"/>
      <c r="E1787" s="27" t="n"/>
      <c r="F1787" s="27" t="n"/>
      <c r="G1787" s="27" t="n"/>
      <c r="H1787" s="62" t="n"/>
      <c r="I1787" s="31" t="n"/>
      <c r="J1787" s="31" t="n"/>
      <c r="K1787" s="31" t="n"/>
      <c r="L1787" s="31" t="n"/>
      <c r="M1787" s="1" t="n"/>
    </row>
    <row r="1788">
      <c r="A1788" s="1" t="n"/>
      <c r="B1788" s="24" t="n">
        <v>1782</v>
      </c>
      <c r="C1788" s="61" t="n"/>
      <c r="D1788" s="27" t="n"/>
      <c r="E1788" s="27" t="n"/>
      <c r="F1788" s="27" t="n"/>
      <c r="G1788" s="27" t="n"/>
      <c r="H1788" s="62" t="n"/>
      <c r="I1788" s="31" t="n"/>
      <c r="J1788" s="31" t="n"/>
      <c r="K1788" s="31" t="n"/>
      <c r="L1788" s="31" t="n"/>
      <c r="M1788" s="1" t="n"/>
    </row>
    <row r="1789">
      <c r="A1789" s="1" t="n"/>
      <c r="B1789" s="24" t="n">
        <v>1783</v>
      </c>
      <c r="C1789" s="61" t="n"/>
      <c r="D1789" s="27" t="n"/>
      <c r="E1789" s="27" t="n"/>
      <c r="F1789" s="27" t="n"/>
      <c r="G1789" s="27" t="n"/>
      <c r="H1789" s="62" t="n"/>
      <c r="I1789" s="31" t="n"/>
      <c r="J1789" s="31" t="n"/>
      <c r="K1789" s="31" t="n"/>
      <c r="L1789" s="31" t="n"/>
      <c r="M1789" s="1" t="n"/>
    </row>
    <row r="1790">
      <c r="A1790" s="1" t="n"/>
      <c r="B1790" s="24" t="n">
        <v>1784</v>
      </c>
      <c r="C1790" s="61" t="n"/>
      <c r="D1790" s="27" t="n"/>
      <c r="E1790" s="27" t="n"/>
      <c r="F1790" s="27" t="n"/>
      <c r="G1790" s="27" t="n"/>
      <c r="H1790" s="62" t="n"/>
      <c r="I1790" s="31" t="n"/>
      <c r="J1790" s="31" t="n"/>
      <c r="K1790" s="31" t="n"/>
      <c r="L1790" s="31" t="n"/>
      <c r="M1790" s="1" t="n"/>
    </row>
    <row r="1791">
      <c r="A1791" s="1" t="n"/>
      <c r="B1791" s="24" t="n">
        <v>1785</v>
      </c>
      <c r="C1791" s="61" t="n"/>
      <c r="D1791" s="27" t="n"/>
      <c r="E1791" s="27" t="n"/>
      <c r="F1791" s="27" t="n"/>
      <c r="G1791" s="27" t="n"/>
      <c r="H1791" s="62" t="n"/>
      <c r="I1791" s="31" t="n"/>
      <c r="J1791" s="31" t="n"/>
      <c r="K1791" s="31" t="n"/>
      <c r="L1791" s="31" t="n"/>
      <c r="M1791" s="1" t="n"/>
    </row>
    <row r="1792">
      <c r="A1792" s="1" t="n"/>
      <c r="B1792" s="24" t="n">
        <v>1786</v>
      </c>
      <c r="C1792" s="61" t="n"/>
      <c r="D1792" s="27" t="n"/>
      <c r="E1792" s="27" t="n"/>
      <c r="F1792" s="27" t="n"/>
      <c r="G1792" s="27" t="n"/>
      <c r="H1792" s="62" t="n"/>
      <c r="I1792" s="31" t="n"/>
      <c r="J1792" s="31" t="n"/>
      <c r="K1792" s="31" t="n"/>
      <c r="L1792" s="31" t="n"/>
      <c r="M1792" s="1" t="n"/>
    </row>
    <row r="1793">
      <c r="A1793" s="1" t="n"/>
      <c r="B1793" s="24" t="n">
        <v>1787</v>
      </c>
      <c r="C1793" s="61" t="n"/>
      <c r="D1793" s="27" t="n"/>
      <c r="E1793" s="27" t="n"/>
      <c r="F1793" s="27" t="n"/>
      <c r="G1793" s="27" t="n"/>
      <c r="H1793" s="62" t="n"/>
      <c r="I1793" s="31" t="n"/>
      <c r="J1793" s="31" t="n"/>
      <c r="K1793" s="31" t="n"/>
      <c r="L1793" s="31" t="n"/>
      <c r="M1793" s="1" t="n"/>
    </row>
    <row r="1794">
      <c r="A1794" s="1" t="n"/>
      <c r="B1794" s="24" t="n">
        <v>1788</v>
      </c>
      <c r="C1794" s="61" t="n"/>
      <c r="D1794" s="27" t="n"/>
      <c r="E1794" s="27" t="n"/>
      <c r="F1794" s="27" t="n"/>
      <c r="G1794" s="27" t="n"/>
      <c r="H1794" s="62" t="n"/>
      <c r="I1794" s="31" t="n"/>
      <c r="J1794" s="31" t="n"/>
      <c r="K1794" s="31" t="n"/>
      <c r="L1794" s="31" t="n"/>
      <c r="M1794" s="1" t="n"/>
    </row>
    <row r="1795">
      <c r="A1795" s="1" t="n"/>
      <c r="B1795" s="24" t="n">
        <v>1789</v>
      </c>
      <c r="C1795" s="61" t="n"/>
      <c r="D1795" s="27" t="n"/>
      <c r="E1795" s="27" t="n"/>
      <c r="F1795" s="27" t="n"/>
      <c r="G1795" s="27" t="n"/>
      <c r="H1795" s="62" t="n"/>
      <c r="I1795" s="31" t="n"/>
      <c r="J1795" s="31" t="n"/>
      <c r="K1795" s="31" t="n"/>
      <c r="L1795" s="31" t="n"/>
      <c r="M1795" s="1" t="n"/>
    </row>
    <row r="1796">
      <c r="A1796" s="1" t="n"/>
      <c r="B1796" s="24" t="n">
        <v>1790</v>
      </c>
      <c r="C1796" s="61" t="n"/>
      <c r="D1796" s="27" t="n"/>
      <c r="E1796" s="27" t="n"/>
      <c r="F1796" s="27" t="n"/>
      <c r="G1796" s="27" t="n"/>
      <c r="H1796" s="62" t="n"/>
      <c r="I1796" s="31" t="n"/>
      <c r="J1796" s="31" t="n"/>
      <c r="K1796" s="31" t="n"/>
      <c r="L1796" s="31" t="n"/>
      <c r="M1796" s="1" t="n"/>
    </row>
    <row r="1797">
      <c r="A1797" s="1" t="n"/>
      <c r="B1797" s="24" t="n">
        <v>1791</v>
      </c>
      <c r="C1797" s="61" t="n"/>
      <c r="D1797" s="27" t="n"/>
      <c r="E1797" s="27" t="n"/>
      <c r="F1797" s="27" t="n"/>
      <c r="G1797" s="27" t="n"/>
      <c r="H1797" s="62" t="n"/>
      <c r="I1797" s="31" t="n"/>
      <c r="J1797" s="31" t="n"/>
      <c r="K1797" s="31" t="n"/>
      <c r="L1797" s="31" t="n"/>
      <c r="M1797" s="1" t="n"/>
    </row>
    <row r="1798">
      <c r="A1798" s="1" t="n"/>
      <c r="B1798" s="24" t="n">
        <v>1792</v>
      </c>
      <c r="C1798" s="61" t="n"/>
      <c r="D1798" s="27" t="n"/>
      <c r="E1798" s="27" t="n"/>
      <c r="F1798" s="27" t="n"/>
      <c r="G1798" s="27" t="n"/>
      <c r="H1798" s="62" t="n"/>
      <c r="I1798" s="31" t="n"/>
      <c r="J1798" s="31" t="n"/>
      <c r="K1798" s="31" t="n"/>
      <c r="L1798" s="31" t="n"/>
      <c r="M1798" s="1" t="n"/>
    </row>
    <row r="1799">
      <c r="A1799" s="1" t="n"/>
      <c r="B1799" s="24" t="n">
        <v>1793</v>
      </c>
      <c r="C1799" s="61" t="n"/>
      <c r="D1799" s="27" t="n"/>
      <c r="E1799" s="27" t="n"/>
      <c r="F1799" s="27" t="n"/>
      <c r="G1799" s="27" t="n"/>
      <c r="H1799" s="62" t="n"/>
      <c r="I1799" s="31" t="n"/>
      <c r="J1799" s="31" t="n"/>
      <c r="K1799" s="31" t="n"/>
      <c r="L1799" s="31" t="n"/>
      <c r="M1799" s="1" t="n"/>
    </row>
    <row r="1800">
      <c r="A1800" s="1" t="n"/>
      <c r="B1800" s="24" t="n">
        <v>1794</v>
      </c>
      <c r="C1800" s="61" t="n"/>
      <c r="D1800" s="27" t="n"/>
      <c r="E1800" s="27" t="n"/>
      <c r="F1800" s="27" t="n"/>
      <c r="G1800" s="27" t="n"/>
      <c r="H1800" s="62" t="n"/>
      <c r="I1800" s="31" t="n"/>
      <c r="J1800" s="31" t="n"/>
      <c r="K1800" s="31" t="n"/>
      <c r="L1800" s="31" t="n"/>
      <c r="M1800" s="1" t="n"/>
    </row>
    <row r="1801">
      <c r="A1801" s="1" t="n"/>
      <c r="B1801" s="24" t="n">
        <v>1795</v>
      </c>
      <c r="C1801" s="61" t="n"/>
      <c r="D1801" s="27" t="n"/>
      <c r="E1801" s="27" t="n"/>
      <c r="F1801" s="27" t="n"/>
      <c r="G1801" s="27" t="n"/>
      <c r="H1801" s="62" t="n"/>
      <c r="I1801" s="31" t="n"/>
      <c r="J1801" s="31" t="n"/>
      <c r="K1801" s="31" t="n"/>
      <c r="L1801" s="31" t="n"/>
      <c r="M1801" s="1" t="n"/>
    </row>
    <row r="1802">
      <c r="A1802" s="1" t="n"/>
      <c r="B1802" s="24" t="n">
        <v>1796</v>
      </c>
      <c r="C1802" s="61" t="n"/>
      <c r="D1802" s="27" t="n"/>
      <c r="E1802" s="27" t="n"/>
      <c r="F1802" s="27" t="n"/>
      <c r="G1802" s="27" t="n"/>
      <c r="H1802" s="62" t="n"/>
      <c r="I1802" s="31" t="n"/>
      <c r="J1802" s="31" t="n"/>
      <c r="K1802" s="31" t="n"/>
      <c r="L1802" s="31" t="n"/>
      <c r="M1802" s="1" t="n"/>
    </row>
    <row r="1803">
      <c r="A1803" s="1" t="n"/>
      <c r="B1803" s="24" t="n">
        <v>1797</v>
      </c>
      <c r="C1803" s="61" t="n"/>
      <c r="D1803" s="27" t="n"/>
      <c r="E1803" s="27" t="n"/>
      <c r="F1803" s="27" t="n"/>
      <c r="G1803" s="27" t="n"/>
      <c r="H1803" s="62" t="n"/>
      <c r="I1803" s="31" t="n"/>
      <c r="J1803" s="31" t="n"/>
      <c r="K1803" s="31" t="n"/>
      <c r="L1803" s="31" t="n"/>
      <c r="M1803" s="1" t="n"/>
    </row>
    <row r="1804">
      <c r="A1804" s="1" t="n"/>
      <c r="B1804" s="24" t="n">
        <v>1798</v>
      </c>
      <c r="C1804" s="61" t="n"/>
      <c r="D1804" s="27" t="n"/>
      <c r="E1804" s="27" t="n"/>
      <c r="F1804" s="27" t="n"/>
      <c r="G1804" s="27" t="n"/>
      <c r="H1804" s="62" t="n"/>
      <c r="I1804" s="31" t="n"/>
      <c r="J1804" s="31" t="n"/>
      <c r="K1804" s="31" t="n"/>
      <c r="L1804" s="31" t="n"/>
      <c r="M1804" s="1" t="n"/>
    </row>
    <row r="1805">
      <c r="A1805" s="1" t="n"/>
      <c r="B1805" s="24" t="n">
        <v>1799</v>
      </c>
      <c r="C1805" s="61" t="n"/>
      <c r="D1805" s="27" t="n"/>
      <c r="E1805" s="27" t="n"/>
      <c r="F1805" s="27" t="n"/>
      <c r="G1805" s="27" t="n"/>
      <c r="H1805" s="62" t="n"/>
      <c r="I1805" s="31" t="n"/>
      <c r="J1805" s="31" t="n"/>
      <c r="K1805" s="31" t="n"/>
      <c r="L1805" s="31" t="n"/>
      <c r="M1805" s="1" t="n"/>
    </row>
    <row r="1806">
      <c r="A1806" s="1" t="n"/>
      <c r="B1806" s="24" t="n">
        <v>1800</v>
      </c>
      <c r="C1806" s="61" t="n"/>
      <c r="D1806" s="27" t="n"/>
      <c r="E1806" s="27" t="n"/>
      <c r="F1806" s="27" t="n"/>
      <c r="G1806" s="27" t="n"/>
      <c r="H1806" s="62" t="n"/>
      <c r="I1806" s="31" t="n"/>
      <c r="J1806" s="31" t="n"/>
      <c r="K1806" s="31" t="n"/>
      <c r="L1806" s="31" t="n"/>
      <c r="M1806" s="1" t="n"/>
    </row>
    <row r="1807">
      <c r="A1807" s="1" t="n"/>
      <c r="B1807" s="24" t="n">
        <v>1801</v>
      </c>
      <c r="C1807" s="61" t="n"/>
      <c r="D1807" s="27" t="n"/>
      <c r="E1807" s="27" t="n"/>
      <c r="F1807" s="27" t="n"/>
      <c r="G1807" s="27" t="n"/>
      <c r="H1807" s="62" t="n"/>
      <c r="I1807" s="31" t="n"/>
      <c r="J1807" s="31" t="n"/>
      <c r="K1807" s="31" t="n"/>
      <c r="L1807" s="31" t="n"/>
      <c r="M1807" s="1" t="n"/>
    </row>
    <row r="1808">
      <c r="A1808" s="1" t="n"/>
      <c r="B1808" s="24" t="n">
        <v>1802</v>
      </c>
      <c r="C1808" s="61" t="n"/>
      <c r="D1808" s="27" t="n"/>
      <c r="E1808" s="27" t="n"/>
      <c r="F1808" s="27" t="n"/>
      <c r="G1808" s="27" t="n"/>
      <c r="H1808" s="62" t="n"/>
      <c r="I1808" s="31" t="n"/>
      <c r="J1808" s="31" t="n"/>
      <c r="K1808" s="31" t="n"/>
      <c r="L1808" s="31" t="n"/>
      <c r="M1808" s="1" t="n"/>
    </row>
    <row r="1809">
      <c r="A1809" s="1" t="n"/>
      <c r="B1809" s="24" t="n">
        <v>1803</v>
      </c>
      <c r="C1809" s="61" t="n"/>
      <c r="D1809" s="27" t="n"/>
      <c r="E1809" s="27" t="n"/>
      <c r="F1809" s="27" t="n"/>
      <c r="G1809" s="27" t="n"/>
      <c r="H1809" s="62" t="n"/>
      <c r="I1809" s="31" t="n"/>
      <c r="J1809" s="31" t="n"/>
      <c r="K1809" s="31" t="n"/>
      <c r="L1809" s="31" t="n"/>
      <c r="M1809" s="1" t="n"/>
    </row>
    <row r="1810">
      <c r="A1810" s="1" t="n"/>
      <c r="B1810" s="24" t="n">
        <v>1804</v>
      </c>
      <c r="C1810" s="61" t="n"/>
      <c r="D1810" s="27" t="n"/>
      <c r="E1810" s="27" t="n"/>
      <c r="F1810" s="27" t="n"/>
      <c r="G1810" s="27" t="n"/>
      <c r="H1810" s="62" t="n"/>
      <c r="I1810" s="31" t="n"/>
      <c r="J1810" s="31" t="n"/>
      <c r="K1810" s="31" t="n"/>
      <c r="L1810" s="31" t="n"/>
      <c r="M1810" s="1" t="n"/>
    </row>
    <row r="1811">
      <c r="A1811" s="1" t="n"/>
      <c r="B1811" s="24" t="n">
        <v>1805</v>
      </c>
      <c r="C1811" s="61" t="n"/>
      <c r="D1811" s="27" t="n"/>
      <c r="E1811" s="27" t="n"/>
      <c r="F1811" s="27" t="n"/>
      <c r="G1811" s="27" t="n"/>
      <c r="H1811" s="62" t="n"/>
      <c r="I1811" s="31" t="n"/>
      <c r="J1811" s="31" t="n"/>
      <c r="K1811" s="31" t="n"/>
      <c r="L1811" s="31" t="n"/>
      <c r="M1811" s="1" t="n"/>
    </row>
    <row r="1812">
      <c r="A1812" s="1" t="n"/>
      <c r="B1812" s="24" t="n">
        <v>1806</v>
      </c>
      <c r="C1812" s="61" t="n"/>
      <c r="D1812" s="27" t="n"/>
      <c r="E1812" s="27" t="n"/>
      <c r="F1812" s="27" t="n"/>
      <c r="G1812" s="27" t="n"/>
      <c r="H1812" s="62" t="n"/>
      <c r="I1812" s="31" t="n"/>
      <c r="J1812" s="31" t="n"/>
      <c r="K1812" s="31" t="n"/>
      <c r="L1812" s="31" t="n"/>
      <c r="M1812" s="1" t="n"/>
    </row>
    <row r="1813">
      <c r="A1813" s="1" t="n"/>
      <c r="B1813" s="24" t="n">
        <v>1807</v>
      </c>
      <c r="C1813" s="61" t="n"/>
      <c r="D1813" s="27" t="n"/>
      <c r="E1813" s="27" t="n"/>
      <c r="F1813" s="27" t="n"/>
      <c r="G1813" s="27" t="n"/>
      <c r="H1813" s="62" t="n"/>
      <c r="I1813" s="31" t="n"/>
      <c r="J1813" s="31" t="n"/>
      <c r="K1813" s="31" t="n"/>
      <c r="L1813" s="31" t="n"/>
      <c r="M1813" s="1" t="n"/>
    </row>
    <row r="1814">
      <c r="A1814" s="1" t="n"/>
      <c r="B1814" s="24" t="n">
        <v>1808</v>
      </c>
      <c r="C1814" s="61" t="n"/>
      <c r="D1814" s="27" t="n"/>
      <c r="E1814" s="27" t="n"/>
      <c r="F1814" s="27" t="n"/>
      <c r="G1814" s="27" t="n"/>
      <c r="H1814" s="62" t="n"/>
      <c r="I1814" s="31" t="n"/>
      <c r="J1814" s="31" t="n"/>
      <c r="K1814" s="31" t="n"/>
      <c r="L1814" s="31" t="n"/>
      <c r="M1814" s="1" t="n"/>
    </row>
    <row r="1815">
      <c r="A1815" s="1" t="n"/>
      <c r="B1815" s="24" t="n">
        <v>1809</v>
      </c>
      <c r="C1815" s="61" t="n"/>
      <c r="D1815" s="27" t="n"/>
      <c r="E1815" s="27" t="n"/>
      <c r="F1815" s="27" t="n"/>
      <c r="G1815" s="27" t="n"/>
      <c r="H1815" s="62" t="n"/>
      <c r="I1815" s="31" t="n"/>
      <c r="J1815" s="31" t="n"/>
      <c r="K1815" s="31" t="n"/>
      <c r="L1815" s="31" t="n"/>
      <c r="M1815" s="1" t="n"/>
    </row>
    <row r="1816">
      <c r="A1816" s="1" t="n"/>
      <c r="B1816" s="24" t="n">
        <v>1810</v>
      </c>
      <c r="C1816" s="61" t="n"/>
      <c r="D1816" s="27" t="n"/>
      <c r="E1816" s="27" t="n"/>
      <c r="F1816" s="27" t="n"/>
      <c r="G1816" s="27" t="n"/>
      <c r="H1816" s="62" t="n"/>
      <c r="I1816" s="31" t="n"/>
      <c r="J1816" s="31" t="n"/>
      <c r="K1816" s="31" t="n"/>
      <c r="L1816" s="31" t="n"/>
      <c r="M1816" s="1" t="n"/>
    </row>
    <row r="1817">
      <c r="A1817" s="1" t="n"/>
      <c r="B1817" s="24" t="n">
        <v>1811</v>
      </c>
      <c r="C1817" s="61" t="n"/>
      <c r="D1817" s="27" t="n"/>
      <c r="E1817" s="27" t="n"/>
      <c r="F1817" s="27" t="n"/>
      <c r="G1817" s="27" t="n"/>
      <c r="H1817" s="62" t="n"/>
      <c r="I1817" s="31" t="n"/>
      <c r="J1817" s="31" t="n"/>
      <c r="K1817" s="31" t="n"/>
      <c r="L1817" s="31" t="n"/>
      <c r="M1817" s="1" t="n"/>
    </row>
    <row r="1818">
      <c r="A1818" s="1" t="n"/>
      <c r="B1818" s="24" t="n">
        <v>1812</v>
      </c>
      <c r="C1818" s="61" t="n"/>
      <c r="D1818" s="27" t="n"/>
      <c r="E1818" s="27" t="n"/>
      <c r="F1818" s="27" t="n"/>
      <c r="G1818" s="27" t="n"/>
      <c r="H1818" s="62" t="n"/>
      <c r="I1818" s="31" t="n"/>
      <c r="J1818" s="31" t="n"/>
      <c r="K1818" s="31" t="n"/>
      <c r="L1818" s="31" t="n"/>
      <c r="M1818" s="1" t="n"/>
    </row>
    <row r="1819">
      <c r="A1819" s="1" t="n"/>
      <c r="B1819" s="24" t="n">
        <v>1813</v>
      </c>
      <c r="C1819" s="61" t="n"/>
      <c r="D1819" s="27" t="n"/>
      <c r="E1819" s="27" t="n"/>
      <c r="F1819" s="27" t="n"/>
      <c r="G1819" s="27" t="n"/>
      <c r="H1819" s="62" t="n"/>
      <c r="I1819" s="31" t="n"/>
      <c r="J1819" s="31" t="n"/>
      <c r="K1819" s="31" t="n"/>
      <c r="L1819" s="31" t="n"/>
      <c r="M1819" s="1" t="n"/>
    </row>
    <row r="1820">
      <c r="A1820" s="1" t="n"/>
      <c r="B1820" s="24" t="n">
        <v>1814</v>
      </c>
      <c r="C1820" s="61" t="n"/>
      <c r="D1820" s="27" t="n"/>
      <c r="E1820" s="27" t="n"/>
      <c r="F1820" s="27" t="n"/>
      <c r="G1820" s="27" t="n"/>
      <c r="H1820" s="62" t="n"/>
      <c r="I1820" s="31" t="n"/>
      <c r="J1820" s="31" t="n"/>
      <c r="K1820" s="31" t="n"/>
      <c r="L1820" s="31" t="n"/>
      <c r="M1820" s="1" t="n"/>
    </row>
    <row r="1821">
      <c r="A1821" s="1" t="n"/>
      <c r="B1821" s="24" t="n">
        <v>1815</v>
      </c>
      <c r="C1821" s="61" t="n"/>
      <c r="D1821" s="27" t="n"/>
      <c r="E1821" s="27" t="n"/>
      <c r="F1821" s="27" t="n"/>
      <c r="G1821" s="27" t="n"/>
      <c r="H1821" s="62" t="n"/>
      <c r="I1821" s="31" t="n"/>
      <c r="J1821" s="31" t="n"/>
      <c r="K1821" s="31" t="n"/>
      <c r="L1821" s="31" t="n"/>
      <c r="M1821" s="1" t="n"/>
    </row>
    <row r="1822">
      <c r="A1822" s="1" t="n"/>
      <c r="B1822" s="24" t="n">
        <v>1816</v>
      </c>
      <c r="C1822" s="61" t="n"/>
      <c r="D1822" s="27" t="n"/>
      <c r="E1822" s="27" t="n"/>
      <c r="F1822" s="27" t="n"/>
      <c r="G1822" s="27" t="n"/>
      <c r="H1822" s="62" t="n"/>
      <c r="I1822" s="31" t="n"/>
      <c r="J1822" s="31" t="n"/>
      <c r="K1822" s="31" t="n"/>
      <c r="L1822" s="31" t="n"/>
      <c r="M1822" s="1" t="n"/>
    </row>
    <row r="1823">
      <c r="A1823" s="1" t="n"/>
      <c r="B1823" s="24" t="n">
        <v>1817</v>
      </c>
      <c r="C1823" s="61" t="n"/>
      <c r="D1823" s="27" t="n"/>
      <c r="E1823" s="27" t="n"/>
      <c r="F1823" s="27" t="n"/>
      <c r="G1823" s="27" t="n"/>
      <c r="H1823" s="62" t="n"/>
      <c r="I1823" s="31" t="n"/>
      <c r="J1823" s="31" t="n"/>
      <c r="K1823" s="31" t="n"/>
      <c r="L1823" s="31" t="n"/>
      <c r="M1823" s="1" t="n"/>
    </row>
    <row r="1824">
      <c r="A1824" s="1" t="n"/>
      <c r="B1824" s="24" t="n">
        <v>1818</v>
      </c>
      <c r="C1824" s="61" t="n"/>
      <c r="D1824" s="27" t="n"/>
      <c r="E1824" s="27" t="n"/>
      <c r="F1824" s="27" t="n"/>
      <c r="G1824" s="27" t="n"/>
      <c r="H1824" s="62" t="n"/>
      <c r="I1824" s="31" t="n"/>
      <c r="J1824" s="31" t="n"/>
      <c r="K1824" s="31" t="n"/>
      <c r="L1824" s="31" t="n"/>
      <c r="M1824" s="1" t="n"/>
    </row>
    <row r="1825">
      <c r="A1825" s="1" t="n"/>
      <c r="B1825" s="24" t="n">
        <v>1819</v>
      </c>
      <c r="C1825" s="61" t="n"/>
      <c r="D1825" s="27" t="n"/>
      <c r="E1825" s="27" t="n"/>
      <c r="F1825" s="27" t="n"/>
      <c r="G1825" s="27" t="n"/>
      <c r="H1825" s="62" t="n"/>
      <c r="I1825" s="31" t="n"/>
      <c r="J1825" s="31" t="n"/>
      <c r="K1825" s="31" t="n"/>
      <c r="L1825" s="31" t="n"/>
      <c r="M1825" s="1" t="n"/>
    </row>
    <row r="1826">
      <c r="A1826" s="1" t="n"/>
      <c r="B1826" s="24" t="n">
        <v>1820</v>
      </c>
      <c r="C1826" s="61" t="n"/>
      <c r="D1826" s="27" t="n"/>
      <c r="E1826" s="27" t="n"/>
      <c r="F1826" s="27" t="n"/>
      <c r="G1826" s="27" t="n"/>
      <c r="H1826" s="62" t="n"/>
      <c r="I1826" s="31" t="n"/>
      <c r="J1826" s="31" t="n"/>
      <c r="K1826" s="31" t="n"/>
      <c r="L1826" s="31" t="n"/>
      <c r="M1826" s="1" t="n"/>
    </row>
    <row r="1827">
      <c r="A1827" s="1" t="n"/>
      <c r="B1827" s="24" t="n">
        <v>1821</v>
      </c>
      <c r="C1827" s="61" t="n"/>
      <c r="D1827" s="27" t="n"/>
      <c r="E1827" s="27" t="n"/>
      <c r="F1827" s="27" t="n"/>
      <c r="G1827" s="27" t="n"/>
      <c r="H1827" s="62" t="n"/>
      <c r="I1827" s="31" t="n"/>
      <c r="J1827" s="31" t="n"/>
      <c r="K1827" s="31" t="n"/>
      <c r="L1827" s="31" t="n"/>
      <c r="M1827" s="1" t="n"/>
    </row>
    <row r="1828">
      <c r="A1828" s="1" t="n"/>
      <c r="B1828" s="24" t="n">
        <v>1822</v>
      </c>
      <c r="C1828" s="61" t="n"/>
      <c r="D1828" s="27" t="n"/>
      <c r="E1828" s="27" t="n"/>
      <c r="F1828" s="27" t="n"/>
      <c r="G1828" s="27" t="n"/>
      <c r="H1828" s="62" t="n"/>
      <c r="I1828" s="31" t="n"/>
      <c r="J1828" s="31" t="n"/>
      <c r="K1828" s="31" t="n"/>
      <c r="L1828" s="31" t="n"/>
      <c r="M1828" s="1" t="n"/>
    </row>
    <row r="1829">
      <c r="A1829" s="1" t="n"/>
      <c r="B1829" s="24" t="n">
        <v>1823</v>
      </c>
      <c r="C1829" s="61" t="n"/>
      <c r="D1829" s="27" t="n"/>
      <c r="E1829" s="27" t="n"/>
      <c r="F1829" s="27" t="n"/>
      <c r="G1829" s="27" t="n"/>
      <c r="H1829" s="62" t="n"/>
      <c r="I1829" s="31" t="n"/>
      <c r="J1829" s="31" t="n"/>
      <c r="K1829" s="31" t="n"/>
      <c r="L1829" s="31" t="n"/>
      <c r="M1829" s="1" t="n"/>
    </row>
    <row r="1830">
      <c r="A1830" s="1" t="n"/>
      <c r="B1830" s="24" t="n">
        <v>1824</v>
      </c>
      <c r="C1830" s="61" t="n"/>
      <c r="D1830" s="27" t="n"/>
      <c r="E1830" s="27" t="n"/>
      <c r="F1830" s="27" t="n"/>
      <c r="G1830" s="27" t="n"/>
      <c r="H1830" s="62" t="n"/>
      <c r="I1830" s="31" t="n"/>
      <c r="J1830" s="31" t="n"/>
      <c r="K1830" s="31" t="n"/>
      <c r="L1830" s="31" t="n"/>
      <c r="M1830" s="1" t="n"/>
    </row>
    <row r="1831">
      <c r="A1831" s="1" t="n"/>
      <c r="B1831" s="24" t="n">
        <v>1825</v>
      </c>
      <c r="C1831" s="61" t="n"/>
      <c r="D1831" s="27" t="n"/>
      <c r="E1831" s="27" t="n"/>
      <c r="F1831" s="27" t="n"/>
      <c r="G1831" s="27" t="n"/>
      <c r="H1831" s="62" t="n"/>
      <c r="I1831" s="31" t="n"/>
      <c r="J1831" s="31" t="n"/>
      <c r="K1831" s="31" t="n"/>
      <c r="L1831" s="31" t="n"/>
      <c r="M1831" s="1" t="n"/>
    </row>
    <row r="1832">
      <c r="A1832" s="1" t="n"/>
      <c r="B1832" s="24" t="n">
        <v>1826</v>
      </c>
      <c r="C1832" s="61" t="n"/>
      <c r="D1832" s="27" t="n"/>
      <c r="E1832" s="27" t="n"/>
      <c r="F1832" s="27" t="n"/>
      <c r="G1832" s="27" t="n"/>
      <c r="H1832" s="62" t="n"/>
      <c r="I1832" s="31" t="n"/>
      <c r="J1832" s="31" t="n"/>
      <c r="K1832" s="31" t="n"/>
      <c r="L1832" s="31" t="n"/>
      <c r="M1832" s="1" t="n"/>
    </row>
    <row r="1833">
      <c r="A1833" s="1" t="n"/>
      <c r="B1833" s="24" t="n">
        <v>1827</v>
      </c>
      <c r="C1833" s="61" t="n"/>
      <c r="D1833" s="27" t="n"/>
      <c r="E1833" s="27" t="n"/>
      <c r="F1833" s="27" t="n"/>
      <c r="G1833" s="27" t="n"/>
      <c r="H1833" s="62" t="n"/>
      <c r="I1833" s="31" t="n"/>
      <c r="J1833" s="31" t="n"/>
      <c r="K1833" s="31" t="n"/>
      <c r="L1833" s="31" t="n"/>
      <c r="M1833" s="1" t="n"/>
    </row>
    <row r="1834">
      <c r="A1834" s="1" t="n"/>
      <c r="B1834" s="24" t="n">
        <v>1828</v>
      </c>
      <c r="C1834" s="61" t="n"/>
      <c r="D1834" s="27" t="n"/>
      <c r="E1834" s="27" t="n"/>
      <c r="F1834" s="27" t="n"/>
      <c r="G1834" s="27" t="n"/>
      <c r="H1834" s="62" t="n"/>
      <c r="I1834" s="31" t="n"/>
      <c r="J1834" s="31" t="n"/>
      <c r="K1834" s="31" t="n"/>
      <c r="L1834" s="31" t="n"/>
      <c r="M1834" s="1" t="n"/>
    </row>
    <row r="1835">
      <c r="A1835" s="1" t="n"/>
      <c r="B1835" s="24" t="n">
        <v>1829</v>
      </c>
      <c r="C1835" s="61" t="n"/>
      <c r="D1835" s="27" t="n"/>
      <c r="E1835" s="27" t="n"/>
      <c r="F1835" s="27" t="n"/>
      <c r="G1835" s="27" t="n"/>
      <c r="H1835" s="62" t="n"/>
      <c r="I1835" s="31" t="n"/>
      <c r="J1835" s="31" t="n"/>
      <c r="K1835" s="31" t="n"/>
      <c r="L1835" s="31" t="n"/>
      <c r="M1835" s="1" t="n"/>
    </row>
    <row r="1836">
      <c r="A1836" s="1" t="n"/>
      <c r="B1836" s="24" t="n">
        <v>1830</v>
      </c>
      <c r="C1836" s="61" t="n"/>
      <c r="D1836" s="27" t="n"/>
      <c r="E1836" s="27" t="n"/>
      <c r="F1836" s="27" t="n"/>
      <c r="G1836" s="27" t="n"/>
      <c r="H1836" s="62" t="n"/>
      <c r="I1836" s="31" t="n"/>
      <c r="J1836" s="31" t="n"/>
      <c r="K1836" s="31" t="n"/>
      <c r="L1836" s="31" t="n"/>
      <c r="M1836" s="1" t="n"/>
    </row>
    <row r="1837">
      <c r="A1837" s="1" t="n"/>
      <c r="B1837" s="24" t="n">
        <v>1831</v>
      </c>
      <c r="C1837" s="61" t="n"/>
      <c r="D1837" s="27" t="n"/>
      <c r="E1837" s="27" t="n"/>
      <c r="F1837" s="27" t="n"/>
      <c r="G1837" s="27" t="n"/>
      <c r="H1837" s="62" t="n"/>
      <c r="I1837" s="31" t="n"/>
      <c r="J1837" s="31" t="n"/>
      <c r="K1837" s="31" t="n"/>
      <c r="L1837" s="31" t="n"/>
      <c r="M1837" s="1" t="n"/>
    </row>
    <row r="1838">
      <c r="A1838" s="1" t="n"/>
      <c r="B1838" s="24" t="n">
        <v>1832</v>
      </c>
      <c r="C1838" s="61" t="n"/>
      <c r="D1838" s="27" t="n"/>
      <c r="E1838" s="27" t="n"/>
      <c r="F1838" s="27" t="n"/>
      <c r="G1838" s="27" t="n"/>
      <c r="H1838" s="62" t="n"/>
      <c r="I1838" s="31" t="n"/>
      <c r="J1838" s="31" t="n"/>
      <c r="K1838" s="31" t="n"/>
      <c r="L1838" s="31" t="n"/>
      <c r="M1838" s="1" t="n"/>
    </row>
    <row r="1839">
      <c r="A1839" s="1" t="n"/>
      <c r="B1839" s="24" t="n">
        <v>1833</v>
      </c>
      <c r="C1839" s="61" t="n"/>
      <c r="D1839" s="27" t="n"/>
      <c r="E1839" s="27" t="n"/>
      <c r="F1839" s="27" t="n"/>
      <c r="G1839" s="27" t="n"/>
      <c r="H1839" s="62" t="n"/>
      <c r="I1839" s="31" t="n"/>
      <c r="J1839" s="31" t="n"/>
      <c r="K1839" s="31" t="n"/>
      <c r="L1839" s="31" t="n"/>
      <c r="M1839" s="1" t="n"/>
    </row>
    <row r="1840">
      <c r="A1840" s="1" t="n"/>
      <c r="B1840" s="24" t="n">
        <v>1834</v>
      </c>
      <c r="C1840" s="61" t="n"/>
      <c r="D1840" s="27" t="n"/>
      <c r="E1840" s="27" t="n"/>
      <c r="F1840" s="27" t="n"/>
      <c r="G1840" s="27" t="n"/>
      <c r="H1840" s="62" t="n"/>
      <c r="I1840" s="31" t="n"/>
      <c r="J1840" s="31" t="n"/>
      <c r="K1840" s="31" t="n"/>
      <c r="L1840" s="31" t="n"/>
      <c r="M1840" s="1" t="n"/>
    </row>
    <row r="1841">
      <c r="A1841" s="1" t="n"/>
      <c r="B1841" s="24" t="n">
        <v>1835</v>
      </c>
      <c r="C1841" s="61" t="n"/>
      <c r="D1841" s="27" t="n"/>
      <c r="E1841" s="27" t="n"/>
      <c r="F1841" s="27" t="n"/>
      <c r="G1841" s="27" t="n"/>
      <c r="H1841" s="62" t="n"/>
      <c r="I1841" s="31" t="n"/>
      <c r="J1841" s="31" t="n"/>
      <c r="K1841" s="31" t="n"/>
      <c r="L1841" s="31" t="n"/>
      <c r="M1841" s="1" t="n"/>
    </row>
    <row r="1842">
      <c r="A1842" s="1" t="n"/>
      <c r="B1842" s="24" t="n">
        <v>1836</v>
      </c>
      <c r="C1842" s="61" t="n"/>
      <c r="D1842" s="27" t="n"/>
      <c r="E1842" s="27" t="n"/>
      <c r="F1842" s="27" t="n"/>
      <c r="G1842" s="27" t="n"/>
      <c r="H1842" s="62" t="n"/>
      <c r="I1842" s="31" t="n"/>
      <c r="J1842" s="31" t="n"/>
      <c r="K1842" s="31" t="n"/>
      <c r="L1842" s="31" t="n"/>
      <c r="M1842" s="1" t="n"/>
    </row>
    <row r="1843">
      <c r="A1843" s="1" t="n"/>
      <c r="B1843" s="24" t="n">
        <v>1837</v>
      </c>
      <c r="C1843" s="61" t="n"/>
      <c r="D1843" s="27" t="n"/>
      <c r="E1843" s="27" t="n"/>
      <c r="F1843" s="27" t="n"/>
      <c r="G1843" s="27" t="n"/>
      <c r="H1843" s="62" t="n"/>
      <c r="I1843" s="31" t="n"/>
      <c r="J1843" s="31" t="n"/>
      <c r="K1843" s="31" t="n"/>
      <c r="L1843" s="31" t="n"/>
      <c r="M1843" s="1" t="n"/>
    </row>
    <row r="1844">
      <c r="A1844" s="1" t="n"/>
      <c r="B1844" s="24" t="n">
        <v>1838</v>
      </c>
      <c r="C1844" s="61" t="n"/>
      <c r="D1844" s="27" t="n"/>
      <c r="E1844" s="27" t="n"/>
      <c r="F1844" s="27" t="n"/>
      <c r="G1844" s="27" t="n"/>
      <c r="H1844" s="62" t="n"/>
      <c r="I1844" s="31" t="n"/>
      <c r="J1844" s="31" t="n"/>
      <c r="K1844" s="31" t="n"/>
      <c r="L1844" s="31" t="n"/>
      <c r="M1844" s="1" t="n"/>
    </row>
    <row r="1845">
      <c r="A1845" s="1" t="n"/>
      <c r="B1845" s="24" t="n">
        <v>1839</v>
      </c>
      <c r="C1845" s="61" t="n"/>
      <c r="D1845" s="27" t="n"/>
      <c r="E1845" s="27" t="n"/>
      <c r="F1845" s="27" t="n"/>
      <c r="G1845" s="27" t="n"/>
      <c r="H1845" s="62" t="n"/>
      <c r="I1845" s="31" t="n"/>
      <c r="J1845" s="31" t="n"/>
      <c r="K1845" s="31" t="n"/>
      <c r="L1845" s="31" t="n"/>
      <c r="M1845" s="1" t="n"/>
    </row>
    <row r="1846">
      <c r="A1846" s="1" t="n"/>
      <c r="B1846" s="24" t="n">
        <v>1840</v>
      </c>
      <c r="C1846" s="61" t="n"/>
      <c r="D1846" s="27" t="n"/>
      <c r="E1846" s="27" t="n"/>
      <c r="F1846" s="27" t="n"/>
      <c r="G1846" s="27" t="n"/>
      <c r="H1846" s="62" t="n"/>
      <c r="I1846" s="31" t="n"/>
      <c r="J1846" s="31" t="n"/>
      <c r="K1846" s="31" t="n"/>
      <c r="L1846" s="31" t="n"/>
      <c r="M1846" s="1" t="n"/>
    </row>
    <row r="1847">
      <c r="A1847" s="1" t="n"/>
      <c r="B1847" s="24" t="n">
        <v>1841</v>
      </c>
      <c r="C1847" s="61" t="n"/>
      <c r="D1847" s="27" t="n"/>
      <c r="E1847" s="27" t="n"/>
      <c r="F1847" s="27" t="n"/>
      <c r="G1847" s="27" t="n"/>
      <c r="H1847" s="62" t="n"/>
      <c r="I1847" s="31" t="n"/>
      <c r="J1847" s="31" t="n"/>
      <c r="K1847" s="31" t="n"/>
      <c r="L1847" s="31" t="n"/>
      <c r="M1847" s="1" t="n"/>
    </row>
    <row r="1848">
      <c r="A1848" s="1" t="n"/>
      <c r="B1848" s="24" t="n">
        <v>1842</v>
      </c>
      <c r="C1848" s="61" t="n"/>
      <c r="D1848" s="27" t="n"/>
      <c r="E1848" s="27" t="n"/>
      <c r="F1848" s="27" t="n"/>
      <c r="G1848" s="27" t="n"/>
      <c r="H1848" s="62" t="n"/>
      <c r="I1848" s="31" t="n"/>
      <c r="J1848" s="31" t="n"/>
      <c r="K1848" s="31" t="n"/>
      <c r="L1848" s="31" t="n"/>
      <c r="M1848" s="1" t="n"/>
    </row>
    <row r="1849">
      <c r="A1849" s="1" t="n"/>
      <c r="B1849" s="24" t="n">
        <v>1843</v>
      </c>
      <c r="C1849" s="61" t="n"/>
      <c r="D1849" s="27" t="n"/>
      <c r="E1849" s="27" t="n"/>
      <c r="F1849" s="27" t="n"/>
      <c r="G1849" s="27" t="n"/>
      <c r="H1849" s="62" t="n"/>
      <c r="I1849" s="31" t="n"/>
      <c r="J1849" s="31" t="n"/>
      <c r="K1849" s="31" t="n"/>
      <c r="L1849" s="31" t="n"/>
      <c r="M1849" s="1" t="n"/>
    </row>
    <row r="1850">
      <c r="A1850" s="1" t="n"/>
      <c r="B1850" s="24" t="n">
        <v>1844</v>
      </c>
      <c r="C1850" s="61" t="n"/>
      <c r="D1850" s="27" t="n"/>
      <c r="E1850" s="27" t="n"/>
      <c r="F1850" s="27" t="n"/>
      <c r="G1850" s="27" t="n"/>
      <c r="H1850" s="62" t="n"/>
      <c r="I1850" s="31" t="n"/>
      <c r="J1850" s="31" t="n"/>
      <c r="K1850" s="31" t="n"/>
      <c r="L1850" s="31" t="n"/>
      <c r="M1850" s="1" t="n"/>
    </row>
    <row r="1851">
      <c r="A1851" s="1" t="n"/>
      <c r="B1851" s="24" t="n">
        <v>1845</v>
      </c>
      <c r="C1851" s="61" t="n"/>
      <c r="D1851" s="27" t="n"/>
      <c r="E1851" s="27" t="n"/>
      <c r="F1851" s="27" t="n"/>
      <c r="G1851" s="27" t="n"/>
      <c r="H1851" s="62" t="n"/>
      <c r="I1851" s="31" t="n"/>
      <c r="J1851" s="31" t="n"/>
      <c r="K1851" s="31" t="n"/>
      <c r="L1851" s="31" t="n"/>
      <c r="M1851" s="1" t="n"/>
    </row>
    <row r="1852">
      <c r="A1852" s="1" t="n"/>
      <c r="B1852" s="24" t="n">
        <v>1846</v>
      </c>
      <c r="C1852" s="61" t="n"/>
      <c r="D1852" s="27" t="n"/>
      <c r="E1852" s="27" t="n"/>
      <c r="F1852" s="27" t="n"/>
      <c r="G1852" s="27" t="n"/>
      <c r="H1852" s="62" t="n"/>
      <c r="I1852" s="31" t="n"/>
      <c r="J1852" s="31" t="n"/>
      <c r="K1852" s="31" t="n"/>
      <c r="L1852" s="31" t="n"/>
      <c r="M1852" s="1" t="n"/>
    </row>
    <row r="1853">
      <c r="A1853" s="1" t="n"/>
      <c r="B1853" s="24" t="n">
        <v>1847</v>
      </c>
      <c r="C1853" s="61" t="n"/>
      <c r="D1853" s="27" t="n"/>
      <c r="E1853" s="27" t="n"/>
      <c r="F1853" s="27" t="n"/>
      <c r="G1853" s="27" t="n"/>
      <c r="H1853" s="62" t="n"/>
      <c r="I1853" s="31" t="n"/>
      <c r="J1853" s="31" t="n"/>
      <c r="K1853" s="31" t="n"/>
      <c r="L1853" s="31" t="n"/>
      <c r="M1853" s="1" t="n"/>
    </row>
    <row r="1854">
      <c r="A1854" s="1" t="n"/>
      <c r="B1854" s="24" t="n">
        <v>1848</v>
      </c>
      <c r="C1854" s="61" t="n"/>
      <c r="D1854" s="27" t="n"/>
      <c r="E1854" s="27" t="n"/>
      <c r="F1854" s="27" t="n"/>
      <c r="G1854" s="27" t="n"/>
      <c r="H1854" s="62" t="n"/>
      <c r="I1854" s="31" t="n"/>
      <c r="J1854" s="31" t="n"/>
      <c r="K1854" s="31" t="n"/>
      <c r="L1854" s="31" t="n"/>
      <c r="M1854" s="1" t="n"/>
    </row>
    <row r="1855">
      <c r="A1855" s="1" t="n"/>
      <c r="B1855" s="24" t="n">
        <v>1849</v>
      </c>
      <c r="C1855" s="61" t="n"/>
      <c r="D1855" s="27" t="n"/>
      <c r="E1855" s="27" t="n"/>
      <c r="F1855" s="27" t="n"/>
      <c r="G1855" s="27" t="n"/>
      <c r="H1855" s="62" t="n"/>
      <c r="I1855" s="31" t="n"/>
      <c r="J1855" s="31" t="n"/>
      <c r="K1855" s="31" t="n"/>
      <c r="L1855" s="31" t="n"/>
      <c r="M1855" s="1" t="n"/>
    </row>
    <row r="1856">
      <c r="A1856" s="1" t="n"/>
      <c r="B1856" s="24" t="n">
        <v>1850</v>
      </c>
      <c r="C1856" s="61" t="n"/>
      <c r="D1856" s="27" t="n"/>
      <c r="E1856" s="27" t="n"/>
      <c r="F1856" s="27" t="n"/>
      <c r="G1856" s="27" t="n"/>
      <c r="H1856" s="62" t="n"/>
      <c r="I1856" s="31" t="n"/>
      <c r="J1856" s="31" t="n"/>
      <c r="K1856" s="31" t="n"/>
      <c r="L1856" s="31" t="n"/>
      <c r="M1856" s="1" t="n"/>
    </row>
    <row r="1857">
      <c r="A1857" s="1" t="n"/>
      <c r="B1857" s="24" t="n">
        <v>1851</v>
      </c>
      <c r="C1857" s="61" t="n"/>
      <c r="D1857" s="27" t="n"/>
      <c r="E1857" s="27" t="n"/>
      <c r="F1857" s="27" t="n"/>
      <c r="G1857" s="27" t="n"/>
      <c r="H1857" s="62" t="n"/>
      <c r="I1857" s="31" t="n"/>
      <c r="J1857" s="31" t="n"/>
      <c r="K1857" s="31" t="n"/>
      <c r="L1857" s="31" t="n"/>
      <c r="M1857" s="1" t="n"/>
    </row>
    <row r="1858">
      <c r="A1858" s="1" t="n"/>
      <c r="B1858" s="24" t="n">
        <v>1852</v>
      </c>
      <c r="C1858" s="61" t="n"/>
      <c r="D1858" s="27" t="n"/>
      <c r="E1858" s="27" t="n"/>
      <c r="F1858" s="27" t="n"/>
      <c r="G1858" s="27" t="n"/>
      <c r="H1858" s="62" t="n"/>
      <c r="I1858" s="31" t="n"/>
      <c r="J1858" s="31" t="n"/>
      <c r="K1858" s="31" t="n"/>
      <c r="L1858" s="31" t="n"/>
      <c r="M1858" s="1" t="n"/>
    </row>
    <row r="1859">
      <c r="A1859" s="1" t="n"/>
      <c r="B1859" s="24" t="n">
        <v>1853</v>
      </c>
      <c r="C1859" s="61" t="n"/>
      <c r="D1859" s="27" t="n"/>
      <c r="E1859" s="27" t="n"/>
      <c r="F1859" s="27" t="n"/>
      <c r="G1859" s="27" t="n"/>
      <c r="H1859" s="62" t="n"/>
      <c r="I1859" s="31" t="n"/>
      <c r="J1859" s="31" t="n"/>
      <c r="K1859" s="31" t="n"/>
      <c r="L1859" s="31" t="n"/>
      <c r="M1859" s="1" t="n"/>
    </row>
    <row r="1860">
      <c r="A1860" s="1" t="n"/>
      <c r="B1860" s="24" t="n">
        <v>1854</v>
      </c>
      <c r="C1860" s="61" t="n"/>
      <c r="D1860" s="27" t="n"/>
      <c r="E1860" s="27" t="n"/>
      <c r="F1860" s="27" t="n"/>
      <c r="G1860" s="27" t="n"/>
      <c r="H1860" s="62" t="n"/>
      <c r="I1860" s="31" t="n"/>
      <c r="J1860" s="31" t="n"/>
      <c r="K1860" s="31" t="n"/>
      <c r="L1860" s="31" t="n"/>
      <c r="M1860" s="1" t="n"/>
    </row>
    <row r="1861">
      <c r="A1861" s="1" t="n"/>
      <c r="B1861" s="24" t="n">
        <v>1855</v>
      </c>
      <c r="C1861" s="61" t="n"/>
      <c r="D1861" s="27" t="n"/>
      <c r="E1861" s="27" t="n"/>
      <c r="F1861" s="27" t="n"/>
      <c r="G1861" s="27" t="n"/>
      <c r="H1861" s="62" t="n"/>
      <c r="I1861" s="31" t="n"/>
      <c r="J1861" s="31" t="n"/>
      <c r="K1861" s="31" t="n"/>
      <c r="L1861" s="31" t="n"/>
      <c r="M1861" s="1" t="n"/>
    </row>
    <row r="1862">
      <c r="A1862" s="1" t="n"/>
      <c r="B1862" s="24" t="n">
        <v>1856</v>
      </c>
      <c r="C1862" s="61" t="n"/>
      <c r="D1862" s="27" t="n"/>
      <c r="E1862" s="27" t="n"/>
      <c r="F1862" s="27" t="n"/>
      <c r="G1862" s="27" t="n"/>
      <c r="H1862" s="62" t="n"/>
      <c r="I1862" s="31" t="n"/>
      <c r="J1862" s="31" t="n"/>
      <c r="K1862" s="31" t="n"/>
      <c r="L1862" s="31" t="n"/>
      <c r="M1862" s="1" t="n"/>
    </row>
    <row r="1863">
      <c r="A1863" s="1" t="n"/>
      <c r="B1863" s="24" t="n">
        <v>1857</v>
      </c>
      <c r="C1863" s="61" t="n"/>
      <c r="D1863" s="27" t="n"/>
      <c r="E1863" s="27" t="n"/>
      <c r="F1863" s="27" t="n"/>
      <c r="G1863" s="27" t="n"/>
      <c r="H1863" s="62" t="n"/>
      <c r="I1863" s="31" t="n"/>
      <c r="J1863" s="31" t="n"/>
      <c r="K1863" s="31" t="n"/>
      <c r="L1863" s="31" t="n"/>
      <c r="M1863" s="1" t="n"/>
    </row>
    <row r="1864">
      <c r="A1864" s="1" t="n"/>
      <c r="B1864" s="24" t="n">
        <v>1858</v>
      </c>
      <c r="C1864" s="61" t="n"/>
      <c r="D1864" s="27" t="n"/>
      <c r="E1864" s="27" t="n"/>
      <c r="F1864" s="27" t="n"/>
      <c r="G1864" s="27" t="n"/>
      <c r="H1864" s="62" t="n"/>
      <c r="I1864" s="31" t="n"/>
      <c r="J1864" s="31" t="n"/>
      <c r="K1864" s="31" t="n"/>
      <c r="L1864" s="31" t="n"/>
      <c r="M1864" s="1" t="n"/>
    </row>
    <row r="1865">
      <c r="A1865" s="1" t="n"/>
      <c r="B1865" s="24" t="n">
        <v>1859</v>
      </c>
      <c r="C1865" s="61" t="n"/>
      <c r="D1865" s="27" t="n"/>
      <c r="E1865" s="27" t="n"/>
      <c r="F1865" s="27" t="n"/>
      <c r="G1865" s="27" t="n"/>
      <c r="H1865" s="62" t="n"/>
      <c r="I1865" s="31" t="n"/>
      <c r="J1865" s="31" t="n"/>
      <c r="K1865" s="31" t="n"/>
      <c r="L1865" s="31" t="n"/>
      <c r="M1865" s="1" t="n"/>
    </row>
    <row r="1866">
      <c r="A1866" s="1" t="n"/>
      <c r="B1866" s="24" t="n">
        <v>1860</v>
      </c>
      <c r="C1866" s="61" t="n"/>
      <c r="D1866" s="27" t="n"/>
      <c r="E1866" s="27" t="n"/>
      <c r="F1866" s="27" t="n"/>
      <c r="G1866" s="27" t="n"/>
      <c r="H1866" s="62" t="n"/>
      <c r="I1866" s="31" t="n"/>
      <c r="J1866" s="31" t="n"/>
      <c r="K1866" s="31" t="n"/>
      <c r="L1866" s="31" t="n"/>
      <c r="M1866" s="1" t="n"/>
    </row>
    <row r="1867">
      <c r="A1867" s="1" t="n"/>
      <c r="B1867" s="24" t="n">
        <v>1861</v>
      </c>
      <c r="C1867" s="61" t="n"/>
      <c r="D1867" s="27" t="n"/>
      <c r="E1867" s="27" t="n"/>
      <c r="F1867" s="27" t="n"/>
      <c r="G1867" s="27" t="n"/>
      <c r="H1867" s="62" t="n"/>
      <c r="I1867" s="31" t="n"/>
      <c r="J1867" s="31" t="n"/>
      <c r="K1867" s="31" t="n"/>
      <c r="L1867" s="31" t="n"/>
      <c r="M1867" s="1" t="n"/>
    </row>
    <row r="1868">
      <c r="A1868" s="1" t="n"/>
      <c r="B1868" s="24" t="n">
        <v>1862</v>
      </c>
      <c r="C1868" s="61" t="n"/>
      <c r="D1868" s="27" t="n"/>
      <c r="E1868" s="27" t="n"/>
      <c r="F1868" s="27" t="n"/>
      <c r="G1868" s="27" t="n"/>
      <c r="H1868" s="62" t="n"/>
      <c r="I1868" s="31" t="n"/>
      <c r="J1868" s="31" t="n"/>
      <c r="K1868" s="31" t="n"/>
      <c r="L1868" s="31" t="n"/>
      <c r="M1868" s="1" t="n"/>
    </row>
    <row r="1869">
      <c r="A1869" s="1" t="n"/>
      <c r="B1869" s="24" t="n">
        <v>1863</v>
      </c>
      <c r="C1869" s="61" t="n"/>
      <c r="D1869" s="27" t="n"/>
      <c r="E1869" s="27" t="n"/>
      <c r="F1869" s="27" t="n"/>
      <c r="G1869" s="27" t="n"/>
      <c r="H1869" s="62" t="n"/>
      <c r="I1869" s="31" t="n"/>
      <c r="J1869" s="31" t="n"/>
      <c r="K1869" s="31" t="n"/>
      <c r="L1869" s="31" t="n"/>
      <c r="M1869" s="1" t="n"/>
    </row>
    <row r="1870">
      <c r="A1870" s="1" t="n"/>
      <c r="B1870" s="24" t="n">
        <v>1864</v>
      </c>
      <c r="C1870" s="61" t="n"/>
      <c r="D1870" s="27" t="n"/>
      <c r="E1870" s="27" t="n"/>
      <c r="F1870" s="27" t="n"/>
      <c r="G1870" s="27" t="n"/>
      <c r="H1870" s="62" t="n"/>
      <c r="I1870" s="31" t="n"/>
      <c r="J1870" s="31" t="n"/>
      <c r="K1870" s="31" t="n"/>
      <c r="L1870" s="31" t="n"/>
      <c r="M1870" s="1" t="n"/>
    </row>
    <row r="1871">
      <c r="A1871" s="1" t="n"/>
      <c r="B1871" s="24" t="n">
        <v>1865</v>
      </c>
      <c r="C1871" s="61" t="n"/>
      <c r="D1871" s="27" t="n"/>
      <c r="E1871" s="27" t="n"/>
      <c r="F1871" s="27" t="n"/>
      <c r="G1871" s="27" t="n"/>
      <c r="H1871" s="62" t="n"/>
      <c r="I1871" s="31" t="n"/>
      <c r="J1871" s="31" t="n"/>
      <c r="K1871" s="31" t="n"/>
      <c r="L1871" s="31" t="n"/>
      <c r="M1871" s="1" t="n"/>
    </row>
    <row r="1872">
      <c r="A1872" s="1" t="n"/>
      <c r="B1872" s="24" t="n">
        <v>1866</v>
      </c>
      <c r="C1872" s="61" t="n"/>
      <c r="D1872" s="27" t="n"/>
      <c r="E1872" s="27" t="n"/>
      <c r="F1872" s="27" t="n"/>
      <c r="G1872" s="27" t="n"/>
      <c r="H1872" s="62" t="n"/>
      <c r="I1872" s="31" t="n"/>
      <c r="J1872" s="31" t="n"/>
      <c r="K1872" s="31" t="n"/>
      <c r="L1872" s="31" t="n"/>
      <c r="M1872" s="1" t="n"/>
    </row>
    <row r="1873">
      <c r="A1873" s="1" t="n"/>
      <c r="B1873" s="24" t="n">
        <v>1867</v>
      </c>
      <c r="C1873" s="61" t="n"/>
      <c r="D1873" s="27" t="n"/>
      <c r="E1873" s="27" t="n"/>
      <c r="F1873" s="27" t="n"/>
      <c r="G1873" s="27" t="n"/>
      <c r="H1873" s="62" t="n"/>
      <c r="I1873" s="31" t="n"/>
      <c r="J1873" s="31" t="n"/>
      <c r="K1873" s="31" t="n"/>
      <c r="L1873" s="31" t="n"/>
      <c r="M1873" s="1" t="n"/>
    </row>
    <row r="1874">
      <c r="A1874" s="1" t="n"/>
      <c r="B1874" s="24" t="n">
        <v>1868</v>
      </c>
      <c r="C1874" s="61" t="n"/>
      <c r="D1874" s="27" t="n"/>
      <c r="E1874" s="27" t="n"/>
      <c r="F1874" s="27" t="n"/>
      <c r="G1874" s="27" t="n"/>
      <c r="H1874" s="62" t="n"/>
      <c r="I1874" s="31" t="n"/>
      <c r="J1874" s="31" t="n"/>
      <c r="K1874" s="31" t="n"/>
      <c r="L1874" s="31" t="n"/>
      <c r="M1874" s="1" t="n"/>
    </row>
    <row r="1875">
      <c r="A1875" s="1" t="n"/>
      <c r="B1875" s="24" t="n">
        <v>1869</v>
      </c>
      <c r="C1875" s="61" t="n"/>
      <c r="D1875" s="27" t="n"/>
      <c r="E1875" s="27" t="n"/>
      <c r="F1875" s="27" t="n"/>
      <c r="G1875" s="27" t="n"/>
      <c r="H1875" s="62" t="n"/>
      <c r="I1875" s="31" t="n"/>
      <c r="J1875" s="31" t="n"/>
      <c r="K1875" s="31" t="n"/>
      <c r="L1875" s="31" t="n"/>
      <c r="M1875" s="1" t="n"/>
    </row>
    <row r="1876">
      <c r="A1876" s="1" t="n"/>
      <c r="B1876" s="24" t="n">
        <v>1870</v>
      </c>
      <c r="C1876" s="61" t="n"/>
      <c r="D1876" s="27" t="n"/>
      <c r="E1876" s="27" t="n"/>
      <c r="F1876" s="27" t="n"/>
      <c r="G1876" s="27" t="n"/>
      <c r="H1876" s="62" t="n"/>
      <c r="I1876" s="31" t="n"/>
      <c r="J1876" s="31" t="n"/>
      <c r="K1876" s="31" t="n"/>
      <c r="L1876" s="31" t="n"/>
      <c r="M1876" s="1" t="n"/>
    </row>
    <row r="1877">
      <c r="A1877" s="1" t="n"/>
      <c r="B1877" s="24" t="n">
        <v>1871</v>
      </c>
      <c r="C1877" s="61" t="n"/>
      <c r="D1877" s="27" t="n"/>
      <c r="E1877" s="27" t="n"/>
      <c r="F1877" s="27" t="n"/>
      <c r="G1877" s="27" t="n"/>
      <c r="H1877" s="62" t="n"/>
      <c r="I1877" s="31" t="n"/>
      <c r="J1877" s="31" t="n"/>
      <c r="K1877" s="31" t="n"/>
      <c r="L1877" s="31" t="n"/>
      <c r="M1877" s="1" t="n"/>
    </row>
    <row r="1878">
      <c r="A1878" s="1" t="n"/>
      <c r="B1878" s="24" t="n">
        <v>1872</v>
      </c>
      <c r="C1878" s="61" t="n"/>
      <c r="D1878" s="27" t="n"/>
      <c r="E1878" s="27" t="n"/>
      <c r="F1878" s="27" t="n"/>
      <c r="G1878" s="27" t="n"/>
      <c r="H1878" s="62" t="n"/>
      <c r="I1878" s="31" t="n"/>
      <c r="J1878" s="31" t="n"/>
      <c r="K1878" s="31" t="n"/>
      <c r="L1878" s="31" t="n"/>
      <c r="M1878" s="1" t="n"/>
    </row>
    <row r="1879">
      <c r="A1879" s="1" t="n"/>
      <c r="B1879" s="24" t="n">
        <v>1873</v>
      </c>
      <c r="C1879" s="61" t="n"/>
      <c r="D1879" s="27" t="n"/>
      <c r="E1879" s="27" t="n"/>
      <c r="F1879" s="27" t="n"/>
      <c r="G1879" s="27" t="n"/>
      <c r="H1879" s="62" t="n"/>
      <c r="I1879" s="31" t="n"/>
      <c r="J1879" s="31" t="n"/>
      <c r="K1879" s="31" t="n"/>
      <c r="L1879" s="31" t="n"/>
      <c r="M1879" s="1" t="n"/>
    </row>
    <row r="1880">
      <c r="A1880" s="1" t="n"/>
      <c r="B1880" s="24" t="n">
        <v>1874</v>
      </c>
      <c r="C1880" s="61" t="n"/>
      <c r="D1880" s="27" t="n"/>
      <c r="E1880" s="27" t="n"/>
      <c r="F1880" s="27" t="n"/>
      <c r="G1880" s="27" t="n"/>
      <c r="H1880" s="62" t="n"/>
      <c r="I1880" s="31" t="n"/>
      <c r="J1880" s="31" t="n"/>
      <c r="K1880" s="31" t="n"/>
      <c r="L1880" s="31" t="n"/>
      <c r="M1880" s="1" t="n"/>
    </row>
    <row r="1881">
      <c r="A1881" s="1" t="n"/>
      <c r="B1881" s="24" t="n">
        <v>1875</v>
      </c>
      <c r="C1881" s="61" t="n"/>
      <c r="D1881" s="27" t="n"/>
      <c r="E1881" s="27" t="n"/>
      <c r="F1881" s="27" t="n"/>
      <c r="G1881" s="27" t="n"/>
      <c r="H1881" s="62" t="n"/>
      <c r="I1881" s="31" t="n"/>
      <c r="J1881" s="31" t="n"/>
      <c r="K1881" s="31" t="n"/>
      <c r="L1881" s="31" t="n"/>
      <c r="M1881" s="1" t="n"/>
    </row>
    <row r="1882">
      <c r="A1882" s="1" t="n"/>
      <c r="B1882" s="24" t="n">
        <v>1876</v>
      </c>
      <c r="C1882" s="61" t="n"/>
      <c r="D1882" s="27" t="n"/>
      <c r="E1882" s="27" t="n"/>
      <c r="F1882" s="27" t="n"/>
      <c r="G1882" s="27" t="n"/>
      <c r="H1882" s="62" t="n"/>
      <c r="I1882" s="31" t="n"/>
      <c r="J1882" s="31" t="n"/>
      <c r="K1882" s="31" t="n"/>
      <c r="L1882" s="31" t="n"/>
      <c r="M1882" s="1" t="n"/>
    </row>
    <row r="1883">
      <c r="A1883" s="1" t="n"/>
      <c r="B1883" s="24" t="n">
        <v>1877</v>
      </c>
      <c r="C1883" s="61" t="n"/>
      <c r="D1883" s="27" t="n"/>
      <c r="E1883" s="27" t="n"/>
      <c r="F1883" s="27" t="n"/>
      <c r="G1883" s="27" t="n"/>
      <c r="H1883" s="62" t="n"/>
      <c r="I1883" s="31" t="n"/>
      <c r="J1883" s="31" t="n"/>
      <c r="K1883" s="31" t="n"/>
      <c r="L1883" s="31" t="n"/>
      <c r="M1883" s="1" t="n"/>
    </row>
    <row r="1884">
      <c r="A1884" s="1" t="n"/>
      <c r="B1884" s="24" t="n">
        <v>1878</v>
      </c>
      <c r="C1884" s="61" t="n"/>
      <c r="D1884" s="27" t="n"/>
      <c r="E1884" s="27" t="n"/>
      <c r="F1884" s="27" t="n"/>
      <c r="G1884" s="27" t="n"/>
      <c r="H1884" s="62" t="n"/>
      <c r="I1884" s="31" t="n"/>
      <c r="J1884" s="31" t="n"/>
      <c r="K1884" s="31" t="n"/>
      <c r="L1884" s="31" t="n"/>
      <c r="M1884" s="1" t="n"/>
    </row>
    <row r="1885">
      <c r="A1885" s="1" t="n"/>
      <c r="B1885" s="24" t="n">
        <v>1879</v>
      </c>
      <c r="C1885" s="61" t="n"/>
      <c r="D1885" s="27" t="n"/>
      <c r="E1885" s="27" t="n"/>
      <c r="F1885" s="27" t="n"/>
      <c r="G1885" s="27" t="n"/>
      <c r="H1885" s="62" t="n"/>
      <c r="I1885" s="31" t="n"/>
      <c r="J1885" s="31" t="n"/>
      <c r="K1885" s="31" t="n"/>
      <c r="L1885" s="31" t="n"/>
      <c r="M1885" s="1" t="n"/>
    </row>
    <row r="1886">
      <c r="A1886" s="1" t="n"/>
      <c r="B1886" s="24" t="n">
        <v>1880</v>
      </c>
      <c r="C1886" s="61" t="n"/>
      <c r="D1886" s="27" t="n"/>
      <c r="E1886" s="27" t="n"/>
      <c r="F1886" s="27" t="n"/>
      <c r="G1886" s="27" t="n"/>
      <c r="H1886" s="62" t="n"/>
      <c r="I1886" s="31" t="n"/>
      <c r="J1886" s="31" t="n"/>
      <c r="K1886" s="31" t="n"/>
      <c r="L1886" s="31" t="n"/>
      <c r="M1886" s="1" t="n"/>
    </row>
    <row r="1887">
      <c r="A1887" s="1" t="n"/>
      <c r="B1887" s="24" t="n">
        <v>1881</v>
      </c>
      <c r="C1887" s="61" t="n"/>
      <c r="D1887" s="27" t="n"/>
      <c r="E1887" s="27" t="n"/>
      <c r="F1887" s="27" t="n"/>
      <c r="G1887" s="27" t="n"/>
      <c r="H1887" s="62" t="n"/>
      <c r="I1887" s="31" t="n"/>
      <c r="J1887" s="31" t="n"/>
      <c r="K1887" s="31" t="n"/>
      <c r="L1887" s="31" t="n"/>
      <c r="M1887" s="1" t="n"/>
    </row>
    <row r="1888">
      <c r="A1888" s="1" t="n"/>
      <c r="B1888" s="24" t="n">
        <v>1882</v>
      </c>
      <c r="C1888" s="61" t="n"/>
      <c r="D1888" s="27" t="n"/>
      <c r="E1888" s="27" t="n"/>
      <c r="F1888" s="27" t="n"/>
      <c r="G1888" s="27" t="n"/>
      <c r="H1888" s="62" t="n"/>
      <c r="I1888" s="31" t="n"/>
      <c r="J1888" s="31" t="n"/>
      <c r="K1888" s="31" t="n"/>
      <c r="L1888" s="31" t="n"/>
      <c r="M1888" s="1" t="n"/>
    </row>
    <row r="1889">
      <c r="A1889" s="1" t="n"/>
      <c r="B1889" s="24" t="n">
        <v>1883</v>
      </c>
      <c r="C1889" s="61" t="n"/>
      <c r="D1889" s="27" t="n"/>
      <c r="E1889" s="27" t="n"/>
      <c r="F1889" s="27" t="n"/>
      <c r="G1889" s="27" t="n"/>
      <c r="H1889" s="62" t="n"/>
      <c r="I1889" s="31" t="n"/>
      <c r="J1889" s="31" t="n"/>
      <c r="K1889" s="31" t="n"/>
      <c r="L1889" s="31" t="n"/>
      <c r="M1889" s="1" t="n"/>
    </row>
    <row r="1890">
      <c r="A1890" s="1" t="n"/>
      <c r="B1890" s="24" t="n">
        <v>1884</v>
      </c>
      <c r="C1890" s="61" t="n"/>
      <c r="D1890" s="27" t="n"/>
      <c r="E1890" s="27" t="n"/>
      <c r="F1890" s="27" t="n"/>
      <c r="G1890" s="27" t="n"/>
      <c r="H1890" s="62" t="n"/>
      <c r="I1890" s="31" t="n"/>
      <c r="J1890" s="31" t="n"/>
      <c r="K1890" s="31" t="n"/>
      <c r="L1890" s="31" t="n"/>
      <c r="M1890" s="1" t="n"/>
    </row>
    <row r="1891">
      <c r="A1891" s="1" t="n"/>
      <c r="B1891" s="24" t="n">
        <v>1885</v>
      </c>
      <c r="C1891" s="61" t="n"/>
      <c r="D1891" s="27" t="n"/>
      <c r="E1891" s="27" t="n"/>
      <c r="F1891" s="27" t="n"/>
      <c r="G1891" s="27" t="n"/>
      <c r="H1891" s="62" t="n"/>
      <c r="I1891" s="31" t="n"/>
      <c r="J1891" s="31" t="n"/>
      <c r="K1891" s="31" t="n"/>
      <c r="L1891" s="31" t="n"/>
      <c r="M1891" s="1" t="n"/>
    </row>
    <row r="1892">
      <c r="A1892" s="1" t="n"/>
      <c r="B1892" s="24" t="n">
        <v>1886</v>
      </c>
      <c r="C1892" s="61" t="n"/>
      <c r="D1892" s="27" t="n"/>
      <c r="E1892" s="27" t="n"/>
      <c r="F1892" s="27" t="n"/>
      <c r="G1892" s="27" t="n"/>
      <c r="H1892" s="62" t="n"/>
      <c r="I1892" s="31" t="n"/>
      <c r="J1892" s="31" t="n"/>
      <c r="K1892" s="31" t="n"/>
      <c r="L1892" s="31" t="n"/>
      <c r="M1892" s="1" t="n"/>
    </row>
    <row r="1893">
      <c r="A1893" s="1" t="n"/>
      <c r="B1893" s="24" t="n">
        <v>1887</v>
      </c>
      <c r="C1893" s="61" t="n"/>
      <c r="D1893" s="27" t="n"/>
      <c r="E1893" s="27" t="n"/>
      <c r="F1893" s="27" t="n"/>
      <c r="G1893" s="27" t="n"/>
      <c r="H1893" s="62" t="n"/>
      <c r="I1893" s="31" t="n"/>
      <c r="J1893" s="31" t="n"/>
      <c r="K1893" s="31" t="n"/>
      <c r="L1893" s="31" t="n"/>
      <c r="M1893" s="1" t="n"/>
    </row>
    <row r="1894">
      <c r="A1894" s="1" t="n"/>
      <c r="B1894" s="24" t="n">
        <v>1888</v>
      </c>
      <c r="C1894" s="61" t="n"/>
      <c r="D1894" s="27" t="n"/>
      <c r="E1894" s="27" t="n"/>
      <c r="F1894" s="27" t="n"/>
      <c r="G1894" s="27" t="n"/>
      <c r="H1894" s="62" t="n"/>
      <c r="I1894" s="31" t="n"/>
      <c r="J1894" s="31" t="n"/>
      <c r="K1894" s="31" t="n"/>
      <c r="L1894" s="31" t="n"/>
      <c r="M1894" s="1" t="n"/>
    </row>
    <row r="1895">
      <c r="A1895" s="1" t="n"/>
      <c r="B1895" s="24" t="n">
        <v>1889</v>
      </c>
      <c r="C1895" s="61" t="n"/>
      <c r="D1895" s="27" t="n"/>
      <c r="E1895" s="27" t="n"/>
      <c r="F1895" s="27" t="n"/>
      <c r="G1895" s="27" t="n"/>
      <c r="H1895" s="62" t="n"/>
      <c r="I1895" s="31" t="n"/>
      <c r="J1895" s="31" t="n"/>
      <c r="K1895" s="31" t="n"/>
      <c r="L1895" s="31" t="n"/>
      <c r="M1895" s="1" t="n"/>
    </row>
    <row r="1896">
      <c r="A1896" s="1" t="n"/>
      <c r="B1896" s="24" t="n">
        <v>1890</v>
      </c>
      <c r="C1896" s="61" t="n"/>
      <c r="D1896" s="27" t="n"/>
      <c r="E1896" s="27" t="n"/>
      <c r="F1896" s="27" t="n"/>
      <c r="G1896" s="27" t="n"/>
      <c r="H1896" s="62" t="n"/>
      <c r="I1896" s="31" t="n"/>
      <c r="J1896" s="31" t="n"/>
      <c r="K1896" s="31" t="n"/>
      <c r="L1896" s="31" t="n"/>
      <c r="M1896" s="1" t="n"/>
    </row>
    <row r="1897">
      <c r="A1897" s="1" t="n"/>
      <c r="B1897" s="24" t="n">
        <v>1891</v>
      </c>
      <c r="C1897" s="61" t="n"/>
      <c r="D1897" s="27" t="n"/>
      <c r="E1897" s="27" t="n"/>
      <c r="F1897" s="27" t="n"/>
      <c r="G1897" s="27" t="n"/>
      <c r="H1897" s="62" t="n"/>
      <c r="I1897" s="31" t="n"/>
      <c r="J1897" s="31" t="n"/>
      <c r="K1897" s="31" t="n"/>
      <c r="L1897" s="31" t="n"/>
      <c r="M1897" s="1" t="n"/>
    </row>
    <row r="1898">
      <c r="A1898" s="1" t="n"/>
      <c r="B1898" s="24" t="n">
        <v>1892</v>
      </c>
      <c r="C1898" s="61" t="n"/>
      <c r="D1898" s="27" t="n"/>
      <c r="E1898" s="27" t="n"/>
      <c r="F1898" s="27" t="n"/>
      <c r="G1898" s="27" t="n"/>
      <c r="H1898" s="62" t="n"/>
      <c r="I1898" s="31" t="n"/>
      <c r="J1898" s="31" t="n"/>
      <c r="K1898" s="31" t="n"/>
      <c r="L1898" s="31" t="n"/>
      <c r="M1898" s="1" t="n"/>
    </row>
    <row r="1899">
      <c r="A1899" s="1" t="n"/>
      <c r="B1899" s="24" t="n">
        <v>1893</v>
      </c>
      <c r="C1899" s="61" t="n"/>
      <c r="D1899" s="27" t="n"/>
      <c r="E1899" s="27" t="n"/>
      <c r="F1899" s="27" t="n"/>
      <c r="G1899" s="27" t="n"/>
      <c r="H1899" s="62" t="n"/>
      <c r="I1899" s="31" t="n"/>
      <c r="J1899" s="31" t="n"/>
      <c r="K1899" s="31" t="n"/>
      <c r="L1899" s="31" t="n"/>
      <c r="M1899" s="1" t="n"/>
    </row>
    <row r="1900">
      <c r="A1900" s="1" t="n"/>
      <c r="B1900" s="24" t="n">
        <v>1894</v>
      </c>
      <c r="C1900" s="61" t="n"/>
      <c r="D1900" s="27" t="n"/>
      <c r="E1900" s="27" t="n"/>
      <c r="F1900" s="27" t="n"/>
      <c r="G1900" s="27" t="n"/>
      <c r="H1900" s="62" t="n"/>
      <c r="I1900" s="31" t="n"/>
      <c r="J1900" s="31" t="n"/>
      <c r="K1900" s="31" t="n"/>
      <c r="L1900" s="31" t="n"/>
      <c r="M1900" s="1" t="n"/>
    </row>
    <row r="1901">
      <c r="A1901" s="1" t="n"/>
      <c r="B1901" s="24" t="n">
        <v>1895</v>
      </c>
      <c r="C1901" s="61" t="n"/>
      <c r="D1901" s="27" t="n"/>
      <c r="E1901" s="27" t="n"/>
      <c r="F1901" s="27" t="n"/>
      <c r="G1901" s="27" t="n"/>
      <c r="H1901" s="62" t="n"/>
      <c r="I1901" s="31" t="n"/>
      <c r="J1901" s="31" t="n"/>
      <c r="K1901" s="31" t="n"/>
      <c r="L1901" s="31" t="n"/>
      <c r="M1901" s="1" t="n"/>
    </row>
    <row r="1902">
      <c r="A1902" s="1" t="n"/>
      <c r="B1902" s="24" t="n">
        <v>1896</v>
      </c>
      <c r="C1902" s="61" t="n"/>
      <c r="D1902" s="27" t="n"/>
      <c r="E1902" s="27" t="n"/>
      <c r="F1902" s="27" t="n"/>
      <c r="G1902" s="27" t="n"/>
      <c r="H1902" s="62" t="n"/>
      <c r="I1902" s="31" t="n"/>
      <c r="J1902" s="31" t="n"/>
      <c r="K1902" s="31" t="n"/>
      <c r="L1902" s="31" t="n"/>
      <c r="M1902" s="1" t="n"/>
    </row>
    <row r="1903">
      <c r="A1903" s="1" t="n"/>
      <c r="B1903" s="24" t="n">
        <v>1897</v>
      </c>
      <c r="C1903" s="61" t="n"/>
      <c r="D1903" s="27" t="n"/>
      <c r="E1903" s="27" t="n"/>
      <c r="F1903" s="27" t="n"/>
      <c r="G1903" s="27" t="n"/>
      <c r="H1903" s="62" t="n"/>
      <c r="I1903" s="31" t="n"/>
      <c r="J1903" s="31" t="n"/>
      <c r="K1903" s="31" t="n"/>
      <c r="L1903" s="31" t="n"/>
      <c r="M1903" s="1" t="n"/>
    </row>
    <row r="1904">
      <c r="A1904" s="1" t="n"/>
      <c r="B1904" s="24" t="n">
        <v>1898</v>
      </c>
      <c r="C1904" s="61" t="n"/>
      <c r="D1904" s="27" t="n"/>
      <c r="E1904" s="27" t="n"/>
      <c r="F1904" s="27" t="n"/>
      <c r="G1904" s="27" t="n"/>
      <c r="H1904" s="62" t="n"/>
      <c r="I1904" s="31" t="n"/>
      <c r="J1904" s="31" t="n"/>
      <c r="K1904" s="31" t="n"/>
      <c r="L1904" s="31" t="n"/>
      <c r="M1904" s="1" t="n"/>
    </row>
    <row r="1905">
      <c r="A1905" s="1" t="n"/>
      <c r="B1905" s="24" t="n">
        <v>1899</v>
      </c>
      <c r="C1905" s="61" t="n"/>
      <c r="D1905" s="27" t="n"/>
      <c r="E1905" s="27" t="n"/>
      <c r="F1905" s="27" t="n"/>
      <c r="G1905" s="27" t="n"/>
      <c r="H1905" s="62" t="n"/>
      <c r="I1905" s="31" t="n"/>
      <c r="J1905" s="31" t="n"/>
      <c r="K1905" s="31" t="n"/>
      <c r="L1905" s="31" t="n"/>
      <c r="M1905" s="1" t="n"/>
    </row>
    <row r="1906">
      <c r="A1906" s="1" t="n"/>
      <c r="B1906" s="24" t="n">
        <v>1900</v>
      </c>
      <c r="C1906" s="61" t="n"/>
      <c r="D1906" s="27" t="n"/>
      <c r="E1906" s="27" t="n"/>
      <c r="F1906" s="27" t="n"/>
      <c r="G1906" s="27" t="n"/>
      <c r="H1906" s="62" t="n"/>
      <c r="I1906" s="31" t="n"/>
      <c r="J1906" s="31" t="n"/>
      <c r="K1906" s="31" t="n"/>
      <c r="L1906" s="31" t="n"/>
      <c r="M1906" s="1" t="n"/>
    </row>
    <row r="1907">
      <c r="A1907" s="1" t="n"/>
      <c r="B1907" s="24" t="n">
        <v>1901</v>
      </c>
      <c r="C1907" s="61" t="n"/>
      <c r="D1907" s="27" t="n"/>
      <c r="E1907" s="27" t="n"/>
      <c r="F1907" s="27" t="n"/>
      <c r="G1907" s="27" t="n"/>
      <c r="H1907" s="62" t="n"/>
      <c r="I1907" s="31" t="n"/>
      <c r="J1907" s="31" t="n"/>
      <c r="K1907" s="31" t="n"/>
      <c r="L1907" s="31" t="n"/>
      <c r="M1907" s="1" t="n"/>
    </row>
    <row r="1908">
      <c r="A1908" s="1" t="n"/>
      <c r="B1908" s="24" t="n">
        <v>1902</v>
      </c>
      <c r="C1908" s="61" t="n"/>
      <c r="D1908" s="27" t="n"/>
      <c r="E1908" s="27" t="n"/>
      <c r="F1908" s="27" t="n"/>
      <c r="G1908" s="27" t="n"/>
      <c r="H1908" s="62" t="n"/>
      <c r="I1908" s="31" t="n"/>
      <c r="J1908" s="31" t="n"/>
      <c r="K1908" s="31" t="n"/>
      <c r="L1908" s="31" t="n"/>
      <c r="M1908" s="1" t="n"/>
    </row>
    <row r="1909">
      <c r="A1909" s="1" t="n"/>
      <c r="B1909" s="24" t="n">
        <v>1903</v>
      </c>
      <c r="C1909" s="61" t="n"/>
      <c r="D1909" s="27" t="n"/>
      <c r="E1909" s="27" t="n"/>
      <c r="F1909" s="27" t="n"/>
      <c r="G1909" s="27" t="n"/>
      <c r="H1909" s="62" t="n"/>
      <c r="I1909" s="31" t="n"/>
      <c r="J1909" s="31" t="n"/>
      <c r="K1909" s="31" t="n"/>
      <c r="L1909" s="31" t="n"/>
      <c r="M1909" s="1" t="n"/>
    </row>
    <row r="1910">
      <c r="A1910" s="1" t="n"/>
      <c r="B1910" s="24" t="n">
        <v>1904</v>
      </c>
      <c r="C1910" s="61" t="n"/>
      <c r="D1910" s="27" t="n"/>
      <c r="E1910" s="27" t="n"/>
      <c r="F1910" s="27" t="n"/>
      <c r="G1910" s="27" t="n"/>
      <c r="H1910" s="62" t="n"/>
      <c r="I1910" s="31" t="n"/>
      <c r="J1910" s="31" t="n"/>
      <c r="K1910" s="31" t="n"/>
      <c r="L1910" s="31" t="n"/>
      <c r="M1910" s="1" t="n"/>
    </row>
    <row r="1911">
      <c r="A1911" s="1" t="n"/>
      <c r="B1911" s="24" t="n">
        <v>1905</v>
      </c>
      <c r="C1911" s="61" t="n"/>
      <c r="D1911" s="27" t="n"/>
      <c r="E1911" s="27" t="n"/>
      <c r="F1911" s="27" t="n"/>
      <c r="G1911" s="27" t="n"/>
      <c r="H1911" s="62" t="n"/>
      <c r="I1911" s="31" t="n"/>
      <c r="J1911" s="31" t="n"/>
      <c r="K1911" s="31" t="n"/>
      <c r="L1911" s="31" t="n"/>
      <c r="M1911" s="1" t="n"/>
    </row>
    <row r="1912">
      <c r="A1912" s="1" t="n"/>
      <c r="B1912" s="24" t="n">
        <v>1906</v>
      </c>
      <c r="C1912" s="61" t="n"/>
      <c r="D1912" s="27" t="n"/>
      <c r="E1912" s="27" t="n"/>
      <c r="F1912" s="27" t="n"/>
      <c r="G1912" s="27" t="n"/>
      <c r="H1912" s="62" t="n"/>
      <c r="I1912" s="31" t="n"/>
      <c r="J1912" s="31" t="n"/>
      <c r="K1912" s="31" t="n"/>
      <c r="L1912" s="31" t="n"/>
      <c r="M1912" s="1" t="n"/>
    </row>
    <row r="1913">
      <c r="A1913" s="1" t="n"/>
      <c r="B1913" s="24" t="n">
        <v>1907</v>
      </c>
      <c r="C1913" s="61" t="n"/>
      <c r="D1913" s="27" t="n"/>
      <c r="E1913" s="27" t="n"/>
      <c r="F1913" s="27" t="n"/>
      <c r="G1913" s="27" t="n"/>
      <c r="H1913" s="62" t="n"/>
      <c r="I1913" s="31" t="n"/>
      <c r="J1913" s="31" t="n"/>
      <c r="K1913" s="31" t="n"/>
      <c r="L1913" s="31" t="n"/>
      <c r="M1913" s="1" t="n"/>
    </row>
    <row r="1914">
      <c r="A1914" s="1" t="n"/>
      <c r="B1914" s="24" t="n">
        <v>1908</v>
      </c>
      <c r="C1914" s="61" t="n"/>
      <c r="D1914" s="27" t="n"/>
      <c r="E1914" s="27" t="n"/>
      <c r="F1914" s="27" t="n"/>
      <c r="G1914" s="27" t="n"/>
      <c r="H1914" s="62" t="n"/>
      <c r="I1914" s="31" t="n"/>
      <c r="J1914" s="31" t="n"/>
      <c r="K1914" s="31" t="n"/>
      <c r="L1914" s="31" t="n"/>
      <c r="M1914" s="1" t="n"/>
    </row>
    <row r="1915">
      <c r="A1915" s="1" t="n"/>
      <c r="B1915" s="24" t="n">
        <v>1909</v>
      </c>
      <c r="C1915" s="61" t="n"/>
      <c r="D1915" s="27" t="n"/>
      <c r="E1915" s="27" t="n"/>
      <c r="F1915" s="27" t="n"/>
      <c r="G1915" s="27" t="n"/>
      <c r="H1915" s="62" t="n"/>
      <c r="I1915" s="31" t="n"/>
      <c r="J1915" s="31" t="n"/>
      <c r="K1915" s="31" t="n"/>
      <c r="L1915" s="31" t="n"/>
      <c r="M1915" s="1" t="n"/>
    </row>
    <row r="1916">
      <c r="A1916" s="1" t="n"/>
      <c r="B1916" s="24" t="n">
        <v>1910</v>
      </c>
      <c r="C1916" s="61" t="n"/>
      <c r="D1916" s="27" t="n"/>
      <c r="E1916" s="27" t="n"/>
      <c r="F1916" s="27" t="n"/>
      <c r="G1916" s="27" t="n"/>
      <c r="H1916" s="62" t="n"/>
      <c r="I1916" s="31" t="n"/>
      <c r="J1916" s="31" t="n"/>
      <c r="K1916" s="31" t="n"/>
      <c r="L1916" s="31" t="n"/>
      <c r="M1916" s="1" t="n"/>
    </row>
    <row r="1917">
      <c r="A1917" s="1" t="n"/>
      <c r="B1917" s="24" t="n">
        <v>1911</v>
      </c>
      <c r="C1917" s="61" t="n"/>
      <c r="D1917" s="27" t="n"/>
      <c r="E1917" s="27" t="n"/>
      <c r="F1917" s="27" t="n"/>
      <c r="G1917" s="27" t="n"/>
      <c r="H1917" s="62" t="n"/>
      <c r="I1917" s="31" t="n"/>
      <c r="J1917" s="31" t="n"/>
      <c r="K1917" s="31" t="n"/>
      <c r="L1917" s="31" t="n"/>
      <c r="M1917" s="1" t="n"/>
    </row>
    <row r="1918">
      <c r="A1918" s="1" t="n"/>
      <c r="B1918" s="24" t="n">
        <v>1912</v>
      </c>
      <c r="C1918" s="61" t="n"/>
      <c r="D1918" s="27" t="n"/>
      <c r="E1918" s="27" t="n"/>
      <c r="F1918" s="27" t="n"/>
      <c r="G1918" s="27" t="n"/>
      <c r="H1918" s="62" t="n"/>
      <c r="I1918" s="31" t="n"/>
      <c r="J1918" s="31" t="n"/>
      <c r="K1918" s="31" t="n"/>
      <c r="L1918" s="31" t="n"/>
      <c r="M1918" s="1" t="n"/>
    </row>
    <row r="1919">
      <c r="A1919" s="1" t="n"/>
      <c r="B1919" s="24" t="n">
        <v>1913</v>
      </c>
      <c r="C1919" s="61" t="n"/>
      <c r="D1919" s="27" t="n"/>
      <c r="E1919" s="27" t="n"/>
      <c r="F1919" s="27" t="n"/>
      <c r="G1919" s="27" t="n"/>
      <c r="H1919" s="62" t="n"/>
      <c r="I1919" s="31" t="n"/>
      <c r="J1919" s="31" t="n"/>
      <c r="K1919" s="31" t="n"/>
      <c r="L1919" s="31" t="n"/>
      <c r="M1919" s="1" t="n"/>
    </row>
    <row r="1920">
      <c r="A1920" s="1" t="n"/>
      <c r="B1920" s="24" t="n">
        <v>1914</v>
      </c>
      <c r="C1920" s="61" t="n"/>
      <c r="D1920" s="27" t="n"/>
      <c r="E1920" s="27" t="n"/>
      <c r="F1920" s="27" t="n"/>
      <c r="G1920" s="27" t="n"/>
      <c r="H1920" s="62" t="n"/>
      <c r="I1920" s="31" t="n"/>
      <c r="J1920" s="31" t="n"/>
      <c r="K1920" s="31" t="n"/>
      <c r="L1920" s="31" t="n"/>
      <c r="M1920" s="1" t="n"/>
    </row>
    <row r="1921">
      <c r="A1921" s="1" t="n"/>
      <c r="B1921" s="24" t="n">
        <v>1915</v>
      </c>
      <c r="C1921" s="61" t="n"/>
      <c r="D1921" s="27" t="n"/>
      <c r="E1921" s="27" t="n"/>
      <c r="F1921" s="27" t="n"/>
      <c r="G1921" s="27" t="n"/>
      <c r="H1921" s="62" t="n"/>
      <c r="I1921" s="31" t="n"/>
      <c r="J1921" s="31" t="n"/>
      <c r="K1921" s="31" t="n"/>
      <c r="L1921" s="31" t="n"/>
      <c r="M1921" s="1" t="n"/>
    </row>
    <row r="1922">
      <c r="A1922" s="1" t="n"/>
      <c r="B1922" s="24" t="n">
        <v>1916</v>
      </c>
      <c r="C1922" s="61" t="n"/>
      <c r="D1922" s="27" t="n"/>
      <c r="E1922" s="27" t="n"/>
      <c r="F1922" s="27" t="n"/>
      <c r="G1922" s="27" t="n"/>
      <c r="H1922" s="62" t="n"/>
      <c r="I1922" s="31" t="n"/>
      <c r="J1922" s="31" t="n"/>
      <c r="K1922" s="31" t="n"/>
      <c r="L1922" s="31" t="n"/>
      <c r="M1922" s="1" t="n"/>
    </row>
    <row r="1923">
      <c r="A1923" s="1" t="n"/>
      <c r="B1923" s="24" t="n">
        <v>1917</v>
      </c>
      <c r="C1923" s="61" t="n"/>
      <c r="D1923" s="27" t="n"/>
      <c r="E1923" s="27" t="n"/>
      <c r="F1923" s="27" t="n"/>
      <c r="G1923" s="27" t="n"/>
      <c r="H1923" s="62" t="n"/>
      <c r="I1923" s="31" t="n"/>
      <c r="J1923" s="31" t="n"/>
      <c r="K1923" s="31" t="n"/>
      <c r="L1923" s="31" t="n"/>
      <c r="M1923" s="1" t="n"/>
    </row>
    <row r="1924">
      <c r="A1924" s="1" t="n"/>
      <c r="B1924" s="24" t="n">
        <v>1918</v>
      </c>
      <c r="C1924" s="61" t="n"/>
      <c r="D1924" s="27" t="n"/>
      <c r="E1924" s="27" t="n"/>
      <c r="F1924" s="27" t="n"/>
      <c r="G1924" s="27" t="n"/>
      <c r="H1924" s="62" t="n"/>
      <c r="I1924" s="31" t="n"/>
      <c r="J1924" s="31" t="n"/>
      <c r="K1924" s="31" t="n"/>
      <c r="L1924" s="31" t="n"/>
      <c r="M1924" s="1" t="n"/>
    </row>
    <row r="1925">
      <c r="A1925" s="1" t="n"/>
      <c r="B1925" s="24" t="n">
        <v>1919</v>
      </c>
      <c r="C1925" s="61" t="n"/>
      <c r="D1925" s="27" t="n"/>
      <c r="E1925" s="27" t="n"/>
      <c r="F1925" s="27" t="n"/>
      <c r="G1925" s="27" t="n"/>
      <c r="H1925" s="62" t="n"/>
      <c r="I1925" s="31" t="n"/>
      <c r="J1925" s="31" t="n"/>
      <c r="K1925" s="31" t="n"/>
      <c r="L1925" s="31" t="n"/>
      <c r="M1925" s="1" t="n"/>
    </row>
    <row r="1926">
      <c r="A1926" s="1" t="n"/>
      <c r="B1926" s="24" t="n">
        <v>1920</v>
      </c>
      <c r="C1926" s="61" t="n"/>
      <c r="D1926" s="27" t="n"/>
      <c r="E1926" s="27" t="n"/>
      <c r="F1926" s="27" t="n"/>
      <c r="G1926" s="27" t="n"/>
      <c r="H1926" s="62" t="n"/>
      <c r="I1926" s="31" t="n"/>
      <c r="J1926" s="31" t="n"/>
      <c r="K1926" s="31" t="n"/>
      <c r="L1926" s="31" t="n"/>
      <c r="M1926" s="1" t="n"/>
    </row>
    <row r="1927">
      <c r="A1927" s="1" t="n"/>
      <c r="B1927" s="24" t="n">
        <v>1921</v>
      </c>
      <c r="C1927" s="61" t="n"/>
      <c r="D1927" s="27" t="n"/>
      <c r="E1927" s="27" t="n"/>
      <c r="F1927" s="27" t="n"/>
      <c r="G1927" s="27" t="n"/>
      <c r="H1927" s="62" t="n"/>
      <c r="I1927" s="31" t="n"/>
      <c r="J1927" s="31" t="n"/>
      <c r="K1927" s="31" t="n"/>
      <c r="L1927" s="31" t="n"/>
      <c r="M1927" s="1" t="n"/>
    </row>
    <row r="1928">
      <c r="A1928" s="1" t="n"/>
      <c r="B1928" s="24" t="n">
        <v>1922</v>
      </c>
      <c r="C1928" s="61" t="n"/>
      <c r="D1928" s="27" t="n"/>
      <c r="E1928" s="27" t="n"/>
      <c r="F1928" s="27" t="n"/>
      <c r="G1928" s="27" t="n"/>
      <c r="H1928" s="62" t="n"/>
      <c r="I1928" s="31" t="n"/>
      <c r="J1928" s="31" t="n"/>
      <c r="K1928" s="31" t="n"/>
      <c r="L1928" s="31" t="n"/>
      <c r="M1928" s="1" t="n"/>
    </row>
    <row r="1929">
      <c r="A1929" s="1" t="n"/>
      <c r="B1929" s="24" t="n">
        <v>1923</v>
      </c>
      <c r="C1929" s="61" t="n"/>
      <c r="D1929" s="27" t="n"/>
      <c r="E1929" s="27" t="n"/>
      <c r="F1929" s="27" t="n"/>
      <c r="G1929" s="27" t="n"/>
      <c r="H1929" s="62" t="n"/>
      <c r="I1929" s="31" t="n"/>
      <c r="J1929" s="31" t="n"/>
      <c r="K1929" s="31" t="n"/>
      <c r="L1929" s="31" t="n"/>
      <c r="M1929" s="1" t="n"/>
    </row>
    <row r="1930">
      <c r="A1930" s="1" t="n"/>
      <c r="B1930" s="24" t="n">
        <v>1924</v>
      </c>
      <c r="C1930" s="61" t="n"/>
      <c r="D1930" s="27" t="n"/>
      <c r="E1930" s="27" t="n"/>
      <c r="F1930" s="27" t="n"/>
      <c r="G1930" s="27" t="n"/>
      <c r="H1930" s="62" t="n"/>
      <c r="I1930" s="31" t="n"/>
      <c r="J1930" s="31" t="n"/>
      <c r="K1930" s="31" t="n"/>
      <c r="L1930" s="31" t="n"/>
      <c r="M1930" s="1" t="n"/>
    </row>
    <row r="1931">
      <c r="A1931" s="1" t="n"/>
      <c r="B1931" s="24" t="n">
        <v>1925</v>
      </c>
      <c r="C1931" s="61" t="n"/>
      <c r="D1931" s="27" t="n"/>
      <c r="E1931" s="27" t="n"/>
      <c r="F1931" s="27" t="n"/>
      <c r="G1931" s="27" t="n"/>
      <c r="H1931" s="62" t="n"/>
      <c r="I1931" s="31" t="n"/>
      <c r="J1931" s="31" t="n"/>
      <c r="K1931" s="31" t="n"/>
      <c r="L1931" s="31" t="n"/>
      <c r="M1931" s="1" t="n"/>
    </row>
    <row r="1932">
      <c r="A1932" s="1" t="n"/>
      <c r="B1932" s="24" t="n">
        <v>1926</v>
      </c>
      <c r="C1932" s="61" t="n"/>
      <c r="D1932" s="27" t="n"/>
      <c r="E1932" s="27" t="n"/>
      <c r="F1932" s="27" t="n"/>
      <c r="G1932" s="27" t="n"/>
      <c r="H1932" s="62" t="n"/>
      <c r="I1932" s="31" t="n"/>
      <c r="J1932" s="31" t="n"/>
      <c r="K1932" s="31" t="n"/>
      <c r="L1932" s="31" t="n"/>
      <c r="M1932" s="1" t="n"/>
    </row>
    <row r="1933">
      <c r="A1933" s="1" t="n"/>
      <c r="B1933" s="24" t="n">
        <v>1927</v>
      </c>
      <c r="C1933" s="61" t="n"/>
      <c r="D1933" s="27" t="n"/>
      <c r="E1933" s="27" t="n"/>
      <c r="F1933" s="27" t="n"/>
      <c r="G1933" s="27" t="n"/>
      <c r="H1933" s="62" t="n"/>
      <c r="I1933" s="31" t="n"/>
      <c r="J1933" s="31" t="n"/>
      <c r="K1933" s="31" t="n"/>
      <c r="L1933" s="31" t="n"/>
      <c r="M1933" s="1" t="n"/>
    </row>
    <row r="1934">
      <c r="A1934" s="1" t="n"/>
      <c r="B1934" s="24" t="n">
        <v>1928</v>
      </c>
      <c r="C1934" s="61" t="n"/>
      <c r="D1934" s="27" t="n"/>
      <c r="E1934" s="27" t="n"/>
      <c r="F1934" s="27" t="n"/>
      <c r="G1934" s="27" t="n"/>
      <c r="H1934" s="62" t="n"/>
      <c r="I1934" s="31" t="n"/>
      <c r="J1934" s="31" t="n"/>
      <c r="K1934" s="31" t="n"/>
      <c r="L1934" s="31" t="n"/>
      <c r="M1934" s="1" t="n"/>
    </row>
    <row r="1935">
      <c r="A1935" s="1" t="n"/>
      <c r="B1935" s="24" t="n">
        <v>1929</v>
      </c>
      <c r="C1935" s="61" t="n"/>
      <c r="D1935" s="27" t="n"/>
      <c r="E1935" s="27" t="n"/>
      <c r="F1935" s="27" t="n"/>
      <c r="G1935" s="27" t="n"/>
      <c r="H1935" s="62" t="n"/>
      <c r="I1935" s="31" t="n"/>
      <c r="J1935" s="31" t="n"/>
      <c r="K1935" s="31" t="n"/>
      <c r="L1935" s="31" t="n"/>
      <c r="M1935" s="1" t="n"/>
    </row>
    <row r="1936">
      <c r="A1936" s="1" t="n"/>
      <c r="B1936" s="24" t="n">
        <v>1930</v>
      </c>
      <c r="C1936" s="61" t="n"/>
      <c r="D1936" s="27" t="n"/>
      <c r="E1936" s="27" t="n"/>
      <c r="F1936" s="27" t="n"/>
      <c r="G1936" s="27" t="n"/>
      <c r="H1936" s="62" t="n"/>
      <c r="I1936" s="31" t="n"/>
      <c r="J1936" s="31" t="n"/>
      <c r="K1936" s="31" t="n"/>
      <c r="L1936" s="31" t="n"/>
      <c r="M1936" s="1" t="n"/>
    </row>
    <row r="1937">
      <c r="A1937" s="1" t="n"/>
      <c r="B1937" s="24" t="n">
        <v>1931</v>
      </c>
      <c r="C1937" s="61" t="n"/>
      <c r="D1937" s="27" t="n"/>
      <c r="E1937" s="27" t="n"/>
      <c r="F1937" s="27" t="n"/>
      <c r="G1937" s="27" t="n"/>
      <c r="H1937" s="62" t="n"/>
      <c r="I1937" s="31" t="n"/>
      <c r="J1937" s="31" t="n"/>
      <c r="K1937" s="31" t="n"/>
      <c r="L1937" s="31" t="n"/>
      <c r="M1937" s="1" t="n"/>
    </row>
    <row r="1938">
      <c r="A1938" s="1" t="n"/>
      <c r="B1938" s="24" t="n">
        <v>1932</v>
      </c>
      <c r="C1938" s="61" t="n"/>
      <c r="D1938" s="27" t="n"/>
      <c r="E1938" s="27" t="n"/>
      <c r="F1938" s="27" t="n"/>
      <c r="G1938" s="27" t="n"/>
      <c r="H1938" s="62" t="n"/>
      <c r="I1938" s="31" t="n"/>
      <c r="J1938" s="31" t="n"/>
      <c r="K1938" s="31" t="n"/>
      <c r="L1938" s="31" t="n"/>
      <c r="M1938" s="1" t="n"/>
    </row>
    <row r="1939">
      <c r="A1939" s="1" t="n"/>
      <c r="B1939" s="24" t="n">
        <v>1933</v>
      </c>
      <c r="C1939" s="61" t="n"/>
      <c r="D1939" s="27" t="n"/>
      <c r="E1939" s="27" t="n"/>
      <c r="F1939" s="27" t="n"/>
      <c r="G1939" s="27" t="n"/>
      <c r="H1939" s="62" t="n"/>
      <c r="I1939" s="31" t="n"/>
      <c r="J1939" s="31" t="n"/>
      <c r="K1939" s="31" t="n"/>
      <c r="L1939" s="31" t="n"/>
      <c r="M1939" s="1" t="n"/>
    </row>
    <row r="1940">
      <c r="A1940" s="1" t="n"/>
      <c r="B1940" s="24" t="n">
        <v>1934</v>
      </c>
      <c r="C1940" s="61" t="n"/>
      <c r="D1940" s="27" t="n"/>
      <c r="E1940" s="27" t="n"/>
      <c r="F1940" s="27" t="n"/>
      <c r="G1940" s="27" t="n"/>
      <c r="H1940" s="62" t="n"/>
      <c r="I1940" s="31" t="n"/>
      <c r="J1940" s="31" t="n"/>
      <c r="K1940" s="31" t="n"/>
      <c r="L1940" s="31" t="n"/>
      <c r="M1940" s="1" t="n"/>
    </row>
    <row r="1941">
      <c r="A1941" s="1" t="n"/>
      <c r="B1941" s="24" t="n">
        <v>1935</v>
      </c>
      <c r="C1941" s="61" t="n"/>
      <c r="D1941" s="27" t="n"/>
      <c r="E1941" s="27" t="n"/>
      <c r="F1941" s="27" t="n"/>
      <c r="G1941" s="27" t="n"/>
      <c r="H1941" s="62" t="n"/>
      <c r="I1941" s="31" t="n"/>
      <c r="J1941" s="31" t="n"/>
      <c r="K1941" s="31" t="n"/>
      <c r="L1941" s="31" t="n"/>
      <c r="M1941" s="1" t="n"/>
    </row>
    <row r="1942">
      <c r="A1942" s="1" t="n"/>
      <c r="B1942" s="24" t="n">
        <v>1936</v>
      </c>
      <c r="C1942" s="61" t="n"/>
      <c r="D1942" s="27" t="n"/>
      <c r="E1942" s="27" t="n"/>
      <c r="F1942" s="27" t="n"/>
      <c r="G1942" s="27" t="n"/>
      <c r="H1942" s="62" t="n"/>
      <c r="I1942" s="31" t="n"/>
      <c r="J1942" s="31" t="n"/>
      <c r="K1942" s="31" t="n"/>
      <c r="L1942" s="31" t="n"/>
      <c r="M1942" s="1" t="n"/>
    </row>
    <row r="1943">
      <c r="A1943" s="1" t="n"/>
      <c r="B1943" s="24" t="n">
        <v>1937</v>
      </c>
      <c r="C1943" s="61" t="n"/>
      <c r="D1943" s="27" t="n"/>
      <c r="E1943" s="27" t="n"/>
      <c r="F1943" s="27" t="n"/>
      <c r="G1943" s="27" t="n"/>
      <c r="H1943" s="62" t="n"/>
      <c r="I1943" s="31" t="n"/>
      <c r="J1943" s="31" t="n"/>
      <c r="K1943" s="31" t="n"/>
      <c r="L1943" s="31" t="n"/>
      <c r="M1943" s="1" t="n"/>
    </row>
    <row r="1944">
      <c r="A1944" s="1" t="n"/>
      <c r="B1944" s="24" t="n">
        <v>1938</v>
      </c>
      <c r="C1944" s="61" t="n"/>
      <c r="D1944" s="27" t="n"/>
      <c r="E1944" s="27" t="n"/>
      <c r="F1944" s="27" t="n"/>
      <c r="G1944" s="27" t="n"/>
      <c r="H1944" s="62" t="n"/>
      <c r="I1944" s="31" t="n"/>
      <c r="J1944" s="31" t="n"/>
      <c r="K1944" s="31" t="n"/>
      <c r="L1944" s="31" t="n"/>
      <c r="M1944" s="1" t="n"/>
    </row>
    <row r="1945">
      <c r="A1945" s="1" t="n"/>
      <c r="B1945" s="24" t="n">
        <v>1939</v>
      </c>
      <c r="C1945" s="61" t="n"/>
      <c r="D1945" s="27" t="n"/>
      <c r="E1945" s="27" t="n"/>
      <c r="F1945" s="27" t="n"/>
      <c r="G1945" s="27" t="n"/>
      <c r="H1945" s="62" t="n"/>
      <c r="I1945" s="31" t="n"/>
      <c r="J1945" s="31" t="n"/>
      <c r="K1945" s="31" t="n"/>
      <c r="L1945" s="31" t="n"/>
      <c r="M1945" s="1" t="n"/>
    </row>
    <row r="1946">
      <c r="A1946" s="1" t="n"/>
      <c r="B1946" s="24" t="n">
        <v>1940</v>
      </c>
      <c r="C1946" s="61" t="n"/>
      <c r="D1946" s="27" t="n"/>
      <c r="E1946" s="27" t="n"/>
      <c r="F1946" s="27" t="n"/>
      <c r="G1946" s="27" t="n"/>
      <c r="H1946" s="62" t="n"/>
      <c r="I1946" s="31" t="n"/>
      <c r="J1946" s="31" t="n"/>
      <c r="K1946" s="31" t="n"/>
      <c r="L1946" s="31" t="n"/>
      <c r="M1946" s="1" t="n"/>
    </row>
    <row r="1947">
      <c r="A1947" s="1" t="n"/>
      <c r="B1947" s="24" t="n">
        <v>1941</v>
      </c>
      <c r="C1947" s="61" t="n"/>
      <c r="D1947" s="27" t="n"/>
      <c r="E1947" s="27" t="n"/>
      <c r="F1947" s="27" t="n"/>
      <c r="G1947" s="27" t="n"/>
      <c r="H1947" s="62" t="n"/>
      <c r="I1947" s="31" t="n"/>
      <c r="J1947" s="31" t="n"/>
      <c r="K1947" s="31" t="n"/>
      <c r="L1947" s="31" t="n"/>
      <c r="M1947" s="1" t="n"/>
    </row>
    <row r="1948">
      <c r="A1948" s="1" t="n"/>
      <c r="B1948" s="24" t="n">
        <v>1942</v>
      </c>
      <c r="C1948" s="61" t="n"/>
      <c r="D1948" s="27" t="n"/>
      <c r="E1948" s="27" t="n"/>
      <c r="F1948" s="27" t="n"/>
      <c r="G1948" s="27" t="n"/>
      <c r="H1948" s="62" t="n"/>
      <c r="I1948" s="31" t="n"/>
      <c r="J1948" s="31" t="n"/>
      <c r="K1948" s="31" t="n"/>
      <c r="L1948" s="31" t="n"/>
      <c r="M1948" s="1" t="n"/>
    </row>
    <row r="1949">
      <c r="A1949" s="1" t="n"/>
      <c r="B1949" s="24" t="n">
        <v>1943</v>
      </c>
      <c r="C1949" s="61" t="n"/>
      <c r="D1949" s="27" t="n"/>
      <c r="E1949" s="27" t="n"/>
      <c r="F1949" s="27" t="n"/>
      <c r="G1949" s="27" t="n"/>
      <c r="H1949" s="62" t="n"/>
      <c r="I1949" s="31" t="n"/>
      <c r="J1949" s="31" t="n"/>
      <c r="K1949" s="31" t="n"/>
      <c r="L1949" s="31" t="n"/>
      <c r="M1949" s="1" t="n"/>
    </row>
    <row r="1950">
      <c r="A1950" s="1" t="n"/>
      <c r="B1950" s="24" t="n">
        <v>1944</v>
      </c>
      <c r="C1950" s="61" t="n"/>
      <c r="D1950" s="27" t="n"/>
      <c r="E1950" s="27" t="n"/>
      <c r="F1950" s="27" t="n"/>
      <c r="G1950" s="27" t="n"/>
      <c r="H1950" s="62" t="n"/>
      <c r="I1950" s="31" t="n"/>
      <c r="J1950" s="31" t="n"/>
      <c r="K1950" s="31" t="n"/>
      <c r="L1950" s="31" t="n"/>
      <c r="M1950" s="1" t="n"/>
    </row>
    <row r="1951">
      <c r="A1951" s="1" t="n"/>
      <c r="B1951" s="24" t="n">
        <v>1945</v>
      </c>
      <c r="C1951" s="61" t="n"/>
      <c r="D1951" s="27" t="n"/>
      <c r="E1951" s="27" t="n"/>
      <c r="F1951" s="27" t="n"/>
      <c r="G1951" s="27" t="n"/>
      <c r="H1951" s="62" t="n"/>
      <c r="I1951" s="31" t="n"/>
      <c r="J1951" s="31" t="n"/>
      <c r="K1951" s="31" t="n"/>
      <c r="L1951" s="31" t="n"/>
      <c r="M1951" s="1" t="n"/>
    </row>
    <row r="1952">
      <c r="A1952" s="1" t="n"/>
      <c r="B1952" s="24" t="n">
        <v>1946</v>
      </c>
      <c r="C1952" s="61" t="n"/>
      <c r="D1952" s="27" t="n"/>
      <c r="E1952" s="27" t="n"/>
      <c r="F1952" s="27" t="n"/>
      <c r="G1952" s="27" t="n"/>
      <c r="H1952" s="62" t="n"/>
      <c r="I1952" s="31" t="n"/>
      <c r="J1952" s="31" t="n"/>
      <c r="K1952" s="31" t="n"/>
      <c r="L1952" s="31" t="n"/>
      <c r="M1952" s="1" t="n"/>
    </row>
    <row r="1953">
      <c r="A1953" s="1" t="n"/>
      <c r="B1953" s="24" t="n">
        <v>1947</v>
      </c>
      <c r="C1953" s="61" t="n"/>
      <c r="D1953" s="27" t="n"/>
      <c r="E1953" s="27" t="n"/>
      <c r="F1953" s="27" t="n"/>
      <c r="G1953" s="27" t="n"/>
      <c r="H1953" s="62" t="n"/>
      <c r="I1953" s="31" t="n"/>
      <c r="J1953" s="31" t="n"/>
      <c r="K1953" s="31" t="n"/>
      <c r="L1953" s="31" t="n"/>
      <c r="M1953" s="1" t="n"/>
    </row>
    <row r="1954">
      <c r="A1954" s="1" t="n"/>
      <c r="B1954" s="24" t="n">
        <v>1948</v>
      </c>
      <c r="C1954" s="61" t="n"/>
      <c r="D1954" s="27" t="n"/>
      <c r="E1954" s="27" t="n"/>
      <c r="F1954" s="27" t="n"/>
      <c r="G1954" s="27" t="n"/>
      <c r="H1954" s="62" t="n"/>
      <c r="I1954" s="31" t="n"/>
      <c r="J1954" s="31" t="n"/>
      <c r="K1954" s="31" t="n"/>
      <c r="L1954" s="31" t="n"/>
      <c r="M1954" s="1" t="n"/>
    </row>
    <row r="1955">
      <c r="A1955" s="1" t="n"/>
      <c r="B1955" s="24" t="n">
        <v>1949</v>
      </c>
      <c r="C1955" s="61" t="n"/>
      <c r="D1955" s="27" t="n"/>
      <c r="E1955" s="27" t="n"/>
      <c r="F1955" s="27" t="n"/>
      <c r="G1955" s="27" t="n"/>
      <c r="H1955" s="62" t="n"/>
      <c r="I1955" s="31" t="n"/>
      <c r="J1955" s="31" t="n"/>
      <c r="K1955" s="31" t="n"/>
      <c r="L1955" s="31" t="n"/>
      <c r="M1955" s="1" t="n"/>
    </row>
    <row r="1956">
      <c r="A1956" s="1" t="n"/>
      <c r="B1956" s="24" t="n">
        <v>1950</v>
      </c>
      <c r="C1956" s="61" t="n"/>
      <c r="D1956" s="27" t="n"/>
      <c r="E1956" s="27" t="n"/>
      <c r="F1956" s="27" t="n"/>
      <c r="G1956" s="27" t="n"/>
      <c r="H1956" s="62" t="n"/>
      <c r="I1956" s="31" t="n"/>
      <c r="J1956" s="31" t="n"/>
      <c r="K1956" s="31" t="n"/>
      <c r="L1956" s="31" t="n"/>
      <c r="M1956" s="1" t="n"/>
    </row>
    <row r="1957">
      <c r="A1957" s="1" t="n"/>
      <c r="B1957" s="24" t="n">
        <v>1951</v>
      </c>
      <c r="C1957" s="61" t="n"/>
      <c r="D1957" s="27" t="n"/>
      <c r="E1957" s="27" t="n"/>
      <c r="F1957" s="27" t="n"/>
      <c r="G1957" s="27" t="n"/>
      <c r="H1957" s="62" t="n"/>
      <c r="I1957" s="31" t="n"/>
      <c r="J1957" s="31" t="n"/>
      <c r="K1957" s="31" t="n"/>
      <c r="L1957" s="31" t="n"/>
      <c r="M1957" s="1" t="n"/>
    </row>
    <row r="1958">
      <c r="A1958" s="1" t="n"/>
      <c r="B1958" s="24" t="n">
        <v>1952</v>
      </c>
      <c r="C1958" s="61" t="n"/>
      <c r="D1958" s="27" t="n"/>
      <c r="E1958" s="27" t="n"/>
      <c r="F1958" s="27" t="n"/>
      <c r="G1958" s="27" t="n"/>
      <c r="H1958" s="62" t="n"/>
      <c r="I1958" s="31" t="n"/>
      <c r="J1958" s="31" t="n"/>
      <c r="K1958" s="31" t="n"/>
      <c r="L1958" s="31" t="n"/>
      <c r="M1958" s="1" t="n"/>
    </row>
    <row r="1959">
      <c r="A1959" s="1" t="n"/>
      <c r="B1959" s="24" t="n">
        <v>1953</v>
      </c>
      <c r="C1959" s="61" t="n"/>
      <c r="D1959" s="27" t="n"/>
      <c r="E1959" s="27" t="n"/>
      <c r="F1959" s="27" t="n"/>
      <c r="G1959" s="27" t="n"/>
      <c r="H1959" s="62" t="n"/>
      <c r="I1959" s="31" t="n"/>
      <c r="J1959" s="31" t="n"/>
      <c r="K1959" s="31" t="n"/>
      <c r="L1959" s="31" t="n"/>
      <c r="M1959" s="1" t="n"/>
    </row>
    <row r="1960">
      <c r="A1960" s="1" t="n"/>
      <c r="B1960" s="24" t="n">
        <v>1954</v>
      </c>
      <c r="C1960" s="61" t="n"/>
      <c r="D1960" s="27" t="n"/>
      <c r="E1960" s="27" t="n"/>
      <c r="F1960" s="27" t="n"/>
      <c r="G1960" s="27" t="n"/>
      <c r="H1960" s="62" t="n"/>
      <c r="I1960" s="31" t="n"/>
      <c r="J1960" s="31" t="n"/>
      <c r="K1960" s="31" t="n"/>
      <c r="L1960" s="31" t="n"/>
      <c r="M1960" s="1" t="n"/>
    </row>
    <row r="1961">
      <c r="A1961" s="1" t="n"/>
      <c r="B1961" s="24" t="n">
        <v>1955</v>
      </c>
      <c r="C1961" s="61" t="n"/>
      <c r="D1961" s="27" t="n"/>
      <c r="E1961" s="27" t="n"/>
      <c r="F1961" s="27" t="n"/>
      <c r="G1961" s="27" t="n"/>
      <c r="H1961" s="62" t="n"/>
      <c r="I1961" s="31" t="n"/>
      <c r="J1961" s="31" t="n"/>
      <c r="K1961" s="31" t="n"/>
      <c r="L1961" s="31" t="n"/>
      <c r="M1961" s="1" t="n"/>
    </row>
    <row r="1962">
      <c r="A1962" s="1" t="n"/>
      <c r="B1962" s="24" t="n">
        <v>1956</v>
      </c>
      <c r="C1962" s="61" t="n"/>
      <c r="D1962" s="27" t="n"/>
      <c r="E1962" s="27" t="n"/>
      <c r="F1962" s="27" t="n"/>
      <c r="G1962" s="27" t="n"/>
      <c r="H1962" s="62" t="n"/>
      <c r="I1962" s="31" t="n"/>
      <c r="J1962" s="31" t="n"/>
      <c r="K1962" s="31" t="n"/>
      <c r="L1962" s="31" t="n"/>
      <c r="M1962" s="1" t="n"/>
    </row>
    <row r="1963">
      <c r="A1963" s="1" t="n"/>
      <c r="B1963" s="24" t="n">
        <v>1957</v>
      </c>
      <c r="C1963" s="61" t="n"/>
      <c r="D1963" s="27" t="n"/>
      <c r="E1963" s="27" t="n"/>
      <c r="F1963" s="27" t="n"/>
      <c r="G1963" s="27" t="n"/>
      <c r="H1963" s="62" t="n"/>
      <c r="I1963" s="31" t="n"/>
      <c r="J1963" s="31" t="n"/>
      <c r="K1963" s="31" t="n"/>
      <c r="L1963" s="31" t="n"/>
      <c r="M1963" s="1" t="n"/>
    </row>
    <row r="1964">
      <c r="A1964" s="1" t="n"/>
      <c r="B1964" s="24" t="n">
        <v>1958</v>
      </c>
      <c r="C1964" s="61" t="n"/>
      <c r="D1964" s="27" t="n"/>
      <c r="E1964" s="27" t="n"/>
      <c r="F1964" s="27" t="n"/>
      <c r="G1964" s="27" t="n"/>
      <c r="H1964" s="62" t="n"/>
      <c r="I1964" s="31" t="n"/>
      <c r="J1964" s="31" t="n"/>
      <c r="K1964" s="31" t="n"/>
      <c r="L1964" s="31" t="n"/>
      <c r="M1964" s="1" t="n"/>
    </row>
    <row r="1965">
      <c r="A1965" s="1" t="n"/>
      <c r="B1965" s="24" t="n">
        <v>1959</v>
      </c>
      <c r="C1965" s="61" t="n"/>
      <c r="D1965" s="27" t="n"/>
      <c r="E1965" s="27" t="n"/>
      <c r="F1965" s="27" t="n"/>
      <c r="G1965" s="27" t="n"/>
      <c r="H1965" s="62" t="n"/>
      <c r="I1965" s="31" t="n"/>
      <c r="J1965" s="31" t="n"/>
      <c r="K1965" s="31" t="n"/>
      <c r="L1965" s="31" t="n"/>
      <c r="M1965" s="1" t="n"/>
    </row>
    <row r="1966">
      <c r="A1966" s="1" t="n"/>
      <c r="B1966" s="24" t="n">
        <v>1960</v>
      </c>
      <c r="C1966" s="61" t="n"/>
      <c r="D1966" s="27" t="n"/>
      <c r="E1966" s="27" t="n"/>
      <c r="F1966" s="27" t="n"/>
      <c r="G1966" s="27" t="n"/>
      <c r="H1966" s="62" t="n"/>
      <c r="I1966" s="31" t="n"/>
      <c r="J1966" s="31" t="n"/>
      <c r="K1966" s="31" t="n"/>
      <c r="L1966" s="31" t="n"/>
      <c r="M1966" s="1" t="n"/>
    </row>
    <row r="1967">
      <c r="A1967" s="1" t="n"/>
      <c r="B1967" s="24" t="n">
        <v>1961</v>
      </c>
      <c r="C1967" s="61" t="n"/>
      <c r="D1967" s="27" t="n"/>
      <c r="E1967" s="27" t="n"/>
      <c r="F1967" s="27" t="n"/>
      <c r="G1967" s="27" t="n"/>
      <c r="H1967" s="62" t="n"/>
      <c r="I1967" s="31" t="n"/>
      <c r="J1967" s="31" t="n"/>
      <c r="K1967" s="31" t="n"/>
      <c r="L1967" s="31" t="n"/>
      <c r="M1967" s="1" t="n"/>
    </row>
    <row r="1968">
      <c r="A1968" s="1" t="n"/>
      <c r="B1968" s="24" t="n">
        <v>1962</v>
      </c>
      <c r="C1968" s="61" t="n"/>
      <c r="D1968" s="27" t="n"/>
      <c r="E1968" s="27" t="n"/>
      <c r="F1968" s="27" t="n"/>
      <c r="G1968" s="27" t="n"/>
      <c r="H1968" s="62" t="n"/>
      <c r="I1968" s="31" t="n"/>
      <c r="J1968" s="31" t="n"/>
      <c r="K1968" s="31" t="n"/>
      <c r="L1968" s="31" t="n"/>
      <c r="M1968" s="1" t="n"/>
    </row>
    <row r="1969">
      <c r="A1969" s="1" t="n"/>
      <c r="B1969" s="24" t="n">
        <v>1963</v>
      </c>
      <c r="C1969" s="61" t="n"/>
      <c r="D1969" s="27" t="n"/>
      <c r="E1969" s="27" t="n"/>
      <c r="F1969" s="27" t="n"/>
      <c r="G1969" s="27" t="n"/>
      <c r="H1969" s="62" t="n"/>
      <c r="I1969" s="31" t="n"/>
      <c r="J1969" s="31" t="n"/>
      <c r="K1969" s="31" t="n"/>
      <c r="L1969" s="31" t="n"/>
      <c r="M1969" s="1" t="n"/>
    </row>
    <row r="1970">
      <c r="A1970" s="1" t="n"/>
      <c r="B1970" s="24" t="n">
        <v>1964</v>
      </c>
      <c r="C1970" s="61" t="n"/>
      <c r="D1970" s="27" t="n"/>
      <c r="E1970" s="27" t="n"/>
      <c r="F1970" s="27" t="n"/>
      <c r="G1970" s="27" t="n"/>
      <c r="H1970" s="62" t="n"/>
      <c r="I1970" s="31" t="n"/>
      <c r="J1970" s="31" t="n"/>
      <c r="K1970" s="31" t="n"/>
      <c r="L1970" s="31" t="n"/>
      <c r="M1970" s="1" t="n"/>
    </row>
    <row r="1971">
      <c r="A1971" s="1" t="n"/>
      <c r="B1971" s="24" t="n">
        <v>1965</v>
      </c>
      <c r="C1971" s="61" t="n"/>
      <c r="D1971" s="27" t="n"/>
      <c r="E1971" s="27" t="n"/>
      <c r="F1971" s="27" t="n"/>
      <c r="G1971" s="27" t="n"/>
      <c r="H1971" s="62" t="n"/>
      <c r="I1971" s="31" t="n"/>
      <c r="J1971" s="31" t="n"/>
      <c r="K1971" s="31" t="n"/>
      <c r="L1971" s="31" t="n"/>
      <c r="M1971" s="1" t="n"/>
    </row>
    <row r="1972">
      <c r="A1972" s="1" t="n"/>
      <c r="B1972" s="24" t="n">
        <v>1966</v>
      </c>
      <c r="C1972" s="61" t="n"/>
      <c r="D1972" s="27" t="n"/>
      <c r="E1972" s="27" t="n"/>
      <c r="F1972" s="27" t="n"/>
      <c r="G1972" s="27" t="n"/>
      <c r="H1972" s="62" t="n"/>
      <c r="I1972" s="31" t="n"/>
      <c r="J1972" s="31" t="n"/>
      <c r="K1972" s="31" t="n"/>
      <c r="L1972" s="31" t="n"/>
      <c r="M1972" s="1" t="n"/>
    </row>
    <row r="1973">
      <c r="A1973" s="1" t="n"/>
      <c r="B1973" s="24" t="n">
        <v>1967</v>
      </c>
      <c r="C1973" s="61" t="n"/>
      <c r="D1973" s="27" t="n"/>
      <c r="E1973" s="27" t="n"/>
      <c r="F1973" s="27" t="n"/>
      <c r="G1973" s="27" t="n"/>
      <c r="H1973" s="62" t="n"/>
      <c r="I1973" s="31" t="n"/>
      <c r="J1973" s="31" t="n"/>
      <c r="K1973" s="31" t="n"/>
      <c r="L1973" s="31" t="n"/>
      <c r="M1973" s="1" t="n"/>
    </row>
    <row r="1974">
      <c r="A1974" s="1" t="n"/>
      <c r="B1974" s="24" t="n">
        <v>1968</v>
      </c>
      <c r="C1974" s="61" t="n"/>
      <c r="D1974" s="27" t="n"/>
      <c r="E1974" s="27" t="n"/>
      <c r="F1974" s="27" t="n"/>
      <c r="G1974" s="27" t="n"/>
      <c r="H1974" s="62" t="n"/>
      <c r="I1974" s="31" t="n"/>
      <c r="J1974" s="31" t="n"/>
      <c r="K1974" s="31" t="n"/>
      <c r="L1974" s="31" t="n"/>
      <c r="M1974" s="1" t="n"/>
    </row>
    <row r="1975">
      <c r="A1975" s="1" t="n"/>
      <c r="B1975" s="24" t="n">
        <v>1969</v>
      </c>
      <c r="C1975" s="61" t="n"/>
      <c r="D1975" s="27" t="n"/>
      <c r="E1975" s="27" t="n"/>
      <c r="F1975" s="27" t="n"/>
      <c r="G1975" s="27" t="n"/>
      <c r="H1975" s="62" t="n"/>
      <c r="I1975" s="31" t="n"/>
      <c r="J1975" s="31" t="n"/>
      <c r="K1975" s="31" t="n"/>
      <c r="L1975" s="31" t="n"/>
      <c r="M1975" s="1" t="n"/>
    </row>
    <row r="1976">
      <c r="A1976" s="1" t="n"/>
      <c r="B1976" s="24" t="n">
        <v>1970</v>
      </c>
      <c r="C1976" s="61" t="n"/>
      <c r="D1976" s="27" t="n"/>
      <c r="E1976" s="27" t="n"/>
      <c r="F1976" s="27" t="n"/>
      <c r="G1976" s="27" t="n"/>
      <c r="H1976" s="62" t="n"/>
      <c r="I1976" s="31" t="n"/>
      <c r="J1976" s="31" t="n"/>
      <c r="K1976" s="31" t="n"/>
      <c r="L1976" s="31" t="n"/>
      <c r="M1976" s="1" t="n"/>
    </row>
    <row r="1977">
      <c r="A1977" s="1" t="n"/>
      <c r="B1977" s="24" t="n">
        <v>1971</v>
      </c>
      <c r="C1977" s="61" t="n"/>
      <c r="D1977" s="27" t="n"/>
      <c r="E1977" s="27" t="n"/>
      <c r="F1977" s="27" t="n"/>
      <c r="G1977" s="27" t="n"/>
      <c r="H1977" s="62" t="n"/>
      <c r="I1977" s="31" t="n"/>
      <c r="J1977" s="31" t="n"/>
      <c r="K1977" s="31" t="n"/>
      <c r="L1977" s="31" t="n"/>
      <c r="M1977" s="1" t="n"/>
    </row>
    <row r="1978">
      <c r="A1978" s="1" t="n"/>
      <c r="B1978" s="24" t="n">
        <v>1972</v>
      </c>
      <c r="C1978" s="61" t="n"/>
      <c r="D1978" s="27" t="n"/>
      <c r="E1978" s="27" t="n"/>
      <c r="F1978" s="27" t="n"/>
      <c r="G1978" s="27" t="n"/>
      <c r="H1978" s="62" t="n"/>
      <c r="I1978" s="31" t="n"/>
      <c r="J1978" s="31" t="n"/>
      <c r="K1978" s="31" t="n"/>
      <c r="L1978" s="31" t="n"/>
      <c r="M1978" s="1" t="n"/>
    </row>
    <row r="1979">
      <c r="A1979" s="1" t="n"/>
      <c r="B1979" s="24" t="n">
        <v>1973</v>
      </c>
      <c r="C1979" s="61" t="n"/>
      <c r="D1979" s="27" t="n"/>
      <c r="E1979" s="27" t="n"/>
      <c r="F1979" s="27" t="n"/>
      <c r="G1979" s="27" t="n"/>
      <c r="H1979" s="62" t="n"/>
      <c r="I1979" s="31" t="n"/>
      <c r="J1979" s="31" t="n"/>
      <c r="K1979" s="31" t="n"/>
      <c r="L1979" s="31" t="n"/>
      <c r="M1979" s="1" t="n"/>
    </row>
    <row r="1980">
      <c r="A1980" s="1" t="n"/>
      <c r="B1980" s="24" t="n">
        <v>1974</v>
      </c>
      <c r="C1980" s="61" t="n"/>
      <c r="D1980" s="27" t="n"/>
      <c r="E1980" s="27" t="n"/>
      <c r="F1980" s="27" t="n"/>
      <c r="G1980" s="27" t="n"/>
      <c r="H1980" s="62" t="n"/>
      <c r="I1980" s="31" t="n"/>
      <c r="J1980" s="31" t="n"/>
      <c r="K1980" s="31" t="n"/>
      <c r="L1980" s="31" t="n"/>
      <c r="M1980" s="1" t="n"/>
    </row>
    <row r="1981">
      <c r="A1981" s="1" t="n"/>
      <c r="B1981" s="24" t="n">
        <v>1975</v>
      </c>
      <c r="C1981" s="61" t="n"/>
      <c r="D1981" s="27" t="n"/>
      <c r="E1981" s="27" t="n"/>
      <c r="F1981" s="27" t="n"/>
      <c r="G1981" s="27" t="n"/>
      <c r="H1981" s="62" t="n"/>
      <c r="I1981" s="31" t="n"/>
      <c r="J1981" s="31" t="n"/>
      <c r="K1981" s="31" t="n"/>
      <c r="L1981" s="31" t="n"/>
      <c r="M1981" s="1" t="n"/>
    </row>
    <row r="1982">
      <c r="A1982" s="1" t="n"/>
      <c r="B1982" s="24" t="n">
        <v>1976</v>
      </c>
      <c r="C1982" s="61" t="n"/>
      <c r="D1982" s="27" t="n"/>
      <c r="E1982" s="27" t="n"/>
      <c r="F1982" s="27" t="n"/>
      <c r="G1982" s="27" t="n"/>
      <c r="H1982" s="62" t="n"/>
      <c r="I1982" s="31" t="n"/>
      <c r="J1982" s="31" t="n"/>
      <c r="K1982" s="31" t="n"/>
      <c r="L1982" s="31" t="n"/>
      <c r="M1982" s="1" t="n"/>
    </row>
    <row r="1983">
      <c r="A1983" s="1" t="n"/>
      <c r="B1983" s="24" t="n">
        <v>1977</v>
      </c>
      <c r="C1983" s="61" t="n"/>
      <c r="D1983" s="27" t="n"/>
      <c r="E1983" s="27" t="n"/>
      <c r="F1983" s="27" t="n"/>
      <c r="G1983" s="27" t="n"/>
      <c r="H1983" s="62" t="n"/>
      <c r="I1983" s="31" t="n"/>
      <c r="J1983" s="31" t="n"/>
      <c r="K1983" s="31" t="n"/>
      <c r="L1983" s="31" t="n"/>
      <c r="M1983" s="1" t="n"/>
    </row>
    <row r="1984">
      <c r="A1984" s="1" t="n"/>
      <c r="B1984" s="24" t="n">
        <v>1978</v>
      </c>
      <c r="C1984" s="61" t="n"/>
      <c r="D1984" s="27" t="n"/>
      <c r="E1984" s="27" t="n"/>
      <c r="F1984" s="27" t="n"/>
      <c r="G1984" s="27" t="n"/>
      <c r="H1984" s="62" t="n"/>
      <c r="I1984" s="31" t="n"/>
      <c r="J1984" s="31" t="n"/>
      <c r="K1984" s="31" t="n"/>
      <c r="L1984" s="31" t="n"/>
      <c r="M1984" s="1" t="n"/>
    </row>
    <row r="1985">
      <c r="A1985" s="1" t="n"/>
      <c r="B1985" s="24" t="n">
        <v>1979</v>
      </c>
      <c r="C1985" s="61" t="n"/>
      <c r="D1985" s="27" t="n"/>
      <c r="E1985" s="27" t="n"/>
      <c r="F1985" s="27" t="n"/>
      <c r="G1985" s="27" t="n"/>
      <c r="H1985" s="62" t="n"/>
      <c r="I1985" s="31" t="n"/>
      <c r="J1985" s="31" t="n"/>
      <c r="K1985" s="31" t="n"/>
      <c r="L1985" s="31" t="n"/>
      <c r="M1985" s="1" t="n"/>
    </row>
    <row r="1986">
      <c r="A1986" s="1" t="n"/>
      <c r="B1986" s="24" t="n">
        <v>1980</v>
      </c>
      <c r="C1986" s="61" t="n"/>
      <c r="D1986" s="27" t="n"/>
      <c r="E1986" s="27" t="n"/>
      <c r="F1986" s="27" t="n"/>
      <c r="G1986" s="27" t="n"/>
      <c r="H1986" s="62" t="n"/>
      <c r="I1986" s="31" t="n"/>
      <c r="J1986" s="31" t="n"/>
      <c r="K1986" s="31" t="n"/>
      <c r="L1986" s="31" t="n"/>
      <c r="M1986" s="1" t="n"/>
    </row>
    <row r="1987">
      <c r="A1987" s="1" t="n"/>
      <c r="B1987" s="24" t="n">
        <v>1981</v>
      </c>
      <c r="C1987" s="61" t="n"/>
      <c r="D1987" s="27" t="n"/>
      <c r="E1987" s="27" t="n"/>
      <c r="F1987" s="27" t="n"/>
      <c r="G1987" s="27" t="n"/>
      <c r="H1987" s="62" t="n"/>
      <c r="I1987" s="31" t="n"/>
      <c r="J1987" s="31" t="n"/>
      <c r="K1987" s="31" t="n"/>
      <c r="L1987" s="31" t="n"/>
      <c r="M1987" s="1" t="n"/>
    </row>
    <row r="1988">
      <c r="A1988" s="1" t="n"/>
      <c r="B1988" s="24" t="n">
        <v>1982</v>
      </c>
      <c r="C1988" s="61" t="n"/>
      <c r="D1988" s="27" t="n"/>
      <c r="E1988" s="27" t="n"/>
      <c r="F1988" s="27" t="n"/>
      <c r="G1988" s="27" t="n"/>
      <c r="H1988" s="62" t="n"/>
      <c r="I1988" s="31" t="n"/>
      <c r="J1988" s="31" t="n"/>
      <c r="K1988" s="31" t="n"/>
      <c r="L1988" s="31" t="n"/>
      <c r="M1988" s="1" t="n"/>
    </row>
    <row r="1989">
      <c r="A1989" s="1" t="n"/>
      <c r="B1989" s="24" t="n">
        <v>1983</v>
      </c>
      <c r="C1989" s="61" t="n"/>
      <c r="D1989" s="27" t="n"/>
      <c r="E1989" s="27" t="n"/>
      <c r="F1989" s="27" t="n"/>
      <c r="G1989" s="27" t="n"/>
      <c r="H1989" s="62" t="n"/>
      <c r="I1989" s="31" t="n"/>
      <c r="J1989" s="31" t="n"/>
      <c r="K1989" s="31" t="n"/>
      <c r="L1989" s="31" t="n"/>
      <c r="M1989" s="1" t="n"/>
    </row>
    <row r="1990">
      <c r="A1990" s="1" t="n"/>
      <c r="B1990" s="24" t="n">
        <v>1984</v>
      </c>
      <c r="C1990" s="61" t="n"/>
      <c r="D1990" s="27" t="n"/>
      <c r="E1990" s="27" t="n"/>
      <c r="F1990" s="27" t="n"/>
      <c r="G1990" s="27" t="n"/>
      <c r="H1990" s="62" t="n"/>
      <c r="I1990" s="31" t="n"/>
      <c r="J1990" s="31" t="n"/>
      <c r="K1990" s="31" t="n"/>
      <c r="L1990" s="31" t="n"/>
      <c r="M1990" s="1" t="n"/>
    </row>
    <row r="1991">
      <c r="A1991" s="1" t="n"/>
      <c r="B1991" s="24" t="n">
        <v>1985</v>
      </c>
      <c r="C1991" s="61" t="n"/>
      <c r="D1991" s="27" t="n"/>
      <c r="E1991" s="27" t="n"/>
      <c r="F1991" s="27" t="n"/>
      <c r="G1991" s="27" t="n"/>
      <c r="H1991" s="62" t="n"/>
      <c r="I1991" s="31" t="n"/>
      <c r="J1991" s="31" t="n"/>
      <c r="K1991" s="31" t="n"/>
      <c r="L1991" s="31" t="n"/>
      <c r="M1991" s="1" t="n"/>
    </row>
    <row r="1992">
      <c r="A1992" s="1" t="n"/>
      <c r="B1992" s="24" t="n">
        <v>1986</v>
      </c>
      <c r="C1992" s="61" t="n"/>
      <c r="D1992" s="27" t="n"/>
      <c r="E1992" s="27" t="n"/>
      <c r="F1992" s="27" t="n"/>
      <c r="G1992" s="27" t="n"/>
      <c r="H1992" s="62" t="n"/>
      <c r="I1992" s="31" t="n"/>
      <c r="J1992" s="31" t="n"/>
      <c r="K1992" s="31" t="n"/>
      <c r="L1992" s="31" t="n"/>
      <c r="M1992" s="1" t="n"/>
    </row>
    <row r="1993">
      <c r="A1993" s="1" t="n"/>
      <c r="B1993" s="24" t="n">
        <v>1987</v>
      </c>
      <c r="C1993" s="61" t="n"/>
      <c r="D1993" s="27" t="n"/>
      <c r="E1993" s="27" t="n"/>
      <c r="F1993" s="27" t="n"/>
      <c r="G1993" s="27" t="n"/>
      <c r="H1993" s="62" t="n"/>
      <c r="I1993" s="31" t="n"/>
      <c r="J1993" s="31" t="n"/>
      <c r="K1993" s="31" t="n"/>
      <c r="L1993" s="31" t="n"/>
      <c r="M1993" s="1" t="n"/>
    </row>
    <row r="1994">
      <c r="A1994" s="1" t="n"/>
      <c r="B1994" s="24" t="n">
        <v>1988</v>
      </c>
      <c r="C1994" s="61" t="n"/>
      <c r="D1994" s="27" t="n"/>
      <c r="E1994" s="27" t="n"/>
      <c r="F1994" s="27" t="n"/>
      <c r="G1994" s="27" t="n"/>
      <c r="H1994" s="62" t="n"/>
      <c r="I1994" s="31" t="n"/>
      <c r="J1994" s="31" t="n"/>
      <c r="K1994" s="31" t="n"/>
      <c r="L1994" s="31" t="n"/>
      <c r="M1994" s="1" t="n"/>
    </row>
    <row r="1995">
      <c r="A1995" s="1" t="n"/>
      <c r="B1995" s="24" t="n">
        <v>1989</v>
      </c>
      <c r="C1995" s="61" t="n"/>
      <c r="D1995" s="27" t="n"/>
      <c r="E1995" s="27" t="n"/>
      <c r="F1995" s="27" t="n"/>
      <c r="G1995" s="27" t="n"/>
      <c r="H1995" s="62" t="n"/>
      <c r="I1995" s="31" t="n"/>
      <c r="J1995" s="31" t="n"/>
      <c r="K1995" s="31" t="n"/>
      <c r="L1995" s="31" t="n"/>
      <c r="M1995" s="1" t="n"/>
    </row>
    <row r="1996">
      <c r="A1996" s="1" t="n"/>
      <c r="B1996" s="24" t="n">
        <v>1990</v>
      </c>
      <c r="C1996" s="61" t="n"/>
      <c r="D1996" s="27" t="n"/>
      <c r="E1996" s="27" t="n"/>
      <c r="F1996" s="27" t="n"/>
      <c r="G1996" s="27" t="n"/>
      <c r="H1996" s="62" t="n"/>
      <c r="I1996" s="31" t="n"/>
      <c r="J1996" s="31" t="n"/>
      <c r="K1996" s="31" t="n"/>
      <c r="L1996" s="31" t="n"/>
      <c r="M1996" s="1" t="n"/>
    </row>
    <row r="1997">
      <c r="A1997" s="1" t="n"/>
      <c r="B1997" s="24" t="n">
        <v>1991</v>
      </c>
      <c r="C1997" s="61" t="n"/>
      <c r="D1997" s="27" t="n"/>
      <c r="E1997" s="27" t="n"/>
      <c r="F1997" s="27" t="n"/>
      <c r="G1997" s="27" t="n"/>
      <c r="H1997" s="62" t="n"/>
      <c r="I1997" s="31" t="n"/>
      <c r="J1997" s="31" t="n"/>
      <c r="K1997" s="31" t="n"/>
      <c r="L1997" s="31" t="n"/>
      <c r="M1997" s="1" t="n"/>
    </row>
    <row r="1998">
      <c r="A1998" s="1" t="n"/>
      <c r="B1998" s="24" t="n">
        <v>1992</v>
      </c>
      <c r="C1998" s="61" t="n"/>
      <c r="D1998" s="27" t="n"/>
      <c r="E1998" s="27" t="n"/>
      <c r="F1998" s="27" t="n"/>
      <c r="G1998" s="27" t="n"/>
      <c r="H1998" s="62" t="n"/>
      <c r="I1998" s="31" t="n"/>
      <c r="J1998" s="31" t="n"/>
      <c r="K1998" s="31" t="n"/>
      <c r="L1998" s="31" t="n"/>
      <c r="M1998" s="1" t="n"/>
    </row>
    <row r="1999">
      <c r="A1999" s="1" t="n"/>
      <c r="B1999" s="24" t="n">
        <v>1993</v>
      </c>
      <c r="C1999" s="61" t="n"/>
      <c r="D1999" s="27" t="n"/>
      <c r="E1999" s="27" t="n"/>
      <c r="F1999" s="27" t="n"/>
      <c r="G1999" s="27" t="n"/>
      <c r="H1999" s="62" t="n"/>
      <c r="I1999" s="31" t="n"/>
      <c r="J1999" s="31" t="n"/>
      <c r="K1999" s="31" t="n"/>
      <c r="L1999" s="31" t="n"/>
      <c r="M1999" s="1" t="n"/>
    </row>
    <row r="2000">
      <c r="A2000" s="1" t="n"/>
      <c r="B2000" s="24" t="n">
        <v>1994</v>
      </c>
      <c r="C2000" s="61" t="n"/>
      <c r="D2000" s="27" t="n"/>
      <c r="E2000" s="27" t="n"/>
      <c r="F2000" s="27" t="n"/>
      <c r="G2000" s="27" t="n"/>
      <c r="H2000" s="62" t="n"/>
      <c r="I2000" s="31" t="n"/>
      <c r="J2000" s="31" t="n"/>
      <c r="K2000" s="31" t="n"/>
      <c r="L2000" s="31" t="n"/>
      <c r="M2000" s="1" t="n"/>
    </row>
    <row r="2001">
      <c r="A2001" s="1" t="n"/>
      <c r="B2001" s="24" t="n">
        <v>1995</v>
      </c>
      <c r="C2001" s="61" t="n"/>
      <c r="D2001" s="27" t="n"/>
      <c r="E2001" s="27" t="n"/>
      <c r="F2001" s="27" t="n"/>
      <c r="G2001" s="27" t="n"/>
      <c r="H2001" s="62" t="n"/>
      <c r="I2001" s="31" t="n"/>
      <c r="J2001" s="31" t="n"/>
      <c r="K2001" s="31" t="n"/>
      <c r="L2001" s="31" t="n"/>
      <c r="M2001" s="1" t="n"/>
    </row>
    <row r="2002">
      <c r="A2002" s="1" t="n"/>
      <c r="B2002" s="24" t="n">
        <v>1996</v>
      </c>
      <c r="C2002" s="61" t="n"/>
      <c r="D2002" s="27" t="n"/>
      <c r="E2002" s="27" t="n"/>
      <c r="F2002" s="27" t="n"/>
      <c r="G2002" s="27" t="n"/>
      <c r="H2002" s="62" t="n"/>
      <c r="I2002" s="31" t="n"/>
      <c r="J2002" s="31" t="n"/>
      <c r="K2002" s="31" t="n"/>
      <c r="L2002" s="31" t="n"/>
      <c r="M2002" s="1" t="n"/>
    </row>
    <row r="2003">
      <c r="A2003" s="1" t="n"/>
      <c r="B2003" s="24" t="n">
        <v>1997</v>
      </c>
      <c r="C2003" s="61" t="n"/>
      <c r="D2003" s="27" t="n"/>
      <c r="E2003" s="27" t="n"/>
      <c r="F2003" s="27" t="n"/>
      <c r="G2003" s="27" t="n"/>
      <c r="H2003" s="62" t="n"/>
      <c r="I2003" s="31" t="n"/>
      <c r="J2003" s="31" t="n"/>
      <c r="K2003" s="31" t="n"/>
      <c r="L2003" s="31" t="n"/>
      <c r="M2003" s="1" t="n"/>
    </row>
    <row r="2004">
      <c r="A2004" s="1" t="n"/>
      <c r="B2004" s="24" t="n">
        <v>1998</v>
      </c>
      <c r="C2004" s="61" t="n"/>
      <c r="D2004" s="27" t="n"/>
      <c r="E2004" s="27" t="n"/>
      <c r="F2004" s="27" t="n"/>
      <c r="G2004" s="27" t="n"/>
      <c r="H2004" s="62" t="n"/>
      <c r="I2004" s="31" t="n"/>
      <c r="J2004" s="31" t="n"/>
      <c r="K2004" s="31" t="n"/>
      <c r="L2004" s="31" t="n"/>
      <c r="M2004" s="1" t="n"/>
    </row>
    <row r="2005">
      <c r="A2005" s="1" t="n"/>
      <c r="B2005" s="24" t="n">
        <v>1999</v>
      </c>
      <c r="C2005" s="61" t="n"/>
      <c r="D2005" s="27" t="n"/>
      <c r="E2005" s="27" t="n"/>
      <c r="F2005" s="27" t="n"/>
      <c r="G2005" s="27" t="n"/>
      <c r="H2005" s="62" t="n"/>
      <c r="I2005" s="31" t="n"/>
      <c r="J2005" s="31" t="n"/>
      <c r="K2005" s="31" t="n"/>
      <c r="L2005" s="31" t="n"/>
      <c r="M2005" s="1" t="n"/>
    </row>
    <row r="2006">
      <c r="A2006" s="1" t="n"/>
      <c r="B2006" s="24" t="n">
        <v>2000</v>
      </c>
      <c r="C2006" s="61" t="n"/>
      <c r="D2006" s="27" t="n"/>
      <c r="E2006" s="27" t="n"/>
      <c r="F2006" s="27" t="n"/>
      <c r="G2006" s="27" t="n"/>
      <c r="H2006" s="62" t="n"/>
      <c r="I2006" s="31" t="n"/>
      <c r="J2006" s="31" t="n"/>
      <c r="K2006" s="31" t="n"/>
      <c r="L2006" s="31" t="n"/>
      <c r="M2006" s="1" t="n"/>
    </row>
    <row r="2007">
      <c r="A2007" s="1" t="n"/>
      <c r="B2007" s="2" t="n"/>
      <c r="C2007" s="2" t="n"/>
      <c r="D2007" s="2" t="n"/>
      <c r="E2007" s="2" t="n"/>
      <c r="F2007" s="2" t="n"/>
      <c r="G2007" s="2" t="n"/>
      <c r="H2007" s="2" t="n"/>
      <c r="I2007" s="2" t="n"/>
      <c r="J2007" s="2" t="n"/>
      <c r="K2007" s="2" t="n"/>
      <c r="L2007" s="2" t="n"/>
      <c r="M2007" s="1" t="n"/>
    </row>
    <row r="2008">
      <c r="A2008" s="1" t="n"/>
      <c r="B2008" s="1" t="n"/>
      <c r="C2008" s="1" t="n"/>
      <c r="D2008" s="1" t="n"/>
      <c r="E2008" s="1" t="n"/>
      <c r="F2008" s="1" t="n"/>
      <c r="G2008" s="1" t="n"/>
      <c r="H2008" s="1" t="n"/>
      <c r="I2008" s="1" t="n"/>
      <c r="J2008" s="1" t="n"/>
      <c r="K2008" s="1" t="n"/>
      <c r="L2008" s="1" t="n"/>
      <c r="M2008" s="1" t="n"/>
    </row>
  </sheetData>
  <mergeCells count="2">
    <mergeCell ref="B2:L2"/>
    <mergeCell ref="B4:K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Feuil6">
    <outlinePr summaryBelow="1" summaryRight="1"/>
    <pageSetUpPr/>
  </sheetPr>
  <dimension ref="A1:H508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3" customWidth="1" min="2" max="2"/>
    <col width="22" customWidth="1" min="3" max="3"/>
    <col width="15" customWidth="1" min="4" max="4"/>
    <col width="15" customWidth="1" min="5" max="5"/>
    <col width="15" customWidth="1" min="6" max="6"/>
    <col width="3" customWidth="1" min="7" max="7"/>
    <col width="3" customWidth="1" min="8" max="8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</row>
    <row r="2" ht="40" customHeight="1">
      <c r="A2" s="1" t="n"/>
      <c r="B2" s="9" t="inlineStr">
        <is>
          <t>SALAIRES</t>
        </is>
      </c>
      <c r="G2" s="2" t="n"/>
      <c r="H2" s="1" t="n"/>
    </row>
    <row r="3">
      <c r="A3" s="1" t="n"/>
      <c r="B3" s="2" t="n"/>
      <c r="C3" s="2" t="n"/>
      <c r="D3" s="2" t="n"/>
      <c r="E3" s="2" t="n"/>
      <c r="F3" s="10" t="inlineStr">
        <is>
          <t>⬅ Accueil</t>
        </is>
      </c>
      <c r="G3" s="2" t="n"/>
      <c r="H3" s="1" t="n"/>
    </row>
    <row r="4">
      <c r="A4" s="1" t="n"/>
      <c r="B4" s="11" t="inlineStr">
        <is>
          <t>Date, employé (liste) et heures travaillées. Le taux horaire vient de l'Effectif.</t>
        </is>
      </c>
      <c r="G4" s="2" t="n"/>
      <c r="H4" s="1" t="n"/>
    </row>
    <row r="5">
      <c r="A5" s="1" t="n"/>
      <c r="B5" s="2" t="n"/>
      <c r="C5" s="2" t="n"/>
      <c r="D5" s="2" t="n"/>
      <c r="E5" s="21" t="inlineStr">
        <is>
          <t>TOTAL →</t>
        </is>
      </c>
      <c r="F5" s="22">
        <f>SUM(F7:F506)</f>
        <v/>
      </c>
      <c r="G5" s="2" t="n"/>
      <c r="H5" s="1" t="n"/>
    </row>
    <row r="6" ht="32" customHeight="1">
      <c r="A6" s="1" t="n"/>
      <c r="B6" s="23" t="inlineStr">
        <is>
          <t>Date</t>
        </is>
      </c>
      <c r="C6" s="23" t="inlineStr">
        <is>
          <t>Employé</t>
        </is>
      </c>
      <c r="D6" s="23" t="inlineStr">
        <is>
          <t>Heures travaillées</t>
        </is>
      </c>
      <c r="E6" s="23" t="inlineStr">
        <is>
          <t>Taux horaire</t>
        </is>
      </c>
      <c r="F6" s="23" t="inlineStr">
        <is>
          <t>Salaire</t>
        </is>
      </c>
      <c r="G6" s="2" t="n"/>
      <c r="H6" s="1" t="n"/>
    </row>
    <row r="7">
      <c r="A7" s="1" t="n"/>
      <c r="B7" s="25" t="n"/>
      <c r="C7" s="26" t="n"/>
      <c r="D7" s="63" t="n"/>
      <c r="E7" s="64">
        <f>IF(C7="","",IFERROR(INDEX(Effectif!$E$7:$E$21,MATCH(C7,Effectif!$C$7:$C$21,0)),""))</f>
        <v/>
      </c>
      <c r="F7" s="29">
        <f>IF(AND(ISNUMBER(D7),ISNUMBER(E7)),D7*E7,"")</f>
        <v/>
      </c>
      <c r="G7" s="2" t="n"/>
      <c r="H7" s="1" t="n"/>
    </row>
    <row r="8">
      <c r="A8" s="1" t="n"/>
      <c r="B8" s="25" t="n"/>
      <c r="C8" s="26" t="n"/>
      <c r="D8" s="63" t="n"/>
      <c r="E8" s="64">
        <f>IF(C8="","",IFERROR(INDEX(Effectif!$E$7:$E$21,MATCH(C8,Effectif!$C$7:$C$21,0)),""))</f>
        <v/>
      </c>
      <c r="F8" s="29">
        <f>IF(AND(ISNUMBER(D8),ISNUMBER(E8)),D8*E8,"")</f>
        <v/>
      </c>
      <c r="G8" s="2" t="n"/>
      <c r="H8" s="1" t="n"/>
    </row>
    <row r="9">
      <c r="A9" s="1" t="n"/>
      <c r="B9" s="25" t="n"/>
      <c r="C9" s="26" t="n"/>
      <c r="D9" s="63" t="n"/>
      <c r="E9" s="64">
        <f>IF(C9="","",IFERROR(INDEX(Effectif!$E$7:$E$21,MATCH(C9,Effectif!$C$7:$C$21,0)),""))</f>
        <v/>
      </c>
      <c r="F9" s="29">
        <f>IF(AND(ISNUMBER(D9),ISNUMBER(E9)),D9*E9,"")</f>
        <v/>
      </c>
      <c r="G9" s="2" t="n"/>
      <c r="H9" s="1" t="n"/>
    </row>
    <row r="10">
      <c r="A10" s="1" t="n"/>
      <c r="B10" s="25" t="n"/>
      <c r="C10" s="26" t="n"/>
      <c r="D10" s="63" t="n"/>
      <c r="E10" s="64">
        <f>IF(C10="","",IFERROR(INDEX(Effectif!$E$7:$E$21,MATCH(C10,Effectif!$C$7:$C$21,0)),""))</f>
        <v/>
      </c>
      <c r="F10" s="29">
        <f>IF(AND(ISNUMBER(D10),ISNUMBER(E10)),D10*E10,"")</f>
        <v/>
      </c>
      <c r="G10" s="2" t="n"/>
      <c r="H10" s="1" t="n"/>
    </row>
    <row r="11">
      <c r="A11" s="1" t="n"/>
      <c r="B11" s="25" t="n"/>
      <c r="C11" s="26" t="n"/>
      <c r="D11" s="63" t="n"/>
      <c r="E11" s="64">
        <f>IF(C11="","",IFERROR(INDEX(Effectif!$E$7:$E$21,MATCH(C11,Effectif!$C$7:$C$21,0)),""))</f>
        <v/>
      </c>
      <c r="F11" s="29">
        <f>IF(AND(ISNUMBER(D11),ISNUMBER(E11)),D11*E11,"")</f>
        <v/>
      </c>
      <c r="G11" s="2" t="n"/>
      <c r="H11" s="1" t="n"/>
    </row>
    <row r="12">
      <c r="A12" s="1" t="n"/>
      <c r="B12" s="25" t="n"/>
      <c r="C12" s="26" t="n"/>
      <c r="D12" s="63" t="n"/>
      <c r="E12" s="64">
        <f>IF(C12="","",IFERROR(INDEX(Effectif!$E$7:$E$21,MATCH(C12,Effectif!$C$7:$C$21,0)),""))</f>
        <v/>
      </c>
      <c r="F12" s="29">
        <f>IF(AND(ISNUMBER(D12),ISNUMBER(E12)),D12*E12,"")</f>
        <v/>
      </c>
      <c r="G12" s="2" t="n"/>
      <c r="H12" s="1" t="n"/>
    </row>
    <row r="13">
      <c r="A13" s="1" t="n"/>
      <c r="B13" s="25" t="n"/>
      <c r="C13" s="26" t="n"/>
      <c r="D13" s="63" t="n"/>
      <c r="E13" s="64">
        <f>IF(C13="","",IFERROR(INDEX(Effectif!$E$7:$E$21,MATCH(C13,Effectif!$C$7:$C$21,0)),""))</f>
        <v/>
      </c>
      <c r="F13" s="29">
        <f>IF(AND(ISNUMBER(D13),ISNUMBER(E13)),D13*E13,"")</f>
        <v/>
      </c>
      <c r="G13" s="2" t="n"/>
      <c r="H13" s="1" t="n"/>
    </row>
    <row r="14">
      <c r="A14" s="1" t="n"/>
      <c r="B14" s="25" t="n"/>
      <c r="C14" s="26" t="n"/>
      <c r="D14" s="63" t="n"/>
      <c r="E14" s="64">
        <f>IF(C14="","",IFERROR(INDEX(Effectif!$E$7:$E$21,MATCH(C14,Effectif!$C$7:$C$21,0)),""))</f>
        <v/>
      </c>
      <c r="F14" s="29">
        <f>IF(AND(ISNUMBER(D14),ISNUMBER(E14)),D14*E14,"")</f>
        <v/>
      </c>
      <c r="G14" s="2" t="n"/>
      <c r="H14" s="1" t="n"/>
    </row>
    <row r="15">
      <c r="A15" s="1" t="n"/>
      <c r="B15" s="25" t="n"/>
      <c r="C15" s="26" t="n"/>
      <c r="D15" s="63" t="n"/>
      <c r="E15" s="64">
        <f>IF(C15="","",IFERROR(INDEX(Effectif!$E$7:$E$21,MATCH(C15,Effectif!$C$7:$C$21,0)),""))</f>
        <v/>
      </c>
      <c r="F15" s="29">
        <f>IF(AND(ISNUMBER(D15),ISNUMBER(E15)),D15*E15,"")</f>
        <v/>
      </c>
      <c r="G15" s="2" t="n"/>
      <c r="H15" s="1" t="n"/>
    </row>
    <row r="16">
      <c r="A16" s="1" t="n"/>
      <c r="B16" s="25" t="n"/>
      <c r="C16" s="26" t="n"/>
      <c r="D16" s="63" t="n"/>
      <c r="E16" s="64">
        <f>IF(C16="","",IFERROR(INDEX(Effectif!$E$7:$E$21,MATCH(C16,Effectif!$C$7:$C$21,0)),""))</f>
        <v/>
      </c>
      <c r="F16" s="29">
        <f>IF(AND(ISNUMBER(D16),ISNUMBER(E16)),D16*E16,"")</f>
        <v/>
      </c>
      <c r="G16" s="2" t="n"/>
      <c r="H16" s="1" t="n"/>
    </row>
    <row r="17">
      <c r="A17" s="1" t="n"/>
      <c r="B17" s="25" t="n"/>
      <c r="C17" s="26" t="n"/>
      <c r="D17" s="63" t="n"/>
      <c r="E17" s="64">
        <f>IF(C17="","",IFERROR(INDEX(Effectif!$E$7:$E$21,MATCH(C17,Effectif!$C$7:$C$21,0)),""))</f>
        <v/>
      </c>
      <c r="F17" s="29">
        <f>IF(AND(ISNUMBER(D17),ISNUMBER(E17)),D17*E17,"")</f>
        <v/>
      </c>
      <c r="G17" s="2" t="n"/>
      <c r="H17" s="1" t="n"/>
    </row>
    <row r="18">
      <c r="A18" s="1" t="n"/>
      <c r="B18" s="25" t="n"/>
      <c r="C18" s="26" t="n"/>
      <c r="D18" s="63" t="n"/>
      <c r="E18" s="64">
        <f>IF(C18="","",IFERROR(INDEX(Effectif!$E$7:$E$21,MATCH(C18,Effectif!$C$7:$C$21,0)),""))</f>
        <v/>
      </c>
      <c r="F18" s="29">
        <f>IF(AND(ISNUMBER(D18),ISNUMBER(E18)),D18*E18,"")</f>
        <v/>
      </c>
      <c r="G18" s="2" t="n"/>
      <c r="H18" s="1" t="n"/>
    </row>
    <row r="19">
      <c r="A19" s="1" t="n"/>
      <c r="B19" s="25" t="n"/>
      <c r="C19" s="26" t="n"/>
      <c r="D19" s="63" t="n"/>
      <c r="E19" s="64">
        <f>IF(C19="","",IFERROR(INDEX(Effectif!$E$7:$E$21,MATCH(C19,Effectif!$C$7:$C$21,0)),""))</f>
        <v/>
      </c>
      <c r="F19" s="29">
        <f>IF(AND(ISNUMBER(D19),ISNUMBER(E19)),D19*E19,"")</f>
        <v/>
      </c>
      <c r="G19" s="2" t="n"/>
      <c r="H19" s="1" t="n"/>
    </row>
    <row r="20">
      <c r="A20" s="1" t="n"/>
      <c r="B20" s="25" t="n"/>
      <c r="C20" s="26" t="n"/>
      <c r="D20" s="63" t="n"/>
      <c r="E20" s="64">
        <f>IF(C20="","",IFERROR(INDEX(Effectif!$E$7:$E$21,MATCH(C20,Effectif!$C$7:$C$21,0)),""))</f>
        <v/>
      </c>
      <c r="F20" s="29">
        <f>IF(AND(ISNUMBER(D20),ISNUMBER(E20)),D20*E20,"")</f>
        <v/>
      </c>
      <c r="G20" s="2" t="n"/>
      <c r="H20" s="1" t="n"/>
    </row>
    <row r="21">
      <c r="A21" s="1" t="n"/>
      <c r="B21" s="25" t="n"/>
      <c r="C21" s="26" t="n"/>
      <c r="D21" s="63" t="n"/>
      <c r="E21" s="64">
        <f>IF(C21="","",IFERROR(INDEX(Effectif!$E$7:$E$21,MATCH(C21,Effectif!$C$7:$C$21,0)),""))</f>
        <v/>
      </c>
      <c r="F21" s="29">
        <f>IF(AND(ISNUMBER(D21),ISNUMBER(E21)),D21*E21,"")</f>
        <v/>
      </c>
      <c r="G21" s="2" t="n"/>
      <c r="H21" s="1" t="n"/>
    </row>
    <row r="22">
      <c r="A22" s="1" t="n"/>
      <c r="B22" s="25" t="n"/>
      <c r="C22" s="26" t="n"/>
      <c r="D22" s="63" t="n"/>
      <c r="E22" s="64">
        <f>IF(C22="","",IFERROR(INDEX(Effectif!$E$7:$E$21,MATCH(C22,Effectif!$C$7:$C$21,0)),""))</f>
        <v/>
      </c>
      <c r="F22" s="29">
        <f>IF(AND(ISNUMBER(D22),ISNUMBER(E22)),D22*E22,"")</f>
        <v/>
      </c>
      <c r="G22" s="2" t="n"/>
      <c r="H22" s="1" t="n"/>
    </row>
    <row r="23">
      <c r="A23" s="1" t="n"/>
      <c r="B23" s="25" t="n"/>
      <c r="C23" s="26" t="n"/>
      <c r="D23" s="63" t="n"/>
      <c r="E23" s="64">
        <f>IF(C23="","",IFERROR(INDEX(Effectif!$E$7:$E$21,MATCH(C23,Effectif!$C$7:$C$21,0)),""))</f>
        <v/>
      </c>
      <c r="F23" s="29">
        <f>IF(AND(ISNUMBER(D23),ISNUMBER(E23)),D23*E23,"")</f>
        <v/>
      </c>
      <c r="G23" s="2" t="n"/>
      <c r="H23" s="1" t="n"/>
    </row>
    <row r="24">
      <c r="A24" s="1" t="n"/>
      <c r="B24" s="25" t="n"/>
      <c r="C24" s="26" t="n"/>
      <c r="D24" s="63" t="n"/>
      <c r="E24" s="64">
        <f>IF(C24="","",IFERROR(INDEX(Effectif!$E$7:$E$21,MATCH(C24,Effectif!$C$7:$C$21,0)),""))</f>
        <v/>
      </c>
      <c r="F24" s="29">
        <f>IF(AND(ISNUMBER(D24),ISNUMBER(E24)),D24*E24,"")</f>
        <v/>
      </c>
      <c r="G24" s="2" t="n"/>
      <c r="H24" s="1" t="n"/>
    </row>
    <row r="25">
      <c r="A25" s="1" t="n"/>
      <c r="B25" s="25" t="n"/>
      <c r="C25" s="26" t="n"/>
      <c r="D25" s="63" t="n"/>
      <c r="E25" s="64">
        <f>IF(C25="","",IFERROR(INDEX(Effectif!$E$7:$E$21,MATCH(C25,Effectif!$C$7:$C$21,0)),""))</f>
        <v/>
      </c>
      <c r="F25" s="29">
        <f>IF(AND(ISNUMBER(D25),ISNUMBER(E25)),D25*E25,"")</f>
        <v/>
      </c>
      <c r="G25" s="2" t="n"/>
      <c r="H25" s="1" t="n"/>
    </row>
    <row r="26">
      <c r="A26" s="1" t="n"/>
      <c r="B26" s="25" t="n"/>
      <c r="C26" s="26" t="n"/>
      <c r="D26" s="63" t="n"/>
      <c r="E26" s="64">
        <f>IF(C26="","",IFERROR(INDEX(Effectif!$E$7:$E$21,MATCH(C26,Effectif!$C$7:$C$21,0)),""))</f>
        <v/>
      </c>
      <c r="F26" s="29">
        <f>IF(AND(ISNUMBER(D26),ISNUMBER(E26)),D26*E26,"")</f>
        <v/>
      </c>
      <c r="G26" s="2" t="n"/>
      <c r="H26" s="1" t="n"/>
    </row>
    <row r="27">
      <c r="A27" s="1" t="n"/>
      <c r="B27" s="25" t="n"/>
      <c r="C27" s="26" t="n"/>
      <c r="D27" s="63" t="n"/>
      <c r="E27" s="64">
        <f>IF(C27="","",IFERROR(INDEX(Effectif!$E$7:$E$21,MATCH(C27,Effectif!$C$7:$C$21,0)),""))</f>
        <v/>
      </c>
      <c r="F27" s="29">
        <f>IF(AND(ISNUMBER(D27),ISNUMBER(E27)),D27*E27,"")</f>
        <v/>
      </c>
      <c r="G27" s="2" t="n"/>
      <c r="H27" s="1" t="n"/>
    </row>
    <row r="28">
      <c r="A28" s="1" t="n"/>
      <c r="B28" s="25" t="n"/>
      <c r="C28" s="26" t="n"/>
      <c r="D28" s="63" t="n"/>
      <c r="E28" s="64">
        <f>IF(C28="","",IFERROR(INDEX(Effectif!$E$7:$E$21,MATCH(C28,Effectif!$C$7:$C$21,0)),""))</f>
        <v/>
      </c>
      <c r="F28" s="29">
        <f>IF(AND(ISNUMBER(D28),ISNUMBER(E28)),D28*E28,"")</f>
        <v/>
      </c>
      <c r="G28" s="2" t="n"/>
      <c r="H28" s="1" t="n"/>
    </row>
    <row r="29">
      <c r="A29" s="1" t="n"/>
      <c r="B29" s="25" t="n"/>
      <c r="C29" s="26" t="n"/>
      <c r="D29" s="63" t="n"/>
      <c r="E29" s="64">
        <f>IF(C29="","",IFERROR(INDEX(Effectif!$E$7:$E$21,MATCH(C29,Effectif!$C$7:$C$21,0)),""))</f>
        <v/>
      </c>
      <c r="F29" s="29">
        <f>IF(AND(ISNUMBER(D29),ISNUMBER(E29)),D29*E29,"")</f>
        <v/>
      </c>
      <c r="G29" s="2" t="n"/>
      <c r="H29" s="1" t="n"/>
    </row>
    <row r="30">
      <c r="A30" s="1" t="n"/>
      <c r="B30" s="25" t="n"/>
      <c r="C30" s="26" t="n"/>
      <c r="D30" s="63" t="n"/>
      <c r="E30" s="64">
        <f>IF(C30="","",IFERROR(INDEX(Effectif!$E$7:$E$21,MATCH(C30,Effectif!$C$7:$C$21,0)),""))</f>
        <v/>
      </c>
      <c r="F30" s="29">
        <f>IF(AND(ISNUMBER(D30),ISNUMBER(E30)),D30*E30,"")</f>
        <v/>
      </c>
      <c r="G30" s="2" t="n"/>
      <c r="H30" s="1" t="n"/>
    </row>
    <row r="31">
      <c r="A31" s="1" t="n"/>
      <c r="B31" s="25" t="n"/>
      <c r="C31" s="26" t="n"/>
      <c r="D31" s="63" t="n"/>
      <c r="E31" s="64">
        <f>IF(C31="","",IFERROR(INDEX(Effectif!$E$7:$E$21,MATCH(C31,Effectif!$C$7:$C$21,0)),""))</f>
        <v/>
      </c>
      <c r="F31" s="29">
        <f>IF(AND(ISNUMBER(D31),ISNUMBER(E31)),D31*E31,"")</f>
        <v/>
      </c>
      <c r="G31" s="2" t="n"/>
      <c r="H31" s="1" t="n"/>
    </row>
    <row r="32">
      <c r="A32" s="1" t="n"/>
      <c r="B32" s="25" t="n"/>
      <c r="C32" s="26" t="n"/>
      <c r="D32" s="63" t="n"/>
      <c r="E32" s="64">
        <f>IF(C32="","",IFERROR(INDEX(Effectif!$E$7:$E$21,MATCH(C32,Effectif!$C$7:$C$21,0)),""))</f>
        <v/>
      </c>
      <c r="F32" s="29">
        <f>IF(AND(ISNUMBER(D32),ISNUMBER(E32)),D32*E32,"")</f>
        <v/>
      </c>
      <c r="G32" s="2" t="n"/>
      <c r="H32" s="1" t="n"/>
    </row>
    <row r="33">
      <c r="A33" s="1" t="n"/>
      <c r="B33" s="25" t="n"/>
      <c r="C33" s="26" t="n"/>
      <c r="D33" s="63" t="n"/>
      <c r="E33" s="64">
        <f>IF(C33="","",IFERROR(INDEX(Effectif!$E$7:$E$21,MATCH(C33,Effectif!$C$7:$C$21,0)),""))</f>
        <v/>
      </c>
      <c r="F33" s="29">
        <f>IF(AND(ISNUMBER(D33),ISNUMBER(E33)),D33*E33,"")</f>
        <v/>
      </c>
      <c r="G33" s="2" t="n"/>
      <c r="H33" s="1" t="n"/>
    </row>
    <row r="34">
      <c r="A34" s="1" t="n"/>
      <c r="B34" s="25" t="n"/>
      <c r="C34" s="26" t="n"/>
      <c r="D34" s="63" t="n"/>
      <c r="E34" s="64">
        <f>IF(C34="","",IFERROR(INDEX(Effectif!$E$7:$E$21,MATCH(C34,Effectif!$C$7:$C$21,0)),""))</f>
        <v/>
      </c>
      <c r="F34" s="29">
        <f>IF(AND(ISNUMBER(D34),ISNUMBER(E34)),D34*E34,"")</f>
        <v/>
      </c>
      <c r="G34" s="2" t="n"/>
      <c r="H34" s="1" t="n"/>
    </row>
    <row r="35">
      <c r="A35" s="1" t="n"/>
      <c r="B35" s="25" t="n"/>
      <c r="C35" s="26" t="n"/>
      <c r="D35" s="63" t="n"/>
      <c r="E35" s="64">
        <f>IF(C35="","",IFERROR(INDEX(Effectif!$E$7:$E$21,MATCH(C35,Effectif!$C$7:$C$21,0)),""))</f>
        <v/>
      </c>
      <c r="F35" s="29">
        <f>IF(AND(ISNUMBER(D35),ISNUMBER(E35)),D35*E35,"")</f>
        <v/>
      </c>
      <c r="G35" s="2" t="n"/>
      <c r="H35" s="1" t="n"/>
    </row>
    <row r="36">
      <c r="A36" s="1" t="n"/>
      <c r="B36" s="25" t="n"/>
      <c r="C36" s="26" t="n"/>
      <c r="D36" s="63" t="n"/>
      <c r="E36" s="64">
        <f>IF(C36="","",IFERROR(INDEX(Effectif!$E$7:$E$21,MATCH(C36,Effectif!$C$7:$C$21,0)),""))</f>
        <v/>
      </c>
      <c r="F36" s="29">
        <f>IF(AND(ISNUMBER(D36),ISNUMBER(E36)),D36*E36,"")</f>
        <v/>
      </c>
      <c r="G36" s="2" t="n"/>
      <c r="H36" s="1" t="n"/>
    </row>
    <row r="37">
      <c r="A37" s="1" t="n"/>
      <c r="B37" s="25" t="n"/>
      <c r="C37" s="26" t="n"/>
      <c r="D37" s="63" t="n"/>
      <c r="E37" s="64">
        <f>IF(C37="","",IFERROR(INDEX(Effectif!$E$7:$E$21,MATCH(C37,Effectif!$C$7:$C$21,0)),""))</f>
        <v/>
      </c>
      <c r="F37" s="29">
        <f>IF(AND(ISNUMBER(D37),ISNUMBER(E37)),D37*E37,"")</f>
        <v/>
      </c>
      <c r="G37" s="2" t="n"/>
      <c r="H37" s="1" t="n"/>
    </row>
    <row r="38">
      <c r="A38" s="1" t="n"/>
      <c r="B38" s="25" t="n"/>
      <c r="C38" s="26" t="n"/>
      <c r="D38" s="63" t="n"/>
      <c r="E38" s="64">
        <f>IF(C38="","",IFERROR(INDEX(Effectif!$E$7:$E$21,MATCH(C38,Effectif!$C$7:$C$21,0)),""))</f>
        <v/>
      </c>
      <c r="F38" s="29">
        <f>IF(AND(ISNUMBER(D38),ISNUMBER(E38)),D38*E38,"")</f>
        <v/>
      </c>
      <c r="G38" s="2" t="n"/>
      <c r="H38" s="1" t="n"/>
    </row>
    <row r="39">
      <c r="A39" s="1" t="n"/>
      <c r="B39" s="25" t="n"/>
      <c r="C39" s="26" t="n"/>
      <c r="D39" s="63" t="n"/>
      <c r="E39" s="64">
        <f>IF(C39="","",IFERROR(INDEX(Effectif!$E$7:$E$21,MATCH(C39,Effectif!$C$7:$C$21,0)),""))</f>
        <v/>
      </c>
      <c r="F39" s="29">
        <f>IF(AND(ISNUMBER(D39),ISNUMBER(E39)),D39*E39,"")</f>
        <v/>
      </c>
      <c r="G39" s="2" t="n"/>
      <c r="H39" s="1" t="n"/>
    </row>
    <row r="40">
      <c r="A40" s="1" t="n"/>
      <c r="B40" s="25" t="n"/>
      <c r="C40" s="26" t="n"/>
      <c r="D40" s="63" t="n"/>
      <c r="E40" s="64">
        <f>IF(C40="","",IFERROR(INDEX(Effectif!$E$7:$E$21,MATCH(C40,Effectif!$C$7:$C$21,0)),""))</f>
        <v/>
      </c>
      <c r="F40" s="29">
        <f>IF(AND(ISNUMBER(D40),ISNUMBER(E40)),D40*E40,"")</f>
        <v/>
      </c>
      <c r="G40" s="2" t="n"/>
      <c r="H40" s="1" t="n"/>
    </row>
    <row r="41">
      <c r="A41" s="1" t="n"/>
      <c r="B41" s="25" t="n"/>
      <c r="C41" s="26" t="n"/>
      <c r="D41" s="63" t="n"/>
      <c r="E41" s="64">
        <f>IF(C41="","",IFERROR(INDEX(Effectif!$E$7:$E$21,MATCH(C41,Effectif!$C$7:$C$21,0)),""))</f>
        <v/>
      </c>
      <c r="F41" s="29">
        <f>IF(AND(ISNUMBER(D41),ISNUMBER(E41)),D41*E41,"")</f>
        <v/>
      </c>
      <c r="G41" s="2" t="n"/>
      <c r="H41" s="1" t="n"/>
    </row>
    <row r="42">
      <c r="A42" s="1" t="n"/>
      <c r="B42" s="25" t="n"/>
      <c r="C42" s="26" t="n"/>
      <c r="D42" s="63" t="n"/>
      <c r="E42" s="64">
        <f>IF(C42="","",IFERROR(INDEX(Effectif!$E$7:$E$21,MATCH(C42,Effectif!$C$7:$C$21,0)),""))</f>
        <v/>
      </c>
      <c r="F42" s="29">
        <f>IF(AND(ISNUMBER(D42),ISNUMBER(E42)),D42*E42,"")</f>
        <v/>
      </c>
      <c r="G42" s="2" t="n"/>
      <c r="H42" s="1" t="n"/>
    </row>
    <row r="43">
      <c r="A43" s="1" t="n"/>
      <c r="B43" s="25" t="n"/>
      <c r="C43" s="26" t="n"/>
      <c r="D43" s="63" t="n"/>
      <c r="E43" s="64">
        <f>IF(C43="","",IFERROR(INDEX(Effectif!$E$7:$E$21,MATCH(C43,Effectif!$C$7:$C$21,0)),""))</f>
        <v/>
      </c>
      <c r="F43" s="29">
        <f>IF(AND(ISNUMBER(D43),ISNUMBER(E43)),D43*E43,"")</f>
        <v/>
      </c>
      <c r="G43" s="2" t="n"/>
      <c r="H43" s="1" t="n"/>
    </row>
    <row r="44">
      <c r="A44" s="1" t="n"/>
      <c r="B44" s="25" t="n"/>
      <c r="C44" s="26" t="n"/>
      <c r="D44" s="63" t="n"/>
      <c r="E44" s="64">
        <f>IF(C44="","",IFERROR(INDEX(Effectif!$E$7:$E$21,MATCH(C44,Effectif!$C$7:$C$21,0)),""))</f>
        <v/>
      </c>
      <c r="F44" s="29">
        <f>IF(AND(ISNUMBER(D44),ISNUMBER(E44)),D44*E44,"")</f>
        <v/>
      </c>
      <c r="G44" s="2" t="n"/>
      <c r="H44" s="1" t="n"/>
    </row>
    <row r="45">
      <c r="A45" s="1" t="n"/>
      <c r="B45" s="25" t="n"/>
      <c r="C45" s="26" t="n"/>
      <c r="D45" s="63" t="n"/>
      <c r="E45" s="64">
        <f>IF(C45="","",IFERROR(INDEX(Effectif!$E$7:$E$21,MATCH(C45,Effectif!$C$7:$C$21,0)),""))</f>
        <v/>
      </c>
      <c r="F45" s="29">
        <f>IF(AND(ISNUMBER(D45),ISNUMBER(E45)),D45*E45,"")</f>
        <v/>
      </c>
      <c r="G45" s="2" t="n"/>
      <c r="H45" s="1" t="n"/>
    </row>
    <row r="46">
      <c r="A46" s="1" t="n"/>
      <c r="B46" s="25" t="n"/>
      <c r="C46" s="26" t="n"/>
      <c r="D46" s="63" t="n"/>
      <c r="E46" s="64">
        <f>IF(C46="","",IFERROR(INDEX(Effectif!$E$7:$E$21,MATCH(C46,Effectif!$C$7:$C$21,0)),""))</f>
        <v/>
      </c>
      <c r="F46" s="29">
        <f>IF(AND(ISNUMBER(D46),ISNUMBER(E46)),D46*E46,"")</f>
        <v/>
      </c>
      <c r="G46" s="2" t="n"/>
      <c r="H46" s="1" t="n"/>
    </row>
    <row r="47">
      <c r="A47" s="1" t="n"/>
      <c r="B47" s="25" t="n"/>
      <c r="C47" s="26" t="n"/>
      <c r="D47" s="63" t="n"/>
      <c r="E47" s="64">
        <f>IF(C47="","",IFERROR(INDEX(Effectif!$E$7:$E$21,MATCH(C47,Effectif!$C$7:$C$21,0)),""))</f>
        <v/>
      </c>
      <c r="F47" s="29">
        <f>IF(AND(ISNUMBER(D47),ISNUMBER(E47)),D47*E47,"")</f>
        <v/>
      </c>
      <c r="G47" s="2" t="n"/>
      <c r="H47" s="1" t="n"/>
    </row>
    <row r="48">
      <c r="A48" s="1" t="n"/>
      <c r="B48" s="25" t="n"/>
      <c r="C48" s="26" t="n"/>
      <c r="D48" s="63" t="n"/>
      <c r="E48" s="64">
        <f>IF(C48="","",IFERROR(INDEX(Effectif!$E$7:$E$21,MATCH(C48,Effectif!$C$7:$C$21,0)),""))</f>
        <v/>
      </c>
      <c r="F48" s="29">
        <f>IF(AND(ISNUMBER(D48),ISNUMBER(E48)),D48*E48,"")</f>
        <v/>
      </c>
      <c r="G48" s="2" t="n"/>
      <c r="H48" s="1" t="n"/>
    </row>
    <row r="49">
      <c r="A49" s="1" t="n"/>
      <c r="B49" s="25" t="n"/>
      <c r="C49" s="26" t="n"/>
      <c r="D49" s="63" t="n"/>
      <c r="E49" s="64">
        <f>IF(C49="","",IFERROR(INDEX(Effectif!$E$7:$E$21,MATCH(C49,Effectif!$C$7:$C$21,0)),""))</f>
        <v/>
      </c>
      <c r="F49" s="29">
        <f>IF(AND(ISNUMBER(D49),ISNUMBER(E49)),D49*E49,"")</f>
        <v/>
      </c>
      <c r="G49" s="2" t="n"/>
      <c r="H49" s="1" t="n"/>
    </row>
    <row r="50">
      <c r="A50" s="1" t="n"/>
      <c r="B50" s="25" t="n"/>
      <c r="C50" s="26" t="n"/>
      <c r="D50" s="63" t="n"/>
      <c r="E50" s="64">
        <f>IF(C50="","",IFERROR(INDEX(Effectif!$E$7:$E$21,MATCH(C50,Effectif!$C$7:$C$21,0)),""))</f>
        <v/>
      </c>
      <c r="F50" s="29">
        <f>IF(AND(ISNUMBER(D50),ISNUMBER(E50)),D50*E50,"")</f>
        <v/>
      </c>
      <c r="G50" s="2" t="n"/>
      <c r="H50" s="1" t="n"/>
    </row>
    <row r="51">
      <c r="A51" s="1" t="n"/>
      <c r="B51" s="25" t="n"/>
      <c r="C51" s="26" t="n"/>
      <c r="D51" s="63" t="n"/>
      <c r="E51" s="64">
        <f>IF(C51="","",IFERROR(INDEX(Effectif!$E$7:$E$21,MATCH(C51,Effectif!$C$7:$C$21,0)),""))</f>
        <v/>
      </c>
      <c r="F51" s="29">
        <f>IF(AND(ISNUMBER(D51),ISNUMBER(E51)),D51*E51,"")</f>
        <v/>
      </c>
      <c r="G51" s="2" t="n"/>
      <c r="H51" s="1" t="n"/>
    </row>
    <row r="52">
      <c r="A52" s="1" t="n"/>
      <c r="B52" s="25" t="n"/>
      <c r="C52" s="26" t="n"/>
      <c r="D52" s="63" t="n"/>
      <c r="E52" s="64">
        <f>IF(C52="","",IFERROR(INDEX(Effectif!$E$7:$E$21,MATCH(C52,Effectif!$C$7:$C$21,0)),""))</f>
        <v/>
      </c>
      <c r="F52" s="29">
        <f>IF(AND(ISNUMBER(D52),ISNUMBER(E52)),D52*E52,"")</f>
        <v/>
      </c>
      <c r="G52" s="2" t="n"/>
      <c r="H52" s="1" t="n"/>
    </row>
    <row r="53">
      <c r="A53" s="1" t="n"/>
      <c r="B53" s="25" t="n"/>
      <c r="C53" s="26" t="n"/>
      <c r="D53" s="63" t="n"/>
      <c r="E53" s="64">
        <f>IF(C53="","",IFERROR(INDEX(Effectif!$E$7:$E$21,MATCH(C53,Effectif!$C$7:$C$21,0)),""))</f>
        <v/>
      </c>
      <c r="F53" s="29">
        <f>IF(AND(ISNUMBER(D53),ISNUMBER(E53)),D53*E53,"")</f>
        <v/>
      </c>
      <c r="G53" s="2" t="n"/>
      <c r="H53" s="1" t="n"/>
    </row>
    <row r="54">
      <c r="A54" s="1" t="n"/>
      <c r="B54" s="25" t="n"/>
      <c r="C54" s="26" t="n"/>
      <c r="D54" s="63" t="n"/>
      <c r="E54" s="64">
        <f>IF(C54="","",IFERROR(INDEX(Effectif!$E$7:$E$21,MATCH(C54,Effectif!$C$7:$C$21,0)),""))</f>
        <v/>
      </c>
      <c r="F54" s="29">
        <f>IF(AND(ISNUMBER(D54),ISNUMBER(E54)),D54*E54,"")</f>
        <v/>
      </c>
      <c r="G54" s="2" t="n"/>
      <c r="H54" s="1" t="n"/>
    </row>
    <row r="55">
      <c r="A55" s="1" t="n"/>
      <c r="B55" s="25" t="n"/>
      <c r="C55" s="26" t="n"/>
      <c r="D55" s="63" t="n"/>
      <c r="E55" s="64">
        <f>IF(C55="","",IFERROR(INDEX(Effectif!$E$7:$E$21,MATCH(C55,Effectif!$C$7:$C$21,0)),""))</f>
        <v/>
      </c>
      <c r="F55" s="29">
        <f>IF(AND(ISNUMBER(D55),ISNUMBER(E55)),D55*E55,"")</f>
        <v/>
      </c>
      <c r="G55" s="2" t="n"/>
      <c r="H55" s="1" t="n"/>
    </row>
    <row r="56">
      <c r="A56" s="1" t="n"/>
      <c r="B56" s="25" t="n"/>
      <c r="C56" s="26" t="n"/>
      <c r="D56" s="63" t="n"/>
      <c r="E56" s="64">
        <f>IF(C56="","",IFERROR(INDEX(Effectif!$E$7:$E$21,MATCH(C56,Effectif!$C$7:$C$21,0)),""))</f>
        <v/>
      </c>
      <c r="F56" s="29">
        <f>IF(AND(ISNUMBER(D56),ISNUMBER(E56)),D56*E56,"")</f>
        <v/>
      </c>
      <c r="G56" s="2" t="n"/>
      <c r="H56" s="1" t="n"/>
    </row>
    <row r="57">
      <c r="A57" s="1" t="n"/>
      <c r="B57" s="25" t="n"/>
      <c r="C57" s="26" t="n"/>
      <c r="D57" s="63" t="n"/>
      <c r="E57" s="64">
        <f>IF(C57="","",IFERROR(INDEX(Effectif!$E$7:$E$21,MATCH(C57,Effectif!$C$7:$C$21,0)),""))</f>
        <v/>
      </c>
      <c r="F57" s="29">
        <f>IF(AND(ISNUMBER(D57),ISNUMBER(E57)),D57*E57,"")</f>
        <v/>
      </c>
      <c r="G57" s="2" t="n"/>
      <c r="H57" s="1" t="n"/>
    </row>
    <row r="58">
      <c r="A58" s="1" t="n"/>
      <c r="B58" s="25" t="n"/>
      <c r="C58" s="26" t="n"/>
      <c r="D58" s="63" t="n"/>
      <c r="E58" s="64">
        <f>IF(C58="","",IFERROR(INDEX(Effectif!$E$7:$E$21,MATCH(C58,Effectif!$C$7:$C$21,0)),""))</f>
        <v/>
      </c>
      <c r="F58" s="29">
        <f>IF(AND(ISNUMBER(D58),ISNUMBER(E58)),D58*E58,"")</f>
        <v/>
      </c>
      <c r="G58" s="2" t="n"/>
      <c r="H58" s="1" t="n"/>
    </row>
    <row r="59">
      <c r="A59" s="1" t="n"/>
      <c r="B59" s="25" t="n"/>
      <c r="C59" s="26" t="n"/>
      <c r="D59" s="63" t="n"/>
      <c r="E59" s="64">
        <f>IF(C59="","",IFERROR(INDEX(Effectif!$E$7:$E$21,MATCH(C59,Effectif!$C$7:$C$21,0)),""))</f>
        <v/>
      </c>
      <c r="F59" s="29">
        <f>IF(AND(ISNUMBER(D59),ISNUMBER(E59)),D59*E59,"")</f>
        <v/>
      </c>
      <c r="G59" s="2" t="n"/>
      <c r="H59" s="1" t="n"/>
    </row>
    <row r="60">
      <c r="A60" s="1" t="n"/>
      <c r="B60" s="25" t="n"/>
      <c r="C60" s="26" t="n"/>
      <c r="D60" s="63" t="n"/>
      <c r="E60" s="64">
        <f>IF(C60="","",IFERROR(INDEX(Effectif!$E$7:$E$21,MATCH(C60,Effectif!$C$7:$C$21,0)),""))</f>
        <v/>
      </c>
      <c r="F60" s="29">
        <f>IF(AND(ISNUMBER(D60),ISNUMBER(E60)),D60*E60,"")</f>
        <v/>
      </c>
      <c r="G60" s="2" t="n"/>
      <c r="H60" s="1" t="n"/>
    </row>
    <row r="61">
      <c r="A61" s="1" t="n"/>
      <c r="B61" s="25" t="n"/>
      <c r="C61" s="26" t="n"/>
      <c r="D61" s="63" t="n"/>
      <c r="E61" s="64">
        <f>IF(C61="","",IFERROR(INDEX(Effectif!$E$7:$E$21,MATCH(C61,Effectif!$C$7:$C$21,0)),""))</f>
        <v/>
      </c>
      <c r="F61" s="29">
        <f>IF(AND(ISNUMBER(D61),ISNUMBER(E61)),D61*E61,"")</f>
        <v/>
      </c>
      <c r="G61" s="2" t="n"/>
      <c r="H61" s="1" t="n"/>
    </row>
    <row r="62">
      <c r="A62" s="1" t="n"/>
      <c r="B62" s="25" t="n"/>
      <c r="C62" s="26" t="n"/>
      <c r="D62" s="63" t="n"/>
      <c r="E62" s="64">
        <f>IF(C62="","",IFERROR(INDEX(Effectif!$E$7:$E$21,MATCH(C62,Effectif!$C$7:$C$21,0)),""))</f>
        <v/>
      </c>
      <c r="F62" s="29">
        <f>IF(AND(ISNUMBER(D62),ISNUMBER(E62)),D62*E62,"")</f>
        <v/>
      </c>
      <c r="G62" s="2" t="n"/>
      <c r="H62" s="1" t="n"/>
    </row>
    <row r="63">
      <c r="A63" s="1" t="n"/>
      <c r="B63" s="25" t="n"/>
      <c r="C63" s="26" t="n"/>
      <c r="D63" s="63" t="n"/>
      <c r="E63" s="64">
        <f>IF(C63="","",IFERROR(INDEX(Effectif!$E$7:$E$21,MATCH(C63,Effectif!$C$7:$C$21,0)),""))</f>
        <v/>
      </c>
      <c r="F63" s="29">
        <f>IF(AND(ISNUMBER(D63),ISNUMBER(E63)),D63*E63,"")</f>
        <v/>
      </c>
      <c r="G63" s="2" t="n"/>
      <c r="H63" s="1" t="n"/>
    </row>
    <row r="64">
      <c r="A64" s="1" t="n"/>
      <c r="B64" s="25" t="n"/>
      <c r="C64" s="26" t="n"/>
      <c r="D64" s="63" t="n"/>
      <c r="E64" s="64">
        <f>IF(C64="","",IFERROR(INDEX(Effectif!$E$7:$E$21,MATCH(C64,Effectif!$C$7:$C$21,0)),""))</f>
        <v/>
      </c>
      <c r="F64" s="29">
        <f>IF(AND(ISNUMBER(D64),ISNUMBER(E64)),D64*E64,"")</f>
        <v/>
      </c>
      <c r="G64" s="2" t="n"/>
      <c r="H64" s="1" t="n"/>
    </row>
    <row r="65">
      <c r="A65" s="1" t="n"/>
      <c r="B65" s="25" t="n"/>
      <c r="C65" s="26" t="n"/>
      <c r="D65" s="63" t="n"/>
      <c r="E65" s="64">
        <f>IF(C65="","",IFERROR(INDEX(Effectif!$E$7:$E$21,MATCH(C65,Effectif!$C$7:$C$21,0)),""))</f>
        <v/>
      </c>
      <c r="F65" s="29">
        <f>IF(AND(ISNUMBER(D65),ISNUMBER(E65)),D65*E65,"")</f>
        <v/>
      </c>
      <c r="G65" s="2" t="n"/>
      <c r="H65" s="1" t="n"/>
    </row>
    <row r="66">
      <c r="A66" s="1" t="n"/>
      <c r="B66" s="25" t="n"/>
      <c r="C66" s="26" t="n"/>
      <c r="D66" s="63" t="n"/>
      <c r="E66" s="64">
        <f>IF(C66="","",IFERROR(INDEX(Effectif!$E$7:$E$21,MATCH(C66,Effectif!$C$7:$C$21,0)),""))</f>
        <v/>
      </c>
      <c r="F66" s="29">
        <f>IF(AND(ISNUMBER(D66),ISNUMBER(E66)),D66*E66,"")</f>
        <v/>
      </c>
      <c r="G66" s="2" t="n"/>
      <c r="H66" s="1" t="n"/>
    </row>
    <row r="67">
      <c r="A67" s="1" t="n"/>
      <c r="B67" s="25" t="n"/>
      <c r="C67" s="26" t="n"/>
      <c r="D67" s="63" t="n"/>
      <c r="E67" s="64">
        <f>IF(C67="","",IFERROR(INDEX(Effectif!$E$7:$E$21,MATCH(C67,Effectif!$C$7:$C$21,0)),""))</f>
        <v/>
      </c>
      <c r="F67" s="29">
        <f>IF(AND(ISNUMBER(D67),ISNUMBER(E67)),D67*E67,"")</f>
        <v/>
      </c>
      <c r="G67" s="2" t="n"/>
      <c r="H67" s="1" t="n"/>
    </row>
    <row r="68">
      <c r="A68" s="1" t="n"/>
      <c r="B68" s="25" t="n"/>
      <c r="C68" s="26" t="n"/>
      <c r="D68" s="63" t="n"/>
      <c r="E68" s="64">
        <f>IF(C68="","",IFERROR(INDEX(Effectif!$E$7:$E$21,MATCH(C68,Effectif!$C$7:$C$21,0)),""))</f>
        <v/>
      </c>
      <c r="F68" s="29">
        <f>IF(AND(ISNUMBER(D68),ISNUMBER(E68)),D68*E68,"")</f>
        <v/>
      </c>
      <c r="G68" s="2" t="n"/>
      <c r="H68" s="1" t="n"/>
    </row>
    <row r="69">
      <c r="A69" s="1" t="n"/>
      <c r="B69" s="25" t="n"/>
      <c r="C69" s="26" t="n"/>
      <c r="D69" s="63" t="n"/>
      <c r="E69" s="64">
        <f>IF(C69="","",IFERROR(INDEX(Effectif!$E$7:$E$21,MATCH(C69,Effectif!$C$7:$C$21,0)),""))</f>
        <v/>
      </c>
      <c r="F69" s="29">
        <f>IF(AND(ISNUMBER(D69),ISNUMBER(E69)),D69*E69,"")</f>
        <v/>
      </c>
      <c r="G69" s="2" t="n"/>
      <c r="H69" s="1" t="n"/>
    </row>
    <row r="70">
      <c r="A70" s="1" t="n"/>
      <c r="B70" s="25" t="n"/>
      <c r="C70" s="26" t="n"/>
      <c r="D70" s="63" t="n"/>
      <c r="E70" s="64">
        <f>IF(C70="","",IFERROR(INDEX(Effectif!$E$7:$E$21,MATCH(C70,Effectif!$C$7:$C$21,0)),""))</f>
        <v/>
      </c>
      <c r="F70" s="29">
        <f>IF(AND(ISNUMBER(D70),ISNUMBER(E70)),D70*E70,"")</f>
        <v/>
      </c>
      <c r="G70" s="2" t="n"/>
      <c r="H70" s="1" t="n"/>
    </row>
    <row r="71">
      <c r="A71" s="1" t="n"/>
      <c r="B71" s="25" t="n"/>
      <c r="C71" s="26" t="n"/>
      <c r="D71" s="63" t="n"/>
      <c r="E71" s="64">
        <f>IF(C71="","",IFERROR(INDEX(Effectif!$E$7:$E$21,MATCH(C71,Effectif!$C$7:$C$21,0)),""))</f>
        <v/>
      </c>
      <c r="F71" s="29">
        <f>IF(AND(ISNUMBER(D71),ISNUMBER(E71)),D71*E71,"")</f>
        <v/>
      </c>
      <c r="G71" s="2" t="n"/>
      <c r="H71" s="1" t="n"/>
    </row>
    <row r="72">
      <c r="A72" s="1" t="n"/>
      <c r="B72" s="25" t="n"/>
      <c r="C72" s="26" t="n"/>
      <c r="D72" s="63" t="n"/>
      <c r="E72" s="64">
        <f>IF(C72="","",IFERROR(INDEX(Effectif!$E$7:$E$21,MATCH(C72,Effectif!$C$7:$C$21,0)),""))</f>
        <v/>
      </c>
      <c r="F72" s="29">
        <f>IF(AND(ISNUMBER(D72),ISNUMBER(E72)),D72*E72,"")</f>
        <v/>
      </c>
      <c r="G72" s="2" t="n"/>
      <c r="H72" s="1" t="n"/>
    </row>
    <row r="73">
      <c r="A73" s="1" t="n"/>
      <c r="B73" s="25" t="n"/>
      <c r="C73" s="26" t="n"/>
      <c r="D73" s="63" t="n"/>
      <c r="E73" s="64">
        <f>IF(C73="","",IFERROR(INDEX(Effectif!$E$7:$E$21,MATCH(C73,Effectif!$C$7:$C$21,0)),""))</f>
        <v/>
      </c>
      <c r="F73" s="29">
        <f>IF(AND(ISNUMBER(D73),ISNUMBER(E73)),D73*E73,"")</f>
        <v/>
      </c>
      <c r="G73" s="2" t="n"/>
      <c r="H73" s="1" t="n"/>
    </row>
    <row r="74">
      <c r="A74" s="1" t="n"/>
      <c r="B74" s="25" t="n"/>
      <c r="C74" s="26" t="n"/>
      <c r="D74" s="63" t="n"/>
      <c r="E74" s="64">
        <f>IF(C74="","",IFERROR(INDEX(Effectif!$E$7:$E$21,MATCH(C74,Effectif!$C$7:$C$21,0)),""))</f>
        <v/>
      </c>
      <c r="F74" s="29">
        <f>IF(AND(ISNUMBER(D74),ISNUMBER(E74)),D74*E74,"")</f>
        <v/>
      </c>
      <c r="G74" s="2" t="n"/>
      <c r="H74" s="1" t="n"/>
    </row>
    <row r="75">
      <c r="A75" s="1" t="n"/>
      <c r="B75" s="25" t="n"/>
      <c r="C75" s="26" t="n"/>
      <c r="D75" s="63" t="n"/>
      <c r="E75" s="64">
        <f>IF(C75="","",IFERROR(INDEX(Effectif!$E$7:$E$21,MATCH(C75,Effectif!$C$7:$C$21,0)),""))</f>
        <v/>
      </c>
      <c r="F75" s="29">
        <f>IF(AND(ISNUMBER(D75),ISNUMBER(E75)),D75*E75,"")</f>
        <v/>
      </c>
      <c r="G75" s="2" t="n"/>
      <c r="H75" s="1" t="n"/>
    </row>
    <row r="76">
      <c r="A76" s="1" t="n"/>
      <c r="B76" s="25" t="n"/>
      <c r="C76" s="26" t="n"/>
      <c r="D76" s="63" t="n"/>
      <c r="E76" s="64">
        <f>IF(C76="","",IFERROR(INDEX(Effectif!$E$7:$E$21,MATCH(C76,Effectif!$C$7:$C$21,0)),""))</f>
        <v/>
      </c>
      <c r="F76" s="29">
        <f>IF(AND(ISNUMBER(D76),ISNUMBER(E76)),D76*E76,"")</f>
        <v/>
      </c>
      <c r="G76" s="2" t="n"/>
      <c r="H76" s="1" t="n"/>
    </row>
    <row r="77">
      <c r="A77" s="1" t="n"/>
      <c r="B77" s="25" t="n"/>
      <c r="C77" s="26" t="n"/>
      <c r="D77" s="63" t="n"/>
      <c r="E77" s="64">
        <f>IF(C77="","",IFERROR(INDEX(Effectif!$E$7:$E$21,MATCH(C77,Effectif!$C$7:$C$21,0)),""))</f>
        <v/>
      </c>
      <c r="F77" s="29">
        <f>IF(AND(ISNUMBER(D77),ISNUMBER(E77)),D77*E77,"")</f>
        <v/>
      </c>
      <c r="G77" s="2" t="n"/>
      <c r="H77" s="1" t="n"/>
    </row>
    <row r="78">
      <c r="A78" s="1" t="n"/>
      <c r="B78" s="25" t="n"/>
      <c r="C78" s="26" t="n"/>
      <c r="D78" s="63" t="n"/>
      <c r="E78" s="64">
        <f>IF(C78="","",IFERROR(INDEX(Effectif!$E$7:$E$21,MATCH(C78,Effectif!$C$7:$C$21,0)),""))</f>
        <v/>
      </c>
      <c r="F78" s="29">
        <f>IF(AND(ISNUMBER(D78),ISNUMBER(E78)),D78*E78,"")</f>
        <v/>
      </c>
      <c r="G78" s="2" t="n"/>
      <c r="H78" s="1" t="n"/>
    </row>
    <row r="79">
      <c r="A79" s="1" t="n"/>
      <c r="B79" s="25" t="n"/>
      <c r="C79" s="26" t="n"/>
      <c r="D79" s="63" t="n"/>
      <c r="E79" s="64">
        <f>IF(C79="","",IFERROR(INDEX(Effectif!$E$7:$E$21,MATCH(C79,Effectif!$C$7:$C$21,0)),""))</f>
        <v/>
      </c>
      <c r="F79" s="29">
        <f>IF(AND(ISNUMBER(D79),ISNUMBER(E79)),D79*E79,"")</f>
        <v/>
      </c>
      <c r="G79" s="2" t="n"/>
      <c r="H79" s="1" t="n"/>
    </row>
    <row r="80">
      <c r="A80" s="1" t="n"/>
      <c r="B80" s="25" t="n"/>
      <c r="C80" s="26" t="n"/>
      <c r="D80" s="63" t="n"/>
      <c r="E80" s="64">
        <f>IF(C80="","",IFERROR(INDEX(Effectif!$E$7:$E$21,MATCH(C80,Effectif!$C$7:$C$21,0)),""))</f>
        <v/>
      </c>
      <c r="F80" s="29">
        <f>IF(AND(ISNUMBER(D80),ISNUMBER(E80)),D80*E80,"")</f>
        <v/>
      </c>
      <c r="G80" s="2" t="n"/>
      <c r="H80" s="1" t="n"/>
    </row>
    <row r="81">
      <c r="A81" s="1" t="n"/>
      <c r="B81" s="25" t="n"/>
      <c r="C81" s="26" t="n"/>
      <c r="D81" s="63" t="n"/>
      <c r="E81" s="64">
        <f>IF(C81="","",IFERROR(INDEX(Effectif!$E$7:$E$21,MATCH(C81,Effectif!$C$7:$C$21,0)),""))</f>
        <v/>
      </c>
      <c r="F81" s="29">
        <f>IF(AND(ISNUMBER(D81),ISNUMBER(E81)),D81*E81,"")</f>
        <v/>
      </c>
      <c r="G81" s="2" t="n"/>
      <c r="H81" s="1" t="n"/>
    </row>
    <row r="82">
      <c r="A82" s="1" t="n"/>
      <c r="B82" s="25" t="n"/>
      <c r="C82" s="26" t="n"/>
      <c r="D82" s="63" t="n"/>
      <c r="E82" s="64">
        <f>IF(C82="","",IFERROR(INDEX(Effectif!$E$7:$E$21,MATCH(C82,Effectif!$C$7:$C$21,0)),""))</f>
        <v/>
      </c>
      <c r="F82" s="29">
        <f>IF(AND(ISNUMBER(D82),ISNUMBER(E82)),D82*E82,"")</f>
        <v/>
      </c>
      <c r="G82" s="2" t="n"/>
      <c r="H82" s="1" t="n"/>
    </row>
    <row r="83">
      <c r="A83" s="1" t="n"/>
      <c r="B83" s="25" t="n"/>
      <c r="C83" s="26" t="n"/>
      <c r="D83" s="63" t="n"/>
      <c r="E83" s="64">
        <f>IF(C83="","",IFERROR(INDEX(Effectif!$E$7:$E$21,MATCH(C83,Effectif!$C$7:$C$21,0)),""))</f>
        <v/>
      </c>
      <c r="F83" s="29">
        <f>IF(AND(ISNUMBER(D83),ISNUMBER(E83)),D83*E83,"")</f>
        <v/>
      </c>
      <c r="G83" s="2" t="n"/>
      <c r="H83" s="1" t="n"/>
    </row>
    <row r="84">
      <c r="A84" s="1" t="n"/>
      <c r="B84" s="25" t="n"/>
      <c r="C84" s="26" t="n"/>
      <c r="D84" s="63" t="n"/>
      <c r="E84" s="64">
        <f>IF(C84="","",IFERROR(INDEX(Effectif!$E$7:$E$21,MATCH(C84,Effectif!$C$7:$C$21,0)),""))</f>
        <v/>
      </c>
      <c r="F84" s="29">
        <f>IF(AND(ISNUMBER(D84),ISNUMBER(E84)),D84*E84,"")</f>
        <v/>
      </c>
      <c r="G84" s="2" t="n"/>
      <c r="H84" s="1" t="n"/>
    </row>
    <row r="85">
      <c r="A85" s="1" t="n"/>
      <c r="B85" s="25" t="n"/>
      <c r="C85" s="26" t="n"/>
      <c r="D85" s="63" t="n"/>
      <c r="E85" s="64">
        <f>IF(C85="","",IFERROR(INDEX(Effectif!$E$7:$E$21,MATCH(C85,Effectif!$C$7:$C$21,0)),""))</f>
        <v/>
      </c>
      <c r="F85" s="29">
        <f>IF(AND(ISNUMBER(D85),ISNUMBER(E85)),D85*E85,"")</f>
        <v/>
      </c>
      <c r="G85" s="2" t="n"/>
      <c r="H85" s="1" t="n"/>
    </row>
    <row r="86">
      <c r="A86" s="1" t="n"/>
      <c r="B86" s="25" t="n"/>
      <c r="C86" s="26" t="n"/>
      <c r="D86" s="63" t="n"/>
      <c r="E86" s="64">
        <f>IF(C86="","",IFERROR(INDEX(Effectif!$E$7:$E$21,MATCH(C86,Effectif!$C$7:$C$21,0)),""))</f>
        <v/>
      </c>
      <c r="F86" s="29">
        <f>IF(AND(ISNUMBER(D86),ISNUMBER(E86)),D86*E86,"")</f>
        <v/>
      </c>
      <c r="G86" s="2" t="n"/>
      <c r="H86" s="1" t="n"/>
    </row>
    <row r="87">
      <c r="A87" s="1" t="n"/>
      <c r="B87" s="25" t="n"/>
      <c r="C87" s="26" t="n"/>
      <c r="D87" s="63" t="n"/>
      <c r="E87" s="64">
        <f>IF(C87="","",IFERROR(INDEX(Effectif!$E$7:$E$21,MATCH(C87,Effectif!$C$7:$C$21,0)),""))</f>
        <v/>
      </c>
      <c r="F87" s="29">
        <f>IF(AND(ISNUMBER(D87),ISNUMBER(E87)),D87*E87,"")</f>
        <v/>
      </c>
      <c r="G87" s="2" t="n"/>
      <c r="H87" s="1" t="n"/>
    </row>
    <row r="88">
      <c r="A88" s="1" t="n"/>
      <c r="B88" s="25" t="n"/>
      <c r="C88" s="26" t="n"/>
      <c r="D88" s="63" t="n"/>
      <c r="E88" s="64">
        <f>IF(C88="","",IFERROR(INDEX(Effectif!$E$7:$E$21,MATCH(C88,Effectif!$C$7:$C$21,0)),""))</f>
        <v/>
      </c>
      <c r="F88" s="29">
        <f>IF(AND(ISNUMBER(D88),ISNUMBER(E88)),D88*E88,"")</f>
        <v/>
      </c>
      <c r="G88" s="2" t="n"/>
      <c r="H88" s="1" t="n"/>
    </row>
    <row r="89">
      <c r="A89" s="1" t="n"/>
      <c r="B89" s="25" t="n"/>
      <c r="C89" s="26" t="n"/>
      <c r="D89" s="63" t="n"/>
      <c r="E89" s="64">
        <f>IF(C89="","",IFERROR(INDEX(Effectif!$E$7:$E$21,MATCH(C89,Effectif!$C$7:$C$21,0)),""))</f>
        <v/>
      </c>
      <c r="F89" s="29">
        <f>IF(AND(ISNUMBER(D89),ISNUMBER(E89)),D89*E89,"")</f>
        <v/>
      </c>
      <c r="G89" s="2" t="n"/>
      <c r="H89" s="1" t="n"/>
    </row>
    <row r="90">
      <c r="A90" s="1" t="n"/>
      <c r="B90" s="25" t="n"/>
      <c r="C90" s="26" t="n"/>
      <c r="D90" s="63" t="n"/>
      <c r="E90" s="64">
        <f>IF(C90="","",IFERROR(INDEX(Effectif!$E$7:$E$21,MATCH(C90,Effectif!$C$7:$C$21,0)),""))</f>
        <v/>
      </c>
      <c r="F90" s="29">
        <f>IF(AND(ISNUMBER(D90),ISNUMBER(E90)),D90*E90,"")</f>
        <v/>
      </c>
      <c r="G90" s="2" t="n"/>
      <c r="H90" s="1" t="n"/>
    </row>
    <row r="91">
      <c r="A91" s="1" t="n"/>
      <c r="B91" s="25" t="n"/>
      <c r="C91" s="26" t="n"/>
      <c r="D91" s="63" t="n"/>
      <c r="E91" s="64">
        <f>IF(C91="","",IFERROR(INDEX(Effectif!$E$7:$E$21,MATCH(C91,Effectif!$C$7:$C$21,0)),""))</f>
        <v/>
      </c>
      <c r="F91" s="29">
        <f>IF(AND(ISNUMBER(D91),ISNUMBER(E91)),D91*E91,"")</f>
        <v/>
      </c>
      <c r="G91" s="2" t="n"/>
      <c r="H91" s="1" t="n"/>
    </row>
    <row r="92">
      <c r="A92" s="1" t="n"/>
      <c r="B92" s="25" t="n"/>
      <c r="C92" s="26" t="n"/>
      <c r="D92" s="63" t="n"/>
      <c r="E92" s="64">
        <f>IF(C92="","",IFERROR(INDEX(Effectif!$E$7:$E$21,MATCH(C92,Effectif!$C$7:$C$21,0)),""))</f>
        <v/>
      </c>
      <c r="F92" s="29">
        <f>IF(AND(ISNUMBER(D92),ISNUMBER(E92)),D92*E92,"")</f>
        <v/>
      </c>
      <c r="G92" s="2" t="n"/>
      <c r="H92" s="1" t="n"/>
    </row>
    <row r="93">
      <c r="A93" s="1" t="n"/>
      <c r="B93" s="25" t="n"/>
      <c r="C93" s="26" t="n"/>
      <c r="D93" s="63" t="n"/>
      <c r="E93" s="64">
        <f>IF(C93="","",IFERROR(INDEX(Effectif!$E$7:$E$21,MATCH(C93,Effectif!$C$7:$C$21,0)),""))</f>
        <v/>
      </c>
      <c r="F93" s="29">
        <f>IF(AND(ISNUMBER(D93),ISNUMBER(E93)),D93*E93,"")</f>
        <v/>
      </c>
      <c r="G93" s="2" t="n"/>
      <c r="H93" s="1" t="n"/>
    </row>
    <row r="94">
      <c r="A94" s="1" t="n"/>
      <c r="B94" s="25" t="n"/>
      <c r="C94" s="26" t="n"/>
      <c r="D94" s="63" t="n"/>
      <c r="E94" s="64">
        <f>IF(C94="","",IFERROR(INDEX(Effectif!$E$7:$E$21,MATCH(C94,Effectif!$C$7:$C$21,0)),""))</f>
        <v/>
      </c>
      <c r="F94" s="29">
        <f>IF(AND(ISNUMBER(D94),ISNUMBER(E94)),D94*E94,"")</f>
        <v/>
      </c>
      <c r="G94" s="2" t="n"/>
      <c r="H94" s="1" t="n"/>
    </row>
    <row r="95">
      <c r="A95" s="1" t="n"/>
      <c r="B95" s="25" t="n"/>
      <c r="C95" s="26" t="n"/>
      <c r="D95" s="63" t="n"/>
      <c r="E95" s="64">
        <f>IF(C95="","",IFERROR(INDEX(Effectif!$E$7:$E$21,MATCH(C95,Effectif!$C$7:$C$21,0)),""))</f>
        <v/>
      </c>
      <c r="F95" s="29">
        <f>IF(AND(ISNUMBER(D95),ISNUMBER(E95)),D95*E95,"")</f>
        <v/>
      </c>
      <c r="G95" s="2" t="n"/>
      <c r="H95" s="1" t="n"/>
    </row>
    <row r="96">
      <c r="A96" s="1" t="n"/>
      <c r="B96" s="25" t="n"/>
      <c r="C96" s="26" t="n"/>
      <c r="D96" s="63" t="n"/>
      <c r="E96" s="64">
        <f>IF(C96="","",IFERROR(INDEX(Effectif!$E$7:$E$21,MATCH(C96,Effectif!$C$7:$C$21,0)),""))</f>
        <v/>
      </c>
      <c r="F96" s="29">
        <f>IF(AND(ISNUMBER(D96),ISNUMBER(E96)),D96*E96,"")</f>
        <v/>
      </c>
      <c r="G96" s="2" t="n"/>
      <c r="H96" s="1" t="n"/>
    </row>
    <row r="97">
      <c r="A97" s="1" t="n"/>
      <c r="B97" s="25" t="n"/>
      <c r="C97" s="26" t="n"/>
      <c r="D97" s="63" t="n"/>
      <c r="E97" s="64">
        <f>IF(C97="","",IFERROR(INDEX(Effectif!$E$7:$E$21,MATCH(C97,Effectif!$C$7:$C$21,0)),""))</f>
        <v/>
      </c>
      <c r="F97" s="29">
        <f>IF(AND(ISNUMBER(D97),ISNUMBER(E97)),D97*E97,"")</f>
        <v/>
      </c>
      <c r="G97" s="2" t="n"/>
      <c r="H97" s="1" t="n"/>
    </row>
    <row r="98">
      <c r="A98" s="1" t="n"/>
      <c r="B98" s="25" t="n"/>
      <c r="C98" s="26" t="n"/>
      <c r="D98" s="63" t="n"/>
      <c r="E98" s="64">
        <f>IF(C98="","",IFERROR(INDEX(Effectif!$E$7:$E$21,MATCH(C98,Effectif!$C$7:$C$21,0)),""))</f>
        <v/>
      </c>
      <c r="F98" s="29">
        <f>IF(AND(ISNUMBER(D98),ISNUMBER(E98)),D98*E98,"")</f>
        <v/>
      </c>
      <c r="G98" s="2" t="n"/>
      <c r="H98" s="1" t="n"/>
    </row>
    <row r="99">
      <c r="A99" s="1" t="n"/>
      <c r="B99" s="25" t="n"/>
      <c r="C99" s="26" t="n"/>
      <c r="D99" s="63" t="n"/>
      <c r="E99" s="64">
        <f>IF(C99="","",IFERROR(INDEX(Effectif!$E$7:$E$21,MATCH(C99,Effectif!$C$7:$C$21,0)),""))</f>
        <v/>
      </c>
      <c r="F99" s="29">
        <f>IF(AND(ISNUMBER(D99),ISNUMBER(E99)),D99*E99,"")</f>
        <v/>
      </c>
      <c r="G99" s="2" t="n"/>
      <c r="H99" s="1" t="n"/>
    </row>
    <row r="100">
      <c r="A100" s="1" t="n"/>
      <c r="B100" s="25" t="n"/>
      <c r="C100" s="26" t="n"/>
      <c r="D100" s="63" t="n"/>
      <c r="E100" s="64">
        <f>IF(C100="","",IFERROR(INDEX(Effectif!$E$7:$E$21,MATCH(C100,Effectif!$C$7:$C$21,0)),""))</f>
        <v/>
      </c>
      <c r="F100" s="29">
        <f>IF(AND(ISNUMBER(D100),ISNUMBER(E100)),D100*E100,"")</f>
        <v/>
      </c>
      <c r="G100" s="2" t="n"/>
      <c r="H100" s="1" t="n"/>
    </row>
    <row r="101">
      <c r="A101" s="1" t="n"/>
      <c r="B101" s="25" t="n"/>
      <c r="C101" s="26" t="n"/>
      <c r="D101" s="63" t="n"/>
      <c r="E101" s="64">
        <f>IF(C101="","",IFERROR(INDEX(Effectif!$E$7:$E$21,MATCH(C101,Effectif!$C$7:$C$21,0)),""))</f>
        <v/>
      </c>
      <c r="F101" s="29">
        <f>IF(AND(ISNUMBER(D101),ISNUMBER(E101)),D101*E101,"")</f>
        <v/>
      </c>
      <c r="G101" s="2" t="n"/>
      <c r="H101" s="1" t="n"/>
    </row>
    <row r="102">
      <c r="A102" s="1" t="n"/>
      <c r="B102" s="25" t="n"/>
      <c r="C102" s="26" t="n"/>
      <c r="D102" s="63" t="n"/>
      <c r="E102" s="64">
        <f>IF(C102="","",IFERROR(INDEX(Effectif!$E$7:$E$21,MATCH(C102,Effectif!$C$7:$C$21,0)),""))</f>
        <v/>
      </c>
      <c r="F102" s="29">
        <f>IF(AND(ISNUMBER(D102),ISNUMBER(E102)),D102*E102,"")</f>
        <v/>
      </c>
      <c r="G102" s="2" t="n"/>
      <c r="H102" s="1" t="n"/>
    </row>
    <row r="103">
      <c r="A103" s="1" t="n"/>
      <c r="B103" s="25" t="n"/>
      <c r="C103" s="26" t="n"/>
      <c r="D103" s="63" t="n"/>
      <c r="E103" s="64">
        <f>IF(C103="","",IFERROR(INDEX(Effectif!$E$7:$E$21,MATCH(C103,Effectif!$C$7:$C$21,0)),""))</f>
        <v/>
      </c>
      <c r="F103" s="29">
        <f>IF(AND(ISNUMBER(D103),ISNUMBER(E103)),D103*E103,"")</f>
        <v/>
      </c>
      <c r="G103" s="2" t="n"/>
      <c r="H103" s="1" t="n"/>
    </row>
    <row r="104">
      <c r="A104" s="1" t="n"/>
      <c r="B104" s="25" t="n"/>
      <c r="C104" s="26" t="n"/>
      <c r="D104" s="63" t="n"/>
      <c r="E104" s="64">
        <f>IF(C104="","",IFERROR(INDEX(Effectif!$E$7:$E$21,MATCH(C104,Effectif!$C$7:$C$21,0)),""))</f>
        <v/>
      </c>
      <c r="F104" s="29">
        <f>IF(AND(ISNUMBER(D104),ISNUMBER(E104)),D104*E104,"")</f>
        <v/>
      </c>
      <c r="G104" s="2" t="n"/>
      <c r="H104" s="1" t="n"/>
    </row>
    <row r="105">
      <c r="A105" s="1" t="n"/>
      <c r="B105" s="25" t="n"/>
      <c r="C105" s="26" t="n"/>
      <c r="D105" s="63" t="n"/>
      <c r="E105" s="64">
        <f>IF(C105="","",IFERROR(INDEX(Effectif!$E$7:$E$21,MATCH(C105,Effectif!$C$7:$C$21,0)),""))</f>
        <v/>
      </c>
      <c r="F105" s="29">
        <f>IF(AND(ISNUMBER(D105),ISNUMBER(E105)),D105*E105,"")</f>
        <v/>
      </c>
      <c r="G105" s="2" t="n"/>
      <c r="H105" s="1" t="n"/>
    </row>
    <row r="106">
      <c r="A106" s="1" t="n"/>
      <c r="B106" s="25" t="n"/>
      <c r="C106" s="26" t="n"/>
      <c r="D106" s="63" t="n"/>
      <c r="E106" s="64">
        <f>IF(C106="","",IFERROR(INDEX(Effectif!$E$7:$E$21,MATCH(C106,Effectif!$C$7:$C$21,0)),""))</f>
        <v/>
      </c>
      <c r="F106" s="29">
        <f>IF(AND(ISNUMBER(D106),ISNUMBER(E106)),D106*E106,"")</f>
        <v/>
      </c>
      <c r="G106" s="2" t="n"/>
      <c r="H106" s="1" t="n"/>
    </row>
    <row r="107">
      <c r="A107" s="1" t="n"/>
      <c r="B107" s="25" t="n"/>
      <c r="C107" s="26" t="n"/>
      <c r="D107" s="63" t="n"/>
      <c r="E107" s="64">
        <f>IF(C107="","",IFERROR(INDEX(Effectif!$E$7:$E$21,MATCH(C107,Effectif!$C$7:$C$21,0)),""))</f>
        <v/>
      </c>
      <c r="F107" s="29">
        <f>IF(AND(ISNUMBER(D107),ISNUMBER(E107)),D107*E107,"")</f>
        <v/>
      </c>
      <c r="G107" s="2" t="n"/>
      <c r="H107" s="1" t="n"/>
    </row>
    <row r="108">
      <c r="A108" s="1" t="n"/>
      <c r="B108" s="25" t="n"/>
      <c r="C108" s="26" t="n"/>
      <c r="D108" s="63" t="n"/>
      <c r="E108" s="64">
        <f>IF(C108="","",IFERROR(INDEX(Effectif!$E$7:$E$21,MATCH(C108,Effectif!$C$7:$C$21,0)),""))</f>
        <v/>
      </c>
      <c r="F108" s="29">
        <f>IF(AND(ISNUMBER(D108),ISNUMBER(E108)),D108*E108,"")</f>
        <v/>
      </c>
      <c r="G108" s="2" t="n"/>
      <c r="H108" s="1" t="n"/>
    </row>
    <row r="109">
      <c r="A109" s="1" t="n"/>
      <c r="B109" s="25" t="n"/>
      <c r="C109" s="26" t="n"/>
      <c r="D109" s="63" t="n"/>
      <c r="E109" s="64">
        <f>IF(C109="","",IFERROR(INDEX(Effectif!$E$7:$E$21,MATCH(C109,Effectif!$C$7:$C$21,0)),""))</f>
        <v/>
      </c>
      <c r="F109" s="29">
        <f>IF(AND(ISNUMBER(D109),ISNUMBER(E109)),D109*E109,"")</f>
        <v/>
      </c>
      <c r="G109" s="2" t="n"/>
      <c r="H109" s="1" t="n"/>
    </row>
    <row r="110">
      <c r="A110" s="1" t="n"/>
      <c r="B110" s="25" t="n"/>
      <c r="C110" s="26" t="n"/>
      <c r="D110" s="63" t="n"/>
      <c r="E110" s="64">
        <f>IF(C110="","",IFERROR(INDEX(Effectif!$E$7:$E$21,MATCH(C110,Effectif!$C$7:$C$21,0)),""))</f>
        <v/>
      </c>
      <c r="F110" s="29">
        <f>IF(AND(ISNUMBER(D110),ISNUMBER(E110)),D110*E110,"")</f>
        <v/>
      </c>
      <c r="G110" s="2" t="n"/>
      <c r="H110" s="1" t="n"/>
    </row>
    <row r="111">
      <c r="A111" s="1" t="n"/>
      <c r="B111" s="25" t="n"/>
      <c r="C111" s="26" t="n"/>
      <c r="D111" s="63" t="n"/>
      <c r="E111" s="64">
        <f>IF(C111="","",IFERROR(INDEX(Effectif!$E$7:$E$21,MATCH(C111,Effectif!$C$7:$C$21,0)),""))</f>
        <v/>
      </c>
      <c r="F111" s="29">
        <f>IF(AND(ISNUMBER(D111),ISNUMBER(E111)),D111*E111,"")</f>
        <v/>
      </c>
      <c r="G111" s="2" t="n"/>
      <c r="H111" s="1" t="n"/>
    </row>
    <row r="112">
      <c r="A112" s="1" t="n"/>
      <c r="B112" s="25" t="n"/>
      <c r="C112" s="26" t="n"/>
      <c r="D112" s="63" t="n"/>
      <c r="E112" s="64">
        <f>IF(C112="","",IFERROR(INDEX(Effectif!$E$7:$E$21,MATCH(C112,Effectif!$C$7:$C$21,0)),""))</f>
        <v/>
      </c>
      <c r="F112" s="29">
        <f>IF(AND(ISNUMBER(D112),ISNUMBER(E112)),D112*E112,"")</f>
        <v/>
      </c>
      <c r="G112" s="2" t="n"/>
      <c r="H112" s="1" t="n"/>
    </row>
    <row r="113">
      <c r="A113" s="1" t="n"/>
      <c r="B113" s="25" t="n"/>
      <c r="C113" s="26" t="n"/>
      <c r="D113" s="63" t="n"/>
      <c r="E113" s="64">
        <f>IF(C113="","",IFERROR(INDEX(Effectif!$E$7:$E$21,MATCH(C113,Effectif!$C$7:$C$21,0)),""))</f>
        <v/>
      </c>
      <c r="F113" s="29">
        <f>IF(AND(ISNUMBER(D113),ISNUMBER(E113)),D113*E113,"")</f>
        <v/>
      </c>
      <c r="G113" s="2" t="n"/>
      <c r="H113" s="1" t="n"/>
    </row>
    <row r="114">
      <c r="A114" s="1" t="n"/>
      <c r="B114" s="25" t="n"/>
      <c r="C114" s="26" t="n"/>
      <c r="D114" s="63" t="n"/>
      <c r="E114" s="64">
        <f>IF(C114="","",IFERROR(INDEX(Effectif!$E$7:$E$21,MATCH(C114,Effectif!$C$7:$C$21,0)),""))</f>
        <v/>
      </c>
      <c r="F114" s="29">
        <f>IF(AND(ISNUMBER(D114),ISNUMBER(E114)),D114*E114,"")</f>
        <v/>
      </c>
      <c r="G114" s="2" t="n"/>
      <c r="H114" s="1" t="n"/>
    </row>
    <row r="115">
      <c r="A115" s="1" t="n"/>
      <c r="B115" s="25" t="n"/>
      <c r="C115" s="26" t="n"/>
      <c r="D115" s="63" t="n"/>
      <c r="E115" s="64">
        <f>IF(C115="","",IFERROR(INDEX(Effectif!$E$7:$E$21,MATCH(C115,Effectif!$C$7:$C$21,0)),""))</f>
        <v/>
      </c>
      <c r="F115" s="29">
        <f>IF(AND(ISNUMBER(D115),ISNUMBER(E115)),D115*E115,"")</f>
        <v/>
      </c>
      <c r="G115" s="2" t="n"/>
      <c r="H115" s="1" t="n"/>
    </row>
    <row r="116">
      <c r="A116" s="1" t="n"/>
      <c r="B116" s="25" t="n"/>
      <c r="C116" s="26" t="n"/>
      <c r="D116" s="63" t="n"/>
      <c r="E116" s="64">
        <f>IF(C116="","",IFERROR(INDEX(Effectif!$E$7:$E$21,MATCH(C116,Effectif!$C$7:$C$21,0)),""))</f>
        <v/>
      </c>
      <c r="F116" s="29">
        <f>IF(AND(ISNUMBER(D116),ISNUMBER(E116)),D116*E116,"")</f>
        <v/>
      </c>
      <c r="G116" s="2" t="n"/>
      <c r="H116" s="1" t="n"/>
    </row>
    <row r="117">
      <c r="A117" s="1" t="n"/>
      <c r="B117" s="25" t="n"/>
      <c r="C117" s="26" t="n"/>
      <c r="D117" s="63" t="n"/>
      <c r="E117" s="64">
        <f>IF(C117="","",IFERROR(INDEX(Effectif!$E$7:$E$21,MATCH(C117,Effectif!$C$7:$C$21,0)),""))</f>
        <v/>
      </c>
      <c r="F117" s="29">
        <f>IF(AND(ISNUMBER(D117),ISNUMBER(E117)),D117*E117,"")</f>
        <v/>
      </c>
      <c r="G117" s="2" t="n"/>
      <c r="H117" s="1" t="n"/>
    </row>
    <row r="118">
      <c r="A118" s="1" t="n"/>
      <c r="B118" s="25" t="n"/>
      <c r="C118" s="26" t="n"/>
      <c r="D118" s="63" t="n"/>
      <c r="E118" s="64">
        <f>IF(C118="","",IFERROR(INDEX(Effectif!$E$7:$E$21,MATCH(C118,Effectif!$C$7:$C$21,0)),""))</f>
        <v/>
      </c>
      <c r="F118" s="29">
        <f>IF(AND(ISNUMBER(D118),ISNUMBER(E118)),D118*E118,"")</f>
        <v/>
      </c>
      <c r="G118" s="2" t="n"/>
      <c r="H118" s="1" t="n"/>
    </row>
    <row r="119">
      <c r="A119" s="1" t="n"/>
      <c r="B119" s="25" t="n"/>
      <c r="C119" s="26" t="n"/>
      <c r="D119" s="63" t="n"/>
      <c r="E119" s="64">
        <f>IF(C119="","",IFERROR(INDEX(Effectif!$E$7:$E$21,MATCH(C119,Effectif!$C$7:$C$21,0)),""))</f>
        <v/>
      </c>
      <c r="F119" s="29">
        <f>IF(AND(ISNUMBER(D119),ISNUMBER(E119)),D119*E119,"")</f>
        <v/>
      </c>
      <c r="G119" s="2" t="n"/>
      <c r="H119" s="1" t="n"/>
    </row>
    <row r="120">
      <c r="A120" s="1" t="n"/>
      <c r="B120" s="25" t="n"/>
      <c r="C120" s="26" t="n"/>
      <c r="D120" s="63" t="n"/>
      <c r="E120" s="64">
        <f>IF(C120="","",IFERROR(INDEX(Effectif!$E$7:$E$21,MATCH(C120,Effectif!$C$7:$C$21,0)),""))</f>
        <v/>
      </c>
      <c r="F120" s="29">
        <f>IF(AND(ISNUMBER(D120),ISNUMBER(E120)),D120*E120,"")</f>
        <v/>
      </c>
      <c r="G120" s="2" t="n"/>
      <c r="H120" s="1" t="n"/>
    </row>
    <row r="121">
      <c r="A121" s="1" t="n"/>
      <c r="B121" s="25" t="n"/>
      <c r="C121" s="26" t="n"/>
      <c r="D121" s="63" t="n"/>
      <c r="E121" s="64">
        <f>IF(C121="","",IFERROR(INDEX(Effectif!$E$7:$E$21,MATCH(C121,Effectif!$C$7:$C$21,0)),""))</f>
        <v/>
      </c>
      <c r="F121" s="29">
        <f>IF(AND(ISNUMBER(D121),ISNUMBER(E121)),D121*E121,"")</f>
        <v/>
      </c>
      <c r="G121" s="2" t="n"/>
      <c r="H121" s="1" t="n"/>
    </row>
    <row r="122">
      <c r="A122" s="1" t="n"/>
      <c r="B122" s="25" t="n"/>
      <c r="C122" s="26" t="n"/>
      <c r="D122" s="63" t="n"/>
      <c r="E122" s="64">
        <f>IF(C122="","",IFERROR(INDEX(Effectif!$E$7:$E$21,MATCH(C122,Effectif!$C$7:$C$21,0)),""))</f>
        <v/>
      </c>
      <c r="F122" s="29">
        <f>IF(AND(ISNUMBER(D122),ISNUMBER(E122)),D122*E122,"")</f>
        <v/>
      </c>
      <c r="G122" s="2" t="n"/>
      <c r="H122" s="1" t="n"/>
    </row>
    <row r="123">
      <c r="A123" s="1" t="n"/>
      <c r="B123" s="25" t="n"/>
      <c r="C123" s="26" t="n"/>
      <c r="D123" s="63" t="n"/>
      <c r="E123" s="64">
        <f>IF(C123="","",IFERROR(INDEX(Effectif!$E$7:$E$21,MATCH(C123,Effectif!$C$7:$C$21,0)),""))</f>
        <v/>
      </c>
      <c r="F123" s="29">
        <f>IF(AND(ISNUMBER(D123),ISNUMBER(E123)),D123*E123,"")</f>
        <v/>
      </c>
      <c r="G123" s="2" t="n"/>
      <c r="H123" s="1" t="n"/>
    </row>
    <row r="124">
      <c r="A124" s="1" t="n"/>
      <c r="B124" s="25" t="n"/>
      <c r="C124" s="26" t="n"/>
      <c r="D124" s="63" t="n"/>
      <c r="E124" s="64">
        <f>IF(C124="","",IFERROR(INDEX(Effectif!$E$7:$E$21,MATCH(C124,Effectif!$C$7:$C$21,0)),""))</f>
        <v/>
      </c>
      <c r="F124" s="29">
        <f>IF(AND(ISNUMBER(D124),ISNUMBER(E124)),D124*E124,"")</f>
        <v/>
      </c>
      <c r="G124" s="2" t="n"/>
      <c r="H124" s="1" t="n"/>
    </row>
    <row r="125">
      <c r="A125" s="1" t="n"/>
      <c r="B125" s="25" t="n"/>
      <c r="C125" s="26" t="n"/>
      <c r="D125" s="63" t="n"/>
      <c r="E125" s="64">
        <f>IF(C125="","",IFERROR(INDEX(Effectif!$E$7:$E$21,MATCH(C125,Effectif!$C$7:$C$21,0)),""))</f>
        <v/>
      </c>
      <c r="F125" s="29">
        <f>IF(AND(ISNUMBER(D125),ISNUMBER(E125)),D125*E125,"")</f>
        <v/>
      </c>
      <c r="G125" s="2" t="n"/>
      <c r="H125" s="1" t="n"/>
    </row>
    <row r="126">
      <c r="A126" s="1" t="n"/>
      <c r="B126" s="25" t="n"/>
      <c r="C126" s="26" t="n"/>
      <c r="D126" s="63" t="n"/>
      <c r="E126" s="64">
        <f>IF(C126="","",IFERROR(INDEX(Effectif!$E$7:$E$21,MATCH(C126,Effectif!$C$7:$C$21,0)),""))</f>
        <v/>
      </c>
      <c r="F126" s="29">
        <f>IF(AND(ISNUMBER(D126),ISNUMBER(E126)),D126*E126,"")</f>
        <v/>
      </c>
      <c r="G126" s="2" t="n"/>
      <c r="H126" s="1" t="n"/>
    </row>
    <row r="127">
      <c r="A127" s="1" t="n"/>
      <c r="B127" s="25" t="n"/>
      <c r="C127" s="26" t="n"/>
      <c r="D127" s="63" t="n"/>
      <c r="E127" s="64">
        <f>IF(C127="","",IFERROR(INDEX(Effectif!$E$7:$E$21,MATCH(C127,Effectif!$C$7:$C$21,0)),""))</f>
        <v/>
      </c>
      <c r="F127" s="29">
        <f>IF(AND(ISNUMBER(D127),ISNUMBER(E127)),D127*E127,"")</f>
        <v/>
      </c>
      <c r="G127" s="2" t="n"/>
      <c r="H127" s="1" t="n"/>
    </row>
    <row r="128">
      <c r="A128" s="1" t="n"/>
      <c r="B128" s="25" t="n"/>
      <c r="C128" s="26" t="n"/>
      <c r="D128" s="63" t="n"/>
      <c r="E128" s="64">
        <f>IF(C128="","",IFERROR(INDEX(Effectif!$E$7:$E$21,MATCH(C128,Effectif!$C$7:$C$21,0)),""))</f>
        <v/>
      </c>
      <c r="F128" s="29">
        <f>IF(AND(ISNUMBER(D128),ISNUMBER(E128)),D128*E128,"")</f>
        <v/>
      </c>
      <c r="G128" s="2" t="n"/>
      <c r="H128" s="1" t="n"/>
    </row>
    <row r="129">
      <c r="A129" s="1" t="n"/>
      <c r="B129" s="25" t="n"/>
      <c r="C129" s="26" t="n"/>
      <c r="D129" s="63" t="n"/>
      <c r="E129" s="64">
        <f>IF(C129="","",IFERROR(INDEX(Effectif!$E$7:$E$21,MATCH(C129,Effectif!$C$7:$C$21,0)),""))</f>
        <v/>
      </c>
      <c r="F129" s="29">
        <f>IF(AND(ISNUMBER(D129),ISNUMBER(E129)),D129*E129,"")</f>
        <v/>
      </c>
      <c r="G129" s="2" t="n"/>
      <c r="H129" s="1" t="n"/>
    </row>
    <row r="130">
      <c r="A130" s="1" t="n"/>
      <c r="B130" s="25" t="n"/>
      <c r="C130" s="26" t="n"/>
      <c r="D130" s="63" t="n"/>
      <c r="E130" s="64">
        <f>IF(C130="","",IFERROR(INDEX(Effectif!$E$7:$E$21,MATCH(C130,Effectif!$C$7:$C$21,0)),""))</f>
        <v/>
      </c>
      <c r="F130" s="29">
        <f>IF(AND(ISNUMBER(D130),ISNUMBER(E130)),D130*E130,"")</f>
        <v/>
      </c>
      <c r="G130" s="2" t="n"/>
      <c r="H130" s="1" t="n"/>
    </row>
    <row r="131">
      <c r="A131" s="1" t="n"/>
      <c r="B131" s="25" t="n"/>
      <c r="C131" s="26" t="n"/>
      <c r="D131" s="63" t="n"/>
      <c r="E131" s="64">
        <f>IF(C131="","",IFERROR(INDEX(Effectif!$E$7:$E$21,MATCH(C131,Effectif!$C$7:$C$21,0)),""))</f>
        <v/>
      </c>
      <c r="F131" s="29">
        <f>IF(AND(ISNUMBER(D131),ISNUMBER(E131)),D131*E131,"")</f>
        <v/>
      </c>
      <c r="G131" s="2" t="n"/>
      <c r="H131" s="1" t="n"/>
    </row>
    <row r="132">
      <c r="A132" s="1" t="n"/>
      <c r="B132" s="25" t="n"/>
      <c r="C132" s="26" t="n"/>
      <c r="D132" s="63" t="n"/>
      <c r="E132" s="64">
        <f>IF(C132="","",IFERROR(INDEX(Effectif!$E$7:$E$21,MATCH(C132,Effectif!$C$7:$C$21,0)),""))</f>
        <v/>
      </c>
      <c r="F132" s="29">
        <f>IF(AND(ISNUMBER(D132),ISNUMBER(E132)),D132*E132,"")</f>
        <v/>
      </c>
      <c r="G132" s="2" t="n"/>
      <c r="H132" s="1" t="n"/>
    </row>
    <row r="133">
      <c r="A133" s="1" t="n"/>
      <c r="B133" s="25" t="n"/>
      <c r="C133" s="26" t="n"/>
      <c r="D133" s="63" t="n"/>
      <c r="E133" s="64">
        <f>IF(C133="","",IFERROR(INDEX(Effectif!$E$7:$E$21,MATCH(C133,Effectif!$C$7:$C$21,0)),""))</f>
        <v/>
      </c>
      <c r="F133" s="29">
        <f>IF(AND(ISNUMBER(D133),ISNUMBER(E133)),D133*E133,"")</f>
        <v/>
      </c>
      <c r="G133" s="2" t="n"/>
      <c r="H133" s="1" t="n"/>
    </row>
    <row r="134">
      <c r="A134" s="1" t="n"/>
      <c r="B134" s="25" t="n"/>
      <c r="C134" s="26" t="n"/>
      <c r="D134" s="63" t="n"/>
      <c r="E134" s="64">
        <f>IF(C134="","",IFERROR(INDEX(Effectif!$E$7:$E$21,MATCH(C134,Effectif!$C$7:$C$21,0)),""))</f>
        <v/>
      </c>
      <c r="F134" s="29">
        <f>IF(AND(ISNUMBER(D134),ISNUMBER(E134)),D134*E134,"")</f>
        <v/>
      </c>
      <c r="G134" s="2" t="n"/>
      <c r="H134" s="1" t="n"/>
    </row>
    <row r="135">
      <c r="A135" s="1" t="n"/>
      <c r="B135" s="25" t="n"/>
      <c r="C135" s="26" t="n"/>
      <c r="D135" s="63" t="n"/>
      <c r="E135" s="64">
        <f>IF(C135="","",IFERROR(INDEX(Effectif!$E$7:$E$21,MATCH(C135,Effectif!$C$7:$C$21,0)),""))</f>
        <v/>
      </c>
      <c r="F135" s="29">
        <f>IF(AND(ISNUMBER(D135),ISNUMBER(E135)),D135*E135,"")</f>
        <v/>
      </c>
      <c r="G135" s="2" t="n"/>
      <c r="H135" s="1" t="n"/>
    </row>
    <row r="136">
      <c r="A136" s="1" t="n"/>
      <c r="B136" s="25" t="n"/>
      <c r="C136" s="26" t="n"/>
      <c r="D136" s="63" t="n"/>
      <c r="E136" s="64">
        <f>IF(C136="","",IFERROR(INDEX(Effectif!$E$7:$E$21,MATCH(C136,Effectif!$C$7:$C$21,0)),""))</f>
        <v/>
      </c>
      <c r="F136" s="29">
        <f>IF(AND(ISNUMBER(D136),ISNUMBER(E136)),D136*E136,"")</f>
        <v/>
      </c>
      <c r="G136" s="2" t="n"/>
      <c r="H136" s="1" t="n"/>
    </row>
    <row r="137">
      <c r="A137" s="1" t="n"/>
      <c r="B137" s="25" t="n"/>
      <c r="C137" s="26" t="n"/>
      <c r="D137" s="63" t="n"/>
      <c r="E137" s="64">
        <f>IF(C137="","",IFERROR(INDEX(Effectif!$E$7:$E$21,MATCH(C137,Effectif!$C$7:$C$21,0)),""))</f>
        <v/>
      </c>
      <c r="F137" s="29">
        <f>IF(AND(ISNUMBER(D137),ISNUMBER(E137)),D137*E137,"")</f>
        <v/>
      </c>
      <c r="G137" s="2" t="n"/>
      <c r="H137" s="1" t="n"/>
    </row>
    <row r="138">
      <c r="A138" s="1" t="n"/>
      <c r="B138" s="25" t="n"/>
      <c r="C138" s="26" t="n"/>
      <c r="D138" s="63" t="n"/>
      <c r="E138" s="64">
        <f>IF(C138="","",IFERROR(INDEX(Effectif!$E$7:$E$21,MATCH(C138,Effectif!$C$7:$C$21,0)),""))</f>
        <v/>
      </c>
      <c r="F138" s="29">
        <f>IF(AND(ISNUMBER(D138),ISNUMBER(E138)),D138*E138,"")</f>
        <v/>
      </c>
      <c r="G138" s="2" t="n"/>
      <c r="H138" s="1" t="n"/>
    </row>
    <row r="139">
      <c r="A139" s="1" t="n"/>
      <c r="B139" s="25" t="n"/>
      <c r="C139" s="26" t="n"/>
      <c r="D139" s="63" t="n"/>
      <c r="E139" s="64">
        <f>IF(C139="","",IFERROR(INDEX(Effectif!$E$7:$E$21,MATCH(C139,Effectif!$C$7:$C$21,0)),""))</f>
        <v/>
      </c>
      <c r="F139" s="29">
        <f>IF(AND(ISNUMBER(D139),ISNUMBER(E139)),D139*E139,"")</f>
        <v/>
      </c>
      <c r="G139" s="2" t="n"/>
      <c r="H139" s="1" t="n"/>
    </row>
    <row r="140">
      <c r="A140" s="1" t="n"/>
      <c r="B140" s="25" t="n"/>
      <c r="C140" s="26" t="n"/>
      <c r="D140" s="63" t="n"/>
      <c r="E140" s="64">
        <f>IF(C140="","",IFERROR(INDEX(Effectif!$E$7:$E$21,MATCH(C140,Effectif!$C$7:$C$21,0)),""))</f>
        <v/>
      </c>
      <c r="F140" s="29">
        <f>IF(AND(ISNUMBER(D140),ISNUMBER(E140)),D140*E140,"")</f>
        <v/>
      </c>
      <c r="G140" s="2" t="n"/>
      <c r="H140" s="1" t="n"/>
    </row>
    <row r="141">
      <c r="A141" s="1" t="n"/>
      <c r="B141" s="25" t="n"/>
      <c r="C141" s="26" t="n"/>
      <c r="D141" s="63" t="n"/>
      <c r="E141" s="64">
        <f>IF(C141="","",IFERROR(INDEX(Effectif!$E$7:$E$21,MATCH(C141,Effectif!$C$7:$C$21,0)),""))</f>
        <v/>
      </c>
      <c r="F141" s="29">
        <f>IF(AND(ISNUMBER(D141),ISNUMBER(E141)),D141*E141,"")</f>
        <v/>
      </c>
      <c r="G141" s="2" t="n"/>
      <c r="H141" s="1" t="n"/>
    </row>
    <row r="142">
      <c r="A142" s="1" t="n"/>
      <c r="B142" s="25" t="n"/>
      <c r="C142" s="26" t="n"/>
      <c r="D142" s="63" t="n"/>
      <c r="E142" s="64">
        <f>IF(C142="","",IFERROR(INDEX(Effectif!$E$7:$E$21,MATCH(C142,Effectif!$C$7:$C$21,0)),""))</f>
        <v/>
      </c>
      <c r="F142" s="29">
        <f>IF(AND(ISNUMBER(D142),ISNUMBER(E142)),D142*E142,"")</f>
        <v/>
      </c>
      <c r="G142" s="2" t="n"/>
      <c r="H142" s="1" t="n"/>
    </row>
    <row r="143">
      <c r="A143" s="1" t="n"/>
      <c r="B143" s="25" t="n"/>
      <c r="C143" s="26" t="n"/>
      <c r="D143" s="63" t="n"/>
      <c r="E143" s="64">
        <f>IF(C143="","",IFERROR(INDEX(Effectif!$E$7:$E$21,MATCH(C143,Effectif!$C$7:$C$21,0)),""))</f>
        <v/>
      </c>
      <c r="F143" s="29">
        <f>IF(AND(ISNUMBER(D143),ISNUMBER(E143)),D143*E143,"")</f>
        <v/>
      </c>
      <c r="G143" s="2" t="n"/>
      <c r="H143" s="1" t="n"/>
    </row>
    <row r="144">
      <c r="A144" s="1" t="n"/>
      <c r="B144" s="25" t="n"/>
      <c r="C144" s="26" t="n"/>
      <c r="D144" s="63" t="n"/>
      <c r="E144" s="64">
        <f>IF(C144="","",IFERROR(INDEX(Effectif!$E$7:$E$21,MATCH(C144,Effectif!$C$7:$C$21,0)),""))</f>
        <v/>
      </c>
      <c r="F144" s="29">
        <f>IF(AND(ISNUMBER(D144),ISNUMBER(E144)),D144*E144,"")</f>
        <v/>
      </c>
      <c r="G144" s="2" t="n"/>
      <c r="H144" s="1" t="n"/>
    </row>
    <row r="145">
      <c r="A145" s="1" t="n"/>
      <c r="B145" s="25" t="n"/>
      <c r="C145" s="26" t="n"/>
      <c r="D145" s="63" t="n"/>
      <c r="E145" s="64">
        <f>IF(C145="","",IFERROR(INDEX(Effectif!$E$7:$E$21,MATCH(C145,Effectif!$C$7:$C$21,0)),""))</f>
        <v/>
      </c>
      <c r="F145" s="29">
        <f>IF(AND(ISNUMBER(D145),ISNUMBER(E145)),D145*E145,"")</f>
        <v/>
      </c>
      <c r="G145" s="2" t="n"/>
      <c r="H145" s="1" t="n"/>
    </row>
    <row r="146">
      <c r="A146" s="1" t="n"/>
      <c r="B146" s="25" t="n"/>
      <c r="C146" s="26" t="n"/>
      <c r="D146" s="63" t="n"/>
      <c r="E146" s="64">
        <f>IF(C146="","",IFERROR(INDEX(Effectif!$E$7:$E$21,MATCH(C146,Effectif!$C$7:$C$21,0)),""))</f>
        <v/>
      </c>
      <c r="F146" s="29">
        <f>IF(AND(ISNUMBER(D146),ISNUMBER(E146)),D146*E146,"")</f>
        <v/>
      </c>
      <c r="G146" s="2" t="n"/>
      <c r="H146" s="1" t="n"/>
    </row>
    <row r="147">
      <c r="A147" s="1" t="n"/>
      <c r="B147" s="25" t="n"/>
      <c r="C147" s="26" t="n"/>
      <c r="D147" s="63" t="n"/>
      <c r="E147" s="64">
        <f>IF(C147="","",IFERROR(INDEX(Effectif!$E$7:$E$21,MATCH(C147,Effectif!$C$7:$C$21,0)),""))</f>
        <v/>
      </c>
      <c r="F147" s="29">
        <f>IF(AND(ISNUMBER(D147),ISNUMBER(E147)),D147*E147,"")</f>
        <v/>
      </c>
      <c r="G147" s="2" t="n"/>
      <c r="H147" s="1" t="n"/>
    </row>
    <row r="148">
      <c r="A148" s="1" t="n"/>
      <c r="B148" s="25" t="n"/>
      <c r="C148" s="26" t="n"/>
      <c r="D148" s="63" t="n"/>
      <c r="E148" s="64">
        <f>IF(C148="","",IFERROR(INDEX(Effectif!$E$7:$E$21,MATCH(C148,Effectif!$C$7:$C$21,0)),""))</f>
        <v/>
      </c>
      <c r="F148" s="29">
        <f>IF(AND(ISNUMBER(D148),ISNUMBER(E148)),D148*E148,"")</f>
        <v/>
      </c>
      <c r="G148" s="2" t="n"/>
      <c r="H148" s="1" t="n"/>
    </row>
    <row r="149">
      <c r="A149" s="1" t="n"/>
      <c r="B149" s="25" t="n"/>
      <c r="C149" s="26" t="n"/>
      <c r="D149" s="63" t="n"/>
      <c r="E149" s="64">
        <f>IF(C149="","",IFERROR(INDEX(Effectif!$E$7:$E$21,MATCH(C149,Effectif!$C$7:$C$21,0)),""))</f>
        <v/>
      </c>
      <c r="F149" s="29">
        <f>IF(AND(ISNUMBER(D149),ISNUMBER(E149)),D149*E149,"")</f>
        <v/>
      </c>
      <c r="G149" s="2" t="n"/>
      <c r="H149" s="1" t="n"/>
    </row>
    <row r="150">
      <c r="A150" s="1" t="n"/>
      <c r="B150" s="25" t="n"/>
      <c r="C150" s="26" t="n"/>
      <c r="D150" s="63" t="n"/>
      <c r="E150" s="64">
        <f>IF(C150="","",IFERROR(INDEX(Effectif!$E$7:$E$21,MATCH(C150,Effectif!$C$7:$C$21,0)),""))</f>
        <v/>
      </c>
      <c r="F150" s="29">
        <f>IF(AND(ISNUMBER(D150),ISNUMBER(E150)),D150*E150,"")</f>
        <v/>
      </c>
      <c r="G150" s="2" t="n"/>
      <c r="H150" s="1" t="n"/>
    </row>
    <row r="151">
      <c r="A151" s="1" t="n"/>
      <c r="B151" s="25" t="n"/>
      <c r="C151" s="26" t="n"/>
      <c r="D151" s="63" t="n"/>
      <c r="E151" s="64">
        <f>IF(C151="","",IFERROR(INDEX(Effectif!$E$7:$E$21,MATCH(C151,Effectif!$C$7:$C$21,0)),""))</f>
        <v/>
      </c>
      <c r="F151" s="29">
        <f>IF(AND(ISNUMBER(D151),ISNUMBER(E151)),D151*E151,"")</f>
        <v/>
      </c>
      <c r="G151" s="2" t="n"/>
      <c r="H151" s="1" t="n"/>
    </row>
    <row r="152">
      <c r="A152" s="1" t="n"/>
      <c r="B152" s="25" t="n"/>
      <c r="C152" s="26" t="n"/>
      <c r="D152" s="63" t="n"/>
      <c r="E152" s="64">
        <f>IF(C152="","",IFERROR(INDEX(Effectif!$E$7:$E$21,MATCH(C152,Effectif!$C$7:$C$21,0)),""))</f>
        <v/>
      </c>
      <c r="F152" s="29">
        <f>IF(AND(ISNUMBER(D152),ISNUMBER(E152)),D152*E152,"")</f>
        <v/>
      </c>
      <c r="G152" s="2" t="n"/>
      <c r="H152" s="1" t="n"/>
    </row>
    <row r="153">
      <c r="A153" s="1" t="n"/>
      <c r="B153" s="25" t="n"/>
      <c r="C153" s="26" t="n"/>
      <c r="D153" s="63" t="n"/>
      <c r="E153" s="64">
        <f>IF(C153="","",IFERROR(INDEX(Effectif!$E$7:$E$21,MATCH(C153,Effectif!$C$7:$C$21,0)),""))</f>
        <v/>
      </c>
      <c r="F153" s="29">
        <f>IF(AND(ISNUMBER(D153),ISNUMBER(E153)),D153*E153,"")</f>
        <v/>
      </c>
      <c r="G153" s="2" t="n"/>
      <c r="H153" s="1" t="n"/>
    </row>
    <row r="154">
      <c r="A154" s="1" t="n"/>
      <c r="B154" s="25" t="n"/>
      <c r="C154" s="26" t="n"/>
      <c r="D154" s="63" t="n"/>
      <c r="E154" s="64">
        <f>IF(C154="","",IFERROR(INDEX(Effectif!$E$7:$E$21,MATCH(C154,Effectif!$C$7:$C$21,0)),""))</f>
        <v/>
      </c>
      <c r="F154" s="29">
        <f>IF(AND(ISNUMBER(D154),ISNUMBER(E154)),D154*E154,"")</f>
        <v/>
      </c>
      <c r="G154" s="2" t="n"/>
      <c r="H154" s="1" t="n"/>
    </row>
    <row r="155">
      <c r="A155" s="1" t="n"/>
      <c r="B155" s="25" t="n"/>
      <c r="C155" s="26" t="n"/>
      <c r="D155" s="63" t="n"/>
      <c r="E155" s="64">
        <f>IF(C155="","",IFERROR(INDEX(Effectif!$E$7:$E$21,MATCH(C155,Effectif!$C$7:$C$21,0)),""))</f>
        <v/>
      </c>
      <c r="F155" s="29">
        <f>IF(AND(ISNUMBER(D155),ISNUMBER(E155)),D155*E155,"")</f>
        <v/>
      </c>
      <c r="G155" s="2" t="n"/>
      <c r="H155" s="1" t="n"/>
    </row>
    <row r="156">
      <c r="A156" s="1" t="n"/>
      <c r="B156" s="25" t="n"/>
      <c r="C156" s="26" t="n"/>
      <c r="D156" s="63" t="n"/>
      <c r="E156" s="64">
        <f>IF(C156="","",IFERROR(INDEX(Effectif!$E$7:$E$21,MATCH(C156,Effectif!$C$7:$C$21,0)),""))</f>
        <v/>
      </c>
      <c r="F156" s="29">
        <f>IF(AND(ISNUMBER(D156),ISNUMBER(E156)),D156*E156,"")</f>
        <v/>
      </c>
      <c r="G156" s="2" t="n"/>
      <c r="H156" s="1" t="n"/>
    </row>
    <row r="157">
      <c r="A157" s="1" t="n"/>
      <c r="B157" s="25" t="n"/>
      <c r="C157" s="26" t="n"/>
      <c r="D157" s="63" t="n"/>
      <c r="E157" s="64">
        <f>IF(C157="","",IFERROR(INDEX(Effectif!$E$7:$E$21,MATCH(C157,Effectif!$C$7:$C$21,0)),""))</f>
        <v/>
      </c>
      <c r="F157" s="29">
        <f>IF(AND(ISNUMBER(D157),ISNUMBER(E157)),D157*E157,"")</f>
        <v/>
      </c>
      <c r="G157" s="2" t="n"/>
      <c r="H157" s="1" t="n"/>
    </row>
    <row r="158">
      <c r="A158" s="1" t="n"/>
      <c r="B158" s="25" t="n"/>
      <c r="C158" s="26" t="n"/>
      <c r="D158" s="63" t="n"/>
      <c r="E158" s="64">
        <f>IF(C158="","",IFERROR(INDEX(Effectif!$E$7:$E$21,MATCH(C158,Effectif!$C$7:$C$21,0)),""))</f>
        <v/>
      </c>
      <c r="F158" s="29">
        <f>IF(AND(ISNUMBER(D158),ISNUMBER(E158)),D158*E158,"")</f>
        <v/>
      </c>
      <c r="G158" s="2" t="n"/>
      <c r="H158" s="1" t="n"/>
    </row>
    <row r="159">
      <c r="A159" s="1" t="n"/>
      <c r="B159" s="25" t="n"/>
      <c r="C159" s="26" t="n"/>
      <c r="D159" s="63" t="n"/>
      <c r="E159" s="64">
        <f>IF(C159="","",IFERROR(INDEX(Effectif!$E$7:$E$21,MATCH(C159,Effectif!$C$7:$C$21,0)),""))</f>
        <v/>
      </c>
      <c r="F159" s="29">
        <f>IF(AND(ISNUMBER(D159),ISNUMBER(E159)),D159*E159,"")</f>
        <v/>
      </c>
      <c r="G159" s="2" t="n"/>
      <c r="H159" s="1" t="n"/>
    </row>
    <row r="160">
      <c r="A160" s="1" t="n"/>
      <c r="B160" s="25" t="n"/>
      <c r="C160" s="26" t="n"/>
      <c r="D160" s="63" t="n"/>
      <c r="E160" s="64">
        <f>IF(C160="","",IFERROR(INDEX(Effectif!$E$7:$E$21,MATCH(C160,Effectif!$C$7:$C$21,0)),""))</f>
        <v/>
      </c>
      <c r="F160" s="29">
        <f>IF(AND(ISNUMBER(D160),ISNUMBER(E160)),D160*E160,"")</f>
        <v/>
      </c>
      <c r="G160" s="2" t="n"/>
      <c r="H160" s="1" t="n"/>
    </row>
    <row r="161">
      <c r="A161" s="1" t="n"/>
      <c r="B161" s="25" t="n"/>
      <c r="C161" s="26" t="n"/>
      <c r="D161" s="63" t="n"/>
      <c r="E161" s="64">
        <f>IF(C161="","",IFERROR(INDEX(Effectif!$E$7:$E$21,MATCH(C161,Effectif!$C$7:$C$21,0)),""))</f>
        <v/>
      </c>
      <c r="F161" s="29">
        <f>IF(AND(ISNUMBER(D161),ISNUMBER(E161)),D161*E161,"")</f>
        <v/>
      </c>
      <c r="G161" s="2" t="n"/>
      <c r="H161" s="1" t="n"/>
    </row>
    <row r="162">
      <c r="A162" s="1" t="n"/>
      <c r="B162" s="25" t="n"/>
      <c r="C162" s="26" t="n"/>
      <c r="D162" s="63" t="n"/>
      <c r="E162" s="64">
        <f>IF(C162="","",IFERROR(INDEX(Effectif!$E$7:$E$21,MATCH(C162,Effectif!$C$7:$C$21,0)),""))</f>
        <v/>
      </c>
      <c r="F162" s="29">
        <f>IF(AND(ISNUMBER(D162),ISNUMBER(E162)),D162*E162,"")</f>
        <v/>
      </c>
      <c r="G162" s="2" t="n"/>
      <c r="H162" s="1" t="n"/>
    </row>
    <row r="163">
      <c r="A163" s="1" t="n"/>
      <c r="B163" s="25" t="n"/>
      <c r="C163" s="26" t="n"/>
      <c r="D163" s="63" t="n"/>
      <c r="E163" s="64">
        <f>IF(C163="","",IFERROR(INDEX(Effectif!$E$7:$E$21,MATCH(C163,Effectif!$C$7:$C$21,0)),""))</f>
        <v/>
      </c>
      <c r="F163" s="29">
        <f>IF(AND(ISNUMBER(D163),ISNUMBER(E163)),D163*E163,"")</f>
        <v/>
      </c>
      <c r="G163" s="2" t="n"/>
      <c r="H163" s="1" t="n"/>
    </row>
    <row r="164">
      <c r="A164" s="1" t="n"/>
      <c r="B164" s="25" t="n"/>
      <c r="C164" s="26" t="n"/>
      <c r="D164" s="63" t="n"/>
      <c r="E164" s="64">
        <f>IF(C164="","",IFERROR(INDEX(Effectif!$E$7:$E$21,MATCH(C164,Effectif!$C$7:$C$21,0)),""))</f>
        <v/>
      </c>
      <c r="F164" s="29">
        <f>IF(AND(ISNUMBER(D164),ISNUMBER(E164)),D164*E164,"")</f>
        <v/>
      </c>
      <c r="G164" s="2" t="n"/>
      <c r="H164" s="1" t="n"/>
    </row>
    <row r="165">
      <c r="A165" s="1" t="n"/>
      <c r="B165" s="25" t="n"/>
      <c r="C165" s="26" t="n"/>
      <c r="D165" s="63" t="n"/>
      <c r="E165" s="64">
        <f>IF(C165="","",IFERROR(INDEX(Effectif!$E$7:$E$21,MATCH(C165,Effectif!$C$7:$C$21,0)),""))</f>
        <v/>
      </c>
      <c r="F165" s="29">
        <f>IF(AND(ISNUMBER(D165),ISNUMBER(E165)),D165*E165,"")</f>
        <v/>
      </c>
      <c r="G165" s="2" t="n"/>
      <c r="H165" s="1" t="n"/>
    </row>
    <row r="166">
      <c r="A166" s="1" t="n"/>
      <c r="B166" s="25" t="n"/>
      <c r="C166" s="26" t="n"/>
      <c r="D166" s="63" t="n"/>
      <c r="E166" s="64">
        <f>IF(C166="","",IFERROR(INDEX(Effectif!$E$7:$E$21,MATCH(C166,Effectif!$C$7:$C$21,0)),""))</f>
        <v/>
      </c>
      <c r="F166" s="29">
        <f>IF(AND(ISNUMBER(D166),ISNUMBER(E166)),D166*E166,"")</f>
        <v/>
      </c>
      <c r="G166" s="2" t="n"/>
      <c r="H166" s="1" t="n"/>
    </row>
    <row r="167">
      <c r="A167" s="1" t="n"/>
      <c r="B167" s="25" t="n"/>
      <c r="C167" s="26" t="n"/>
      <c r="D167" s="63" t="n"/>
      <c r="E167" s="64">
        <f>IF(C167="","",IFERROR(INDEX(Effectif!$E$7:$E$21,MATCH(C167,Effectif!$C$7:$C$21,0)),""))</f>
        <v/>
      </c>
      <c r="F167" s="29">
        <f>IF(AND(ISNUMBER(D167),ISNUMBER(E167)),D167*E167,"")</f>
        <v/>
      </c>
      <c r="G167" s="2" t="n"/>
      <c r="H167" s="1" t="n"/>
    </row>
    <row r="168">
      <c r="A168" s="1" t="n"/>
      <c r="B168" s="25" t="n"/>
      <c r="C168" s="26" t="n"/>
      <c r="D168" s="63" t="n"/>
      <c r="E168" s="64">
        <f>IF(C168="","",IFERROR(INDEX(Effectif!$E$7:$E$21,MATCH(C168,Effectif!$C$7:$C$21,0)),""))</f>
        <v/>
      </c>
      <c r="F168" s="29">
        <f>IF(AND(ISNUMBER(D168),ISNUMBER(E168)),D168*E168,"")</f>
        <v/>
      </c>
      <c r="G168" s="2" t="n"/>
      <c r="H168" s="1" t="n"/>
    </row>
    <row r="169">
      <c r="A169" s="1" t="n"/>
      <c r="B169" s="25" t="n"/>
      <c r="C169" s="26" t="n"/>
      <c r="D169" s="63" t="n"/>
      <c r="E169" s="64">
        <f>IF(C169="","",IFERROR(INDEX(Effectif!$E$7:$E$21,MATCH(C169,Effectif!$C$7:$C$21,0)),""))</f>
        <v/>
      </c>
      <c r="F169" s="29">
        <f>IF(AND(ISNUMBER(D169),ISNUMBER(E169)),D169*E169,"")</f>
        <v/>
      </c>
      <c r="G169" s="2" t="n"/>
      <c r="H169" s="1" t="n"/>
    </row>
    <row r="170">
      <c r="A170" s="1" t="n"/>
      <c r="B170" s="25" t="n"/>
      <c r="C170" s="26" t="n"/>
      <c r="D170" s="63" t="n"/>
      <c r="E170" s="64">
        <f>IF(C170="","",IFERROR(INDEX(Effectif!$E$7:$E$21,MATCH(C170,Effectif!$C$7:$C$21,0)),""))</f>
        <v/>
      </c>
      <c r="F170" s="29">
        <f>IF(AND(ISNUMBER(D170),ISNUMBER(E170)),D170*E170,"")</f>
        <v/>
      </c>
      <c r="G170" s="2" t="n"/>
      <c r="H170" s="1" t="n"/>
    </row>
    <row r="171">
      <c r="A171" s="1" t="n"/>
      <c r="B171" s="25" t="n"/>
      <c r="C171" s="26" t="n"/>
      <c r="D171" s="63" t="n"/>
      <c r="E171" s="64">
        <f>IF(C171="","",IFERROR(INDEX(Effectif!$E$7:$E$21,MATCH(C171,Effectif!$C$7:$C$21,0)),""))</f>
        <v/>
      </c>
      <c r="F171" s="29">
        <f>IF(AND(ISNUMBER(D171),ISNUMBER(E171)),D171*E171,"")</f>
        <v/>
      </c>
      <c r="G171" s="2" t="n"/>
      <c r="H171" s="1" t="n"/>
    </row>
    <row r="172">
      <c r="A172" s="1" t="n"/>
      <c r="B172" s="25" t="n"/>
      <c r="C172" s="26" t="n"/>
      <c r="D172" s="63" t="n"/>
      <c r="E172" s="64">
        <f>IF(C172="","",IFERROR(INDEX(Effectif!$E$7:$E$21,MATCH(C172,Effectif!$C$7:$C$21,0)),""))</f>
        <v/>
      </c>
      <c r="F172" s="29">
        <f>IF(AND(ISNUMBER(D172),ISNUMBER(E172)),D172*E172,"")</f>
        <v/>
      </c>
      <c r="G172" s="2" t="n"/>
      <c r="H172" s="1" t="n"/>
    </row>
    <row r="173">
      <c r="A173" s="1" t="n"/>
      <c r="B173" s="25" t="n"/>
      <c r="C173" s="26" t="n"/>
      <c r="D173" s="63" t="n"/>
      <c r="E173" s="64">
        <f>IF(C173="","",IFERROR(INDEX(Effectif!$E$7:$E$21,MATCH(C173,Effectif!$C$7:$C$21,0)),""))</f>
        <v/>
      </c>
      <c r="F173" s="29">
        <f>IF(AND(ISNUMBER(D173),ISNUMBER(E173)),D173*E173,"")</f>
        <v/>
      </c>
      <c r="G173" s="2" t="n"/>
      <c r="H173" s="1" t="n"/>
    </row>
    <row r="174">
      <c r="A174" s="1" t="n"/>
      <c r="B174" s="25" t="n"/>
      <c r="C174" s="26" t="n"/>
      <c r="D174" s="63" t="n"/>
      <c r="E174" s="64">
        <f>IF(C174="","",IFERROR(INDEX(Effectif!$E$7:$E$21,MATCH(C174,Effectif!$C$7:$C$21,0)),""))</f>
        <v/>
      </c>
      <c r="F174" s="29">
        <f>IF(AND(ISNUMBER(D174),ISNUMBER(E174)),D174*E174,"")</f>
        <v/>
      </c>
      <c r="G174" s="2" t="n"/>
      <c r="H174" s="1" t="n"/>
    </row>
    <row r="175">
      <c r="A175" s="1" t="n"/>
      <c r="B175" s="25" t="n"/>
      <c r="C175" s="26" t="n"/>
      <c r="D175" s="63" t="n"/>
      <c r="E175" s="64">
        <f>IF(C175="","",IFERROR(INDEX(Effectif!$E$7:$E$21,MATCH(C175,Effectif!$C$7:$C$21,0)),""))</f>
        <v/>
      </c>
      <c r="F175" s="29">
        <f>IF(AND(ISNUMBER(D175),ISNUMBER(E175)),D175*E175,"")</f>
        <v/>
      </c>
      <c r="G175" s="2" t="n"/>
      <c r="H175" s="1" t="n"/>
    </row>
    <row r="176">
      <c r="A176" s="1" t="n"/>
      <c r="B176" s="25" t="n"/>
      <c r="C176" s="26" t="n"/>
      <c r="D176" s="63" t="n"/>
      <c r="E176" s="64">
        <f>IF(C176="","",IFERROR(INDEX(Effectif!$E$7:$E$21,MATCH(C176,Effectif!$C$7:$C$21,0)),""))</f>
        <v/>
      </c>
      <c r="F176" s="29">
        <f>IF(AND(ISNUMBER(D176),ISNUMBER(E176)),D176*E176,"")</f>
        <v/>
      </c>
      <c r="G176" s="2" t="n"/>
      <c r="H176" s="1" t="n"/>
    </row>
    <row r="177">
      <c r="A177" s="1" t="n"/>
      <c r="B177" s="25" t="n"/>
      <c r="C177" s="26" t="n"/>
      <c r="D177" s="63" t="n"/>
      <c r="E177" s="64">
        <f>IF(C177="","",IFERROR(INDEX(Effectif!$E$7:$E$21,MATCH(C177,Effectif!$C$7:$C$21,0)),""))</f>
        <v/>
      </c>
      <c r="F177" s="29">
        <f>IF(AND(ISNUMBER(D177),ISNUMBER(E177)),D177*E177,"")</f>
        <v/>
      </c>
      <c r="G177" s="2" t="n"/>
      <c r="H177" s="1" t="n"/>
    </row>
    <row r="178">
      <c r="A178" s="1" t="n"/>
      <c r="B178" s="25" t="n"/>
      <c r="C178" s="26" t="n"/>
      <c r="D178" s="63" t="n"/>
      <c r="E178" s="64">
        <f>IF(C178="","",IFERROR(INDEX(Effectif!$E$7:$E$21,MATCH(C178,Effectif!$C$7:$C$21,0)),""))</f>
        <v/>
      </c>
      <c r="F178" s="29">
        <f>IF(AND(ISNUMBER(D178),ISNUMBER(E178)),D178*E178,"")</f>
        <v/>
      </c>
      <c r="G178" s="2" t="n"/>
      <c r="H178" s="1" t="n"/>
    </row>
    <row r="179">
      <c r="A179" s="1" t="n"/>
      <c r="B179" s="25" t="n"/>
      <c r="C179" s="26" t="n"/>
      <c r="D179" s="63" t="n"/>
      <c r="E179" s="64">
        <f>IF(C179="","",IFERROR(INDEX(Effectif!$E$7:$E$21,MATCH(C179,Effectif!$C$7:$C$21,0)),""))</f>
        <v/>
      </c>
      <c r="F179" s="29">
        <f>IF(AND(ISNUMBER(D179),ISNUMBER(E179)),D179*E179,"")</f>
        <v/>
      </c>
      <c r="G179" s="2" t="n"/>
      <c r="H179" s="1" t="n"/>
    </row>
    <row r="180">
      <c r="A180" s="1" t="n"/>
      <c r="B180" s="25" t="n"/>
      <c r="C180" s="26" t="n"/>
      <c r="D180" s="63" t="n"/>
      <c r="E180" s="64">
        <f>IF(C180="","",IFERROR(INDEX(Effectif!$E$7:$E$21,MATCH(C180,Effectif!$C$7:$C$21,0)),""))</f>
        <v/>
      </c>
      <c r="F180" s="29">
        <f>IF(AND(ISNUMBER(D180),ISNUMBER(E180)),D180*E180,"")</f>
        <v/>
      </c>
      <c r="G180" s="2" t="n"/>
      <c r="H180" s="1" t="n"/>
    </row>
    <row r="181">
      <c r="A181" s="1" t="n"/>
      <c r="B181" s="25" t="n"/>
      <c r="C181" s="26" t="n"/>
      <c r="D181" s="63" t="n"/>
      <c r="E181" s="64">
        <f>IF(C181="","",IFERROR(INDEX(Effectif!$E$7:$E$21,MATCH(C181,Effectif!$C$7:$C$21,0)),""))</f>
        <v/>
      </c>
      <c r="F181" s="29">
        <f>IF(AND(ISNUMBER(D181),ISNUMBER(E181)),D181*E181,"")</f>
        <v/>
      </c>
      <c r="G181" s="2" t="n"/>
      <c r="H181" s="1" t="n"/>
    </row>
    <row r="182">
      <c r="A182" s="1" t="n"/>
      <c r="B182" s="25" t="n"/>
      <c r="C182" s="26" t="n"/>
      <c r="D182" s="63" t="n"/>
      <c r="E182" s="64">
        <f>IF(C182="","",IFERROR(INDEX(Effectif!$E$7:$E$21,MATCH(C182,Effectif!$C$7:$C$21,0)),""))</f>
        <v/>
      </c>
      <c r="F182" s="29">
        <f>IF(AND(ISNUMBER(D182),ISNUMBER(E182)),D182*E182,"")</f>
        <v/>
      </c>
      <c r="G182" s="2" t="n"/>
      <c r="H182" s="1" t="n"/>
    </row>
    <row r="183">
      <c r="A183" s="1" t="n"/>
      <c r="B183" s="25" t="n"/>
      <c r="C183" s="26" t="n"/>
      <c r="D183" s="63" t="n"/>
      <c r="E183" s="64">
        <f>IF(C183="","",IFERROR(INDEX(Effectif!$E$7:$E$21,MATCH(C183,Effectif!$C$7:$C$21,0)),""))</f>
        <v/>
      </c>
      <c r="F183" s="29">
        <f>IF(AND(ISNUMBER(D183),ISNUMBER(E183)),D183*E183,"")</f>
        <v/>
      </c>
      <c r="G183" s="2" t="n"/>
      <c r="H183" s="1" t="n"/>
    </row>
    <row r="184">
      <c r="A184" s="1" t="n"/>
      <c r="B184" s="25" t="n"/>
      <c r="C184" s="26" t="n"/>
      <c r="D184" s="63" t="n"/>
      <c r="E184" s="64">
        <f>IF(C184="","",IFERROR(INDEX(Effectif!$E$7:$E$21,MATCH(C184,Effectif!$C$7:$C$21,0)),""))</f>
        <v/>
      </c>
      <c r="F184" s="29">
        <f>IF(AND(ISNUMBER(D184),ISNUMBER(E184)),D184*E184,"")</f>
        <v/>
      </c>
      <c r="G184" s="2" t="n"/>
      <c r="H184" s="1" t="n"/>
    </row>
    <row r="185">
      <c r="A185" s="1" t="n"/>
      <c r="B185" s="25" t="n"/>
      <c r="C185" s="26" t="n"/>
      <c r="D185" s="63" t="n"/>
      <c r="E185" s="64">
        <f>IF(C185="","",IFERROR(INDEX(Effectif!$E$7:$E$21,MATCH(C185,Effectif!$C$7:$C$21,0)),""))</f>
        <v/>
      </c>
      <c r="F185" s="29">
        <f>IF(AND(ISNUMBER(D185),ISNUMBER(E185)),D185*E185,"")</f>
        <v/>
      </c>
      <c r="G185" s="2" t="n"/>
      <c r="H185" s="1" t="n"/>
    </row>
    <row r="186">
      <c r="A186" s="1" t="n"/>
      <c r="B186" s="25" t="n"/>
      <c r="C186" s="26" t="n"/>
      <c r="D186" s="63" t="n"/>
      <c r="E186" s="64">
        <f>IF(C186="","",IFERROR(INDEX(Effectif!$E$7:$E$21,MATCH(C186,Effectif!$C$7:$C$21,0)),""))</f>
        <v/>
      </c>
      <c r="F186" s="29">
        <f>IF(AND(ISNUMBER(D186),ISNUMBER(E186)),D186*E186,"")</f>
        <v/>
      </c>
      <c r="G186" s="2" t="n"/>
      <c r="H186" s="1" t="n"/>
    </row>
    <row r="187">
      <c r="A187" s="1" t="n"/>
      <c r="B187" s="25" t="n"/>
      <c r="C187" s="26" t="n"/>
      <c r="D187" s="63" t="n"/>
      <c r="E187" s="64">
        <f>IF(C187="","",IFERROR(INDEX(Effectif!$E$7:$E$21,MATCH(C187,Effectif!$C$7:$C$21,0)),""))</f>
        <v/>
      </c>
      <c r="F187" s="29">
        <f>IF(AND(ISNUMBER(D187),ISNUMBER(E187)),D187*E187,"")</f>
        <v/>
      </c>
      <c r="G187" s="2" t="n"/>
      <c r="H187" s="1" t="n"/>
    </row>
    <row r="188">
      <c r="A188" s="1" t="n"/>
      <c r="B188" s="25" t="n"/>
      <c r="C188" s="26" t="n"/>
      <c r="D188" s="63" t="n"/>
      <c r="E188" s="64">
        <f>IF(C188="","",IFERROR(INDEX(Effectif!$E$7:$E$21,MATCH(C188,Effectif!$C$7:$C$21,0)),""))</f>
        <v/>
      </c>
      <c r="F188" s="29">
        <f>IF(AND(ISNUMBER(D188),ISNUMBER(E188)),D188*E188,"")</f>
        <v/>
      </c>
      <c r="G188" s="2" t="n"/>
      <c r="H188" s="1" t="n"/>
    </row>
    <row r="189">
      <c r="A189" s="1" t="n"/>
      <c r="B189" s="25" t="n"/>
      <c r="C189" s="26" t="n"/>
      <c r="D189" s="63" t="n"/>
      <c r="E189" s="64">
        <f>IF(C189="","",IFERROR(INDEX(Effectif!$E$7:$E$21,MATCH(C189,Effectif!$C$7:$C$21,0)),""))</f>
        <v/>
      </c>
      <c r="F189" s="29">
        <f>IF(AND(ISNUMBER(D189),ISNUMBER(E189)),D189*E189,"")</f>
        <v/>
      </c>
      <c r="G189" s="2" t="n"/>
      <c r="H189" s="1" t="n"/>
    </row>
    <row r="190">
      <c r="A190" s="1" t="n"/>
      <c r="B190" s="25" t="n"/>
      <c r="C190" s="26" t="n"/>
      <c r="D190" s="63" t="n"/>
      <c r="E190" s="64">
        <f>IF(C190="","",IFERROR(INDEX(Effectif!$E$7:$E$21,MATCH(C190,Effectif!$C$7:$C$21,0)),""))</f>
        <v/>
      </c>
      <c r="F190" s="29">
        <f>IF(AND(ISNUMBER(D190),ISNUMBER(E190)),D190*E190,"")</f>
        <v/>
      </c>
      <c r="G190" s="2" t="n"/>
      <c r="H190" s="1" t="n"/>
    </row>
    <row r="191">
      <c r="A191" s="1" t="n"/>
      <c r="B191" s="25" t="n"/>
      <c r="C191" s="26" t="n"/>
      <c r="D191" s="63" t="n"/>
      <c r="E191" s="64">
        <f>IF(C191="","",IFERROR(INDEX(Effectif!$E$7:$E$21,MATCH(C191,Effectif!$C$7:$C$21,0)),""))</f>
        <v/>
      </c>
      <c r="F191" s="29">
        <f>IF(AND(ISNUMBER(D191),ISNUMBER(E191)),D191*E191,"")</f>
        <v/>
      </c>
      <c r="G191" s="2" t="n"/>
      <c r="H191" s="1" t="n"/>
    </row>
    <row r="192">
      <c r="A192" s="1" t="n"/>
      <c r="B192" s="25" t="n"/>
      <c r="C192" s="26" t="n"/>
      <c r="D192" s="63" t="n"/>
      <c r="E192" s="64">
        <f>IF(C192="","",IFERROR(INDEX(Effectif!$E$7:$E$21,MATCH(C192,Effectif!$C$7:$C$21,0)),""))</f>
        <v/>
      </c>
      <c r="F192" s="29">
        <f>IF(AND(ISNUMBER(D192),ISNUMBER(E192)),D192*E192,"")</f>
        <v/>
      </c>
      <c r="G192" s="2" t="n"/>
      <c r="H192" s="1" t="n"/>
    </row>
    <row r="193">
      <c r="A193" s="1" t="n"/>
      <c r="B193" s="25" t="n"/>
      <c r="C193" s="26" t="n"/>
      <c r="D193" s="63" t="n"/>
      <c r="E193" s="64">
        <f>IF(C193="","",IFERROR(INDEX(Effectif!$E$7:$E$21,MATCH(C193,Effectif!$C$7:$C$21,0)),""))</f>
        <v/>
      </c>
      <c r="F193" s="29">
        <f>IF(AND(ISNUMBER(D193),ISNUMBER(E193)),D193*E193,"")</f>
        <v/>
      </c>
      <c r="G193" s="2" t="n"/>
      <c r="H193" s="1" t="n"/>
    </row>
    <row r="194">
      <c r="A194" s="1" t="n"/>
      <c r="B194" s="25" t="n"/>
      <c r="C194" s="26" t="n"/>
      <c r="D194" s="63" t="n"/>
      <c r="E194" s="64">
        <f>IF(C194="","",IFERROR(INDEX(Effectif!$E$7:$E$21,MATCH(C194,Effectif!$C$7:$C$21,0)),""))</f>
        <v/>
      </c>
      <c r="F194" s="29">
        <f>IF(AND(ISNUMBER(D194),ISNUMBER(E194)),D194*E194,"")</f>
        <v/>
      </c>
      <c r="G194" s="2" t="n"/>
      <c r="H194" s="1" t="n"/>
    </row>
    <row r="195">
      <c r="A195" s="1" t="n"/>
      <c r="B195" s="25" t="n"/>
      <c r="C195" s="26" t="n"/>
      <c r="D195" s="63" t="n"/>
      <c r="E195" s="64">
        <f>IF(C195="","",IFERROR(INDEX(Effectif!$E$7:$E$21,MATCH(C195,Effectif!$C$7:$C$21,0)),""))</f>
        <v/>
      </c>
      <c r="F195" s="29">
        <f>IF(AND(ISNUMBER(D195),ISNUMBER(E195)),D195*E195,"")</f>
        <v/>
      </c>
      <c r="G195" s="2" t="n"/>
      <c r="H195" s="1" t="n"/>
    </row>
    <row r="196">
      <c r="A196" s="1" t="n"/>
      <c r="B196" s="25" t="n"/>
      <c r="C196" s="26" t="n"/>
      <c r="D196" s="63" t="n"/>
      <c r="E196" s="64">
        <f>IF(C196="","",IFERROR(INDEX(Effectif!$E$7:$E$21,MATCH(C196,Effectif!$C$7:$C$21,0)),""))</f>
        <v/>
      </c>
      <c r="F196" s="29">
        <f>IF(AND(ISNUMBER(D196),ISNUMBER(E196)),D196*E196,"")</f>
        <v/>
      </c>
      <c r="G196" s="2" t="n"/>
      <c r="H196" s="1" t="n"/>
    </row>
    <row r="197">
      <c r="A197" s="1" t="n"/>
      <c r="B197" s="25" t="n"/>
      <c r="C197" s="26" t="n"/>
      <c r="D197" s="63" t="n"/>
      <c r="E197" s="64">
        <f>IF(C197="","",IFERROR(INDEX(Effectif!$E$7:$E$21,MATCH(C197,Effectif!$C$7:$C$21,0)),""))</f>
        <v/>
      </c>
      <c r="F197" s="29">
        <f>IF(AND(ISNUMBER(D197),ISNUMBER(E197)),D197*E197,"")</f>
        <v/>
      </c>
      <c r="G197" s="2" t="n"/>
      <c r="H197" s="1" t="n"/>
    </row>
    <row r="198">
      <c r="A198" s="1" t="n"/>
      <c r="B198" s="25" t="n"/>
      <c r="C198" s="26" t="n"/>
      <c r="D198" s="63" t="n"/>
      <c r="E198" s="64">
        <f>IF(C198="","",IFERROR(INDEX(Effectif!$E$7:$E$21,MATCH(C198,Effectif!$C$7:$C$21,0)),""))</f>
        <v/>
      </c>
      <c r="F198" s="29">
        <f>IF(AND(ISNUMBER(D198),ISNUMBER(E198)),D198*E198,"")</f>
        <v/>
      </c>
      <c r="G198" s="2" t="n"/>
      <c r="H198" s="1" t="n"/>
    </row>
    <row r="199">
      <c r="A199" s="1" t="n"/>
      <c r="B199" s="25" t="n"/>
      <c r="C199" s="26" t="n"/>
      <c r="D199" s="63" t="n"/>
      <c r="E199" s="64">
        <f>IF(C199="","",IFERROR(INDEX(Effectif!$E$7:$E$21,MATCH(C199,Effectif!$C$7:$C$21,0)),""))</f>
        <v/>
      </c>
      <c r="F199" s="29">
        <f>IF(AND(ISNUMBER(D199),ISNUMBER(E199)),D199*E199,"")</f>
        <v/>
      </c>
      <c r="G199" s="2" t="n"/>
      <c r="H199" s="1" t="n"/>
    </row>
    <row r="200">
      <c r="A200" s="1" t="n"/>
      <c r="B200" s="25" t="n"/>
      <c r="C200" s="26" t="n"/>
      <c r="D200" s="63" t="n"/>
      <c r="E200" s="64">
        <f>IF(C200="","",IFERROR(INDEX(Effectif!$E$7:$E$21,MATCH(C200,Effectif!$C$7:$C$21,0)),""))</f>
        <v/>
      </c>
      <c r="F200" s="29">
        <f>IF(AND(ISNUMBER(D200),ISNUMBER(E200)),D200*E200,"")</f>
        <v/>
      </c>
      <c r="G200" s="2" t="n"/>
      <c r="H200" s="1" t="n"/>
    </row>
    <row r="201">
      <c r="A201" s="1" t="n"/>
      <c r="B201" s="25" t="n"/>
      <c r="C201" s="26" t="n"/>
      <c r="D201" s="63" t="n"/>
      <c r="E201" s="64">
        <f>IF(C201="","",IFERROR(INDEX(Effectif!$E$7:$E$21,MATCH(C201,Effectif!$C$7:$C$21,0)),""))</f>
        <v/>
      </c>
      <c r="F201" s="29">
        <f>IF(AND(ISNUMBER(D201),ISNUMBER(E201)),D201*E201,"")</f>
        <v/>
      </c>
      <c r="G201" s="2" t="n"/>
      <c r="H201" s="1" t="n"/>
    </row>
    <row r="202">
      <c r="A202" s="1" t="n"/>
      <c r="B202" s="25" t="n"/>
      <c r="C202" s="26" t="n"/>
      <c r="D202" s="63" t="n"/>
      <c r="E202" s="64">
        <f>IF(C202="","",IFERROR(INDEX(Effectif!$E$7:$E$21,MATCH(C202,Effectif!$C$7:$C$21,0)),""))</f>
        <v/>
      </c>
      <c r="F202" s="29">
        <f>IF(AND(ISNUMBER(D202),ISNUMBER(E202)),D202*E202,"")</f>
        <v/>
      </c>
      <c r="G202" s="2" t="n"/>
      <c r="H202" s="1" t="n"/>
    </row>
    <row r="203">
      <c r="A203" s="1" t="n"/>
      <c r="B203" s="25" t="n"/>
      <c r="C203" s="26" t="n"/>
      <c r="D203" s="63" t="n"/>
      <c r="E203" s="64">
        <f>IF(C203="","",IFERROR(INDEX(Effectif!$E$7:$E$21,MATCH(C203,Effectif!$C$7:$C$21,0)),""))</f>
        <v/>
      </c>
      <c r="F203" s="29">
        <f>IF(AND(ISNUMBER(D203),ISNUMBER(E203)),D203*E203,"")</f>
        <v/>
      </c>
      <c r="G203" s="2" t="n"/>
      <c r="H203" s="1" t="n"/>
    </row>
    <row r="204">
      <c r="A204" s="1" t="n"/>
      <c r="B204" s="25" t="n"/>
      <c r="C204" s="26" t="n"/>
      <c r="D204" s="63" t="n"/>
      <c r="E204" s="64">
        <f>IF(C204="","",IFERROR(INDEX(Effectif!$E$7:$E$21,MATCH(C204,Effectif!$C$7:$C$21,0)),""))</f>
        <v/>
      </c>
      <c r="F204" s="29">
        <f>IF(AND(ISNUMBER(D204),ISNUMBER(E204)),D204*E204,"")</f>
        <v/>
      </c>
      <c r="G204" s="2" t="n"/>
      <c r="H204" s="1" t="n"/>
    </row>
    <row r="205">
      <c r="A205" s="1" t="n"/>
      <c r="B205" s="25" t="n"/>
      <c r="C205" s="26" t="n"/>
      <c r="D205" s="63" t="n"/>
      <c r="E205" s="64">
        <f>IF(C205="","",IFERROR(INDEX(Effectif!$E$7:$E$21,MATCH(C205,Effectif!$C$7:$C$21,0)),""))</f>
        <v/>
      </c>
      <c r="F205" s="29">
        <f>IF(AND(ISNUMBER(D205),ISNUMBER(E205)),D205*E205,"")</f>
        <v/>
      </c>
      <c r="G205" s="2" t="n"/>
      <c r="H205" s="1" t="n"/>
    </row>
    <row r="206">
      <c r="A206" s="1" t="n"/>
      <c r="B206" s="25" t="n"/>
      <c r="C206" s="26" t="n"/>
      <c r="D206" s="63" t="n"/>
      <c r="E206" s="64">
        <f>IF(C206="","",IFERROR(INDEX(Effectif!$E$7:$E$21,MATCH(C206,Effectif!$C$7:$C$21,0)),""))</f>
        <v/>
      </c>
      <c r="F206" s="29">
        <f>IF(AND(ISNUMBER(D206),ISNUMBER(E206)),D206*E206,"")</f>
        <v/>
      </c>
      <c r="G206" s="2" t="n"/>
      <c r="H206" s="1" t="n"/>
    </row>
    <row r="207">
      <c r="A207" s="1" t="n"/>
      <c r="B207" s="25" t="n"/>
      <c r="C207" s="26" t="n"/>
      <c r="D207" s="63" t="n"/>
      <c r="E207" s="64">
        <f>IF(C207="","",IFERROR(INDEX(Effectif!$E$7:$E$21,MATCH(C207,Effectif!$C$7:$C$21,0)),""))</f>
        <v/>
      </c>
      <c r="F207" s="29">
        <f>IF(AND(ISNUMBER(D207),ISNUMBER(E207)),D207*E207,"")</f>
        <v/>
      </c>
      <c r="G207" s="2" t="n"/>
      <c r="H207" s="1" t="n"/>
    </row>
    <row r="208">
      <c r="A208" s="1" t="n"/>
      <c r="B208" s="25" t="n"/>
      <c r="C208" s="26" t="n"/>
      <c r="D208" s="63" t="n"/>
      <c r="E208" s="64">
        <f>IF(C208="","",IFERROR(INDEX(Effectif!$E$7:$E$21,MATCH(C208,Effectif!$C$7:$C$21,0)),""))</f>
        <v/>
      </c>
      <c r="F208" s="29">
        <f>IF(AND(ISNUMBER(D208),ISNUMBER(E208)),D208*E208,"")</f>
        <v/>
      </c>
      <c r="G208" s="2" t="n"/>
      <c r="H208" s="1" t="n"/>
    </row>
    <row r="209">
      <c r="A209" s="1" t="n"/>
      <c r="B209" s="25" t="n"/>
      <c r="C209" s="26" t="n"/>
      <c r="D209" s="63" t="n"/>
      <c r="E209" s="64">
        <f>IF(C209="","",IFERROR(INDEX(Effectif!$E$7:$E$21,MATCH(C209,Effectif!$C$7:$C$21,0)),""))</f>
        <v/>
      </c>
      <c r="F209" s="29">
        <f>IF(AND(ISNUMBER(D209),ISNUMBER(E209)),D209*E209,"")</f>
        <v/>
      </c>
      <c r="G209" s="2" t="n"/>
      <c r="H209" s="1" t="n"/>
    </row>
    <row r="210">
      <c r="A210" s="1" t="n"/>
      <c r="B210" s="25" t="n"/>
      <c r="C210" s="26" t="n"/>
      <c r="D210" s="63" t="n"/>
      <c r="E210" s="64">
        <f>IF(C210="","",IFERROR(INDEX(Effectif!$E$7:$E$21,MATCH(C210,Effectif!$C$7:$C$21,0)),""))</f>
        <v/>
      </c>
      <c r="F210" s="29">
        <f>IF(AND(ISNUMBER(D210),ISNUMBER(E210)),D210*E210,"")</f>
        <v/>
      </c>
      <c r="G210" s="2" t="n"/>
      <c r="H210" s="1" t="n"/>
    </row>
    <row r="211">
      <c r="A211" s="1" t="n"/>
      <c r="B211" s="25" t="n"/>
      <c r="C211" s="26" t="n"/>
      <c r="D211" s="63" t="n"/>
      <c r="E211" s="64">
        <f>IF(C211="","",IFERROR(INDEX(Effectif!$E$7:$E$21,MATCH(C211,Effectif!$C$7:$C$21,0)),""))</f>
        <v/>
      </c>
      <c r="F211" s="29">
        <f>IF(AND(ISNUMBER(D211),ISNUMBER(E211)),D211*E211,"")</f>
        <v/>
      </c>
      <c r="G211" s="2" t="n"/>
      <c r="H211" s="1" t="n"/>
    </row>
    <row r="212">
      <c r="A212" s="1" t="n"/>
      <c r="B212" s="25" t="n"/>
      <c r="C212" s="26" t="n"/>
      <c r="D212" s="63" t="n"/>
      <c r="E212" s="64">
        <f>IF(C212="","",IFERROR(INDEX(Effectif!$E$7:$E$21,MATCH(C212,Effectif!$C$7:$C$21,0)),""))</f>
        <v/>
      </c>
      <c r="F212" s="29">
        <f>IF(AND(ISNUMBER(D212),ISNUMBER(E212)),D212*E212,"")</f>
        <v/>
      </c>
      <c r="G212" s="2" t="n"/>
      <c r="H212" s="1" t="n"/>
    </row>
    <row r="213">
      <c r="A213" s="1" t="n"/>
      <c r="B213" s="25" t="n"/>
      <c r="C213" s="26" t="n"/>
      <c r="D213" s="63" t="n"/>
      <c r="E213" s="64">
        <f>IF(C213="","",IFERROR(INDEX(Effectif!$E$7:$E$21,MATCH(C213,Effectif!$C$7:$C$21,0)),""))</f>
        <v/>
      </c>
      <c r="F213" s="29">
        <f>IF(AND(ISNUMBER(D213),ISNUMBER(E213)),D213*E213,"")</f>
        <v/>
      </c>
      <c r="G213" s="2" t="n"/>
      <c r="H213" s="1" t="n"/>
    </row>
    <row r="214">
      <c r="A214" s="1" t="n"/>
      <c r="B214" s="25" t="n"/>
      <c r="C214" s="26" t="n"/>
      <c r="D214" s="63" t="n"/>
      <c r="E214" s="64">
        <f>IF(C214="","",IFERROR(INDEX(Effectif!$E$7:$E$21,MATCH(C214,Effectif!$C$7:$C$21,0)),""))</f>
        <v/>
      </c>
      <c r="F214" s="29">
        <f>IF(AND(ISNUMBER(D214),ISNUMBER(E214)),D214*E214,"")</f>
        <v/>
      </c>
      <c r="G214" s="2" t="n"/>
      <c r="H214" s="1" t="n"/>
    </row>
    <row r="215">
      <c r="A215" s="1" t="n"/>
      <c r="B215" s="25" t="n"/>
      <c r="C215" s="26" t="n"/>
      <c r="D215" s="63" t="n"/>
      <c r="E215" s="64">
        <f>IF(C215="","",IFERROR(INDEX(Effectif!$E$7:$E$21,MATCH(C215,Effectif!$C$7:$C$21,0)),""))</f>
        <v/>
      </c>
      <c r="F215" s="29">
        <f>IF(AND(ISNUMBER(D215),ISNUMBER(E215)),D215*E215,"")</f>
        <v/>
      </c>
      <c r="G215" s="2" t="n"/>
      <c r="H215" s="1" t="n"/>
    </row>
    <row r="216">
      <c r="A216" s="1" t="n"/>
      <c r="B216" s="25" t="n"/>
      <c r="C216" s="26" t="n"/>
      <c r="D216" s="63" t="n"/>
      <c r="E216" s="64">
        <f>IF(C216="","",IFERROR(INDEX(Effectif!$E$7:$E$21,MATCH(C216,Effectif!$C$7:$C$21,0)),""))</f>
        <v/>
      </c>
      <c r="F216" s="29">
        <f>IF(AND(ISNUMBER(D216),ISNUMBER(E216)),D216*E216,"")</f>
        <v/>
      </c>
      <c r="G216" s="2" t="n"/>
      <c r="H216" s="1" t="n"/>
    </row>
    <row r="217">
      <c r="A217" s="1" t="n"/>
      <c r="B217" s="25" t="n"/>
      <c r="C217" s="26" t="n"/>
      <c r="D217" s="63" t="n"/>
      <c r="E217" s="64">
        <f>IF(C217="","",IFERROR(INDEX(Effectif!$E$7:$E$21,MATCH(C217,Effectif!$C$7:$C$21,0)),""))</f>
        <v/>
      </c>
      <c r="F217" s="29">
        <f>IF(AND(ISNUMBER(D217),ISNUMBER(E217)),D217*E217,"")</f>
        <v/>
      </c>
      <c r="G217" s="2" t="n"/>
      <c r="H217" s="1" t="n"/>
    </row>
    <row r="218">
      <c r="A218" s="1" t="n"/>
      <c r="B218" s="25" t="n"/>
      <c r="C218" s="26" t="n"/>
      <c r="D218" s="63" t="n"/>
      <c r="E218" s="64">
        <f>IF(C218="","",IFERROR(INDEX(Effectif!$E$7:$E$21,MATCH(C218,Effectif!$C$7:$C$21,0)),""))</f>
        <v/>
      </c>
      <c r="F218" s="29">
        <f>IF(AND(ISNUMBER(D218),ISNUMBER(E218)),D218*E218,"")</f>
        <v/>
      </c>
      <c r="G218" s="2" t="n"/>
      <c r="H218" s="1" t="n"/>
    </row>
    <row r="219">
      <c r="A219" s="1" t="n"/>
      <c r="B219" s="25" t="n"/>
      <c r="C219" s="26" t="n"/>
      <c r="D219" s="63" t="n"/>
      <c r="E219" s="64">
        <f>IF(C219="","",IFERROR(INDEX(Effectif!$E$7:$E$21,MATCH(C219,Effectif!$C$7:$C$21,0)),""))</f>
        <v/>
      </c>
      <c r="F219" s="29">
        <f>IF(AND(ISNUMBER(D219),ISNUMBER(E219)),D219*E219,"")</f>
        <v/>
      </c>
      <c r="G219" s="2" t="n"/>
      <c r="H219" s="1" t="n"/>
    </row>
    <row r="220">
      <c r="A220" s="1" t="n"/>
      <c r="B220" s="25" t="n"/>
      <c r="C220" s="26" t="n"/>
      <c r="D220" s="63" t="n"/>
      <c r="E220" s="64">
        <f>IF(C220="","",IFERROR(INDEX(Effectif!$E$7:$E$21,MATCH(C220,Effectif!$C$7:$C$21,0)),""))</f>
        <v/>
      </c>
      <c r="F220" s="29">
        <f>IF(AND(ISNUMBER(D220),ISNUMBER(E220)),D220*E220,"")</f>
        <v/>
      </c>
      <c r="G220" s="2" t="n"/>
      <c r="H220" s="1" t="n"/>
    </row>
    <row r="221">
      <c r="A221" s="1" t="n"/>
      <c r="B221" s="25" t="n"/>
      <c r="C221" s="26" t="n"/>
      <c r="D221" s="63" t="n"/>
      <c r="E221" s="64">
        <f>IF(C221="","",IFERROR(INDEX(Effectif!$E$7:$E$21,MATCH(C221,Effectif!$C$7:$C$21,0)),""))</f>
        <v/>
      </c>
      <c r="F221" s="29">
        <f>IF(AND(ISNUMBER(D221),ISNUMBER(E221)),D221*E221,"")</f>
        <v/>
      </c>
      <c r="G221" s="2" t="n"/>
      <c r="H221" s="1" t="n"/>
    </row>
    <row r="222">
      <c r="A222" s="1" t="n"/>
      <c r="B222" s="25" t="n"/>
      <c r="C222" s="26" t="n"/>
      <c r="D222" s="63" t="n"/>
      <c r="E222" s="64">
        <f>IF(C222="","",IFERROR(INDEX(Effectif!$E$7:$E$21,MATCH(C222,Effectif!$C$7:$C$21,0)),""))</f>
        <v/>
      </c>
      <c r="F222" s="29">
        <f>IF(AND(ISNUMBER(D222),ISNUMBER(E222)),D222*E222,"")</f>
        <v/>
      </c>
      <c r="G222" s="2" t="n"/>
      <c r="H222" s="1" t="n"/>
    </row>
    <row r="223">
      <c r="A223" s="1" t="n"/>
      <c r="B223" s="25" t="n"/>
      <c r="C223" s="26" t="n"/>
      <c r="D223" s="63" t="n"/>
      <c r="E223" s="64">
        <f>IF(C223="","",IFERROR(INDEX(Effectif!$E$7:$E$21,MATCH(C223,Effectif!$C$7:$C$21,0)),""))</f>
        <v/>
      </c>
      <c r="F223" s="29">
        <f>IF(AND(ISNUMBER(D223),ISNUMBER(E223)),D223*E223,"")</f>
        <v/>
      </c>
      <c r="G223" s="2" t="n"/>
      <c r="H223" s="1" t="n"/>
    </row>
    <row r="224">
      <c r="A224" s="1" t="n"/>
      <c r="B224" s="25" t="n"/>
      <c r="C224" s="26" t="n"/>
      <c r="D224" s="63" t="n"/>
      <c r="E224" s="64">
        <f>IF(C224="","",IFERROR(INDEX(Effectif!$E$7:$E$21,MATCH(C224,Effectif!$C$7:$C$21,0)),""))</f>
        <v/>
      </c>
      <c r="F224" s="29">
        <f>IF(AND(ISNUMBER(D224),ISNUMBER(E224)),D224*E224,"")</f>
        <v/>
      </c>
      <c r="G224" s="2" t="n"/>
      <c r="H224" s="1" t="n"/>
    </row>
    <row r="225">
      <c r="A225" s="1" t="n"/>
      <c r="B225" s="25" t="n"/>
      <c r="C225" s="26" t="n"/>
      <c r="D225" s="63" t="n"/>
      <c r="E225" s="64">
        <f>IF(C225="","",IFERROR(INDEX(Effectif!$E$7:$E$21,MATCH(C225,Effectif!$C$7:$C$21,0)),""))</f>
        <v/>
      </c>
      <c r="F225" s="29">
        <f>IF(AND(ISNUMBER(D225),ISNUMBER(E225)),D225*E225,"")</f>
        <v/>
      </c>
      <c r="G225" s="2" t="n"/>
      <c r="H225" s="1" t="n"/>
    </row>
    <row r="226">
      <c r="A226" s="1" t="n"/>
      <c r="B226" s="25" t="n"/>
      <c r="C226" s="26" t="n"/>
      <c r="D226" s="63" t="n"/>
      <c r="E226" s="64">
        <f>IF(C226="","",IFERROR(INDEX(Effectif!$E$7:$E$21,MATCH(C226,Effectif!$C$7:$C$21,0)),""))</f>
        <v/>
      </c>
      <c r="F226" s="29">
        <f>IF(AND(ISNUMBER(D226),ISNUMBER(E226)),D226*E226,"")</f>
        <v/>
      </c>
      <c r="G226" s="2" t="n"/>
      <c r="H226" s="1" t="n"/>
    </row>
    <row r="227">
      <c r="A227" s="1" t="n"/>
      <c r="B227" s="25" t="n"/>
      <c r="C227" s="26" t="n"/>
      <c r="D227" s="63" t="n"/>
      <c r="E227" s="64">
        <f>IF(C227="","",IFERROR(INDEX(Effectif!$E$7:$E$21,MATCH(C227,Effectif!$C$7:$C$21,0)),""))</f>
        <v/>
      </c>
      <c r="F227" s="29">
        <f>IF(AND(ISNUMBER(D227),ISNUMBER(E227)),D227*E227,"")</f>
        <v/>
      </c>
      <c r="G227" s="2" t="n"/>
      <c r="H227" s="1" t="n"/>
    </row>
    <row r="228">
      <c r="A228" s="1" t="n"/>
      <c r="B228" s="25" t="n"/>
      <c r="C228" s="26" t="n"/>
      <c r="D228" s="63" t="n"/>
      <c r="E228" s="64">
        <f>IF(C228="","",IFERROR(INDEX(Effectif!$E$7:$E$21,MATCH(C228,Effectif!$C$7:$C$21,0)),""))</f>
        <v/>
      </c>
      <c r="F228" s="29">
        <f>IF(AND(ISNUMBER(D228),ISNUMBER(E228)),D228*E228,"")</f>
        <v/>
      </c>
      <c r="G228" s="2" t="n"/>
      <c r="H228" s="1" t="n"/>
    </row>
    <row r="229">
      <c r="A229" s="1" t="n"/>
      <c r="B229" s="25" t="n"/>
      <c r="C229" s="26" t="n"/>
      <c r="D229" s="63" t="n"/>
      <c r="E229" s="64">
        <f>IF(C229="","",IFERROR(INDEX(Effectif!$E$7:$E$21,MATCH(C229,Effectif!$C$7:$C$21,0)),""))</f>
        <v/>
      </c>
      <c r="F229" s="29">
        <f>IF(AND(ISNUMBER(D229),ISNUMBER(E229)),D229*E229,"")</f>
        <v/>
      </c>
      <c r="G229" s="2" t="n"/>
      <c r="H229" s="1" t="n"/>
    </row>
    <row r="230">
      <c r="A230" s="1" t="n"/>
      <c r="B230" s="25" t="n"/>
      <c r="C230" s="26" t="n"/>
      <c r="D230" s="63" t="n"/>
      <c r="E230" s="64">
        <f>IF(C230="","",IFERROR(INDEX(Effectif!$E$7:$E$21,MATCH(C230,Effectif!$C$7:$C$21,0)),""))</f>
        <v/>
      </c>
      <c r="F230" s="29">
        <f>IF(AND(ISNUMBER(D230),ISNUMBER(E230)),D230*E230,"")</f>
        <v/>
      </c>
      <c r="G230" s="2" t="n"/>
      <c r="H230" s="1" t="n"/>
    </row>
    <row r="231">
      <c r="A231" s="1" t="n"/>
      <c r="B231" s="25" t="n"/>
      <c r="C231" s="26" t="n"/>
      <c r="D231" s="63" t="n"/>
      <c r="E231" s="64">
        <f>IF(C231="","",IFERROR(INDEX(Effectif!$E$7:$E$21,MATCH(C231,Effectif!$C$7:$C$21,0)),""))</f>
        <v/>
      </c>
      <c r="F231" s="29">
        <f>IF(AND(ISNUMBER(D231),ISNUMBER(E231)),D231*E231,"")</f>
        <v/>
      </c>
      <c r="G231" s="2" t="n"/>
      <c r="H231" s="1" t="n"/>
    </row>
    <row r="232">
      <c r="A232" s="1" t="n"/>
      <c r="B232" s="25" t="n"/>
      <c r="C232" s="26" t="n"/>
      <c r="D232" s="63" t="n"/>
      <c r="E232" s="64">
        <f>IF(C232="","",IFERROR(INDEX(Effectif!$E$7:$E$21,MATCH(C232,Effectif!$C$7:$C$21,0)),""))</f>
        <v/>
      </c>
      <c r="F232" s="29">
        <f>IF(AND(ISNUMBER(D232),ISNUMBER(E232)),D232*E232,"")</f>
        <v/>
      </c>
      <c r="G232" s="2" t="n"/>
      <c r="H232" s="1" t="n"/>
    </row>
    <row r="233">
      <c r="A233" s="1" t="n"/>
      <c r="B233" s="25" t="n"/>
      <c r="C233" s="26" t="n"/>
      <c r="D233" s="63" t="n"/>
      <c r="E233" s="64">
        <f>IF(C233="","",IFERROR(INDEX(Effectif!$E$7:$E$21,MATCH(C233,Effectif!$C$7:$C$21,0)),""))</f>
        <v/>
      </c>
      <c r="F233" s="29">
        <f>IF(AND(ISNUMBER(D233),ISNUMBER(E233)),D233*E233,"")</f>
        <v/>
      </c>
      <c r="G233" s="2" t="n"/>
      <c r="H233" s="1" t="n"/>
    </row>
    <row r="234">
      <c r="A234" s="1" t="n"/>
      <c r="B234" s="25" t="n"/>
      <c r="C234" s="26" t="n"/>
      <c r="D234" s="63" t="n"/>
      <c r="E234" s="64">
        <f>IF(C234="","",IFERROR(INDEX(Effectif!$E$7:$E$21,MATCH(C234,Effectif!$C$7:$C$21,0)),""))</f>
        <v/>
      </c>
      <c r="F234" s="29">
        <f>IF(AND(ISNUMBER(D234),ISNUMBER(E234)),D234*E234,"")</f>
        <v/>
      </c>
      <c r="G234" s="2" t="n"/>
      <c r="H234" s="1" t="n"/>
    </row>
    <row r="235">
      <c r="A235" s="1" t="n"/>
      <c r="B235" s="25" t="n"/>
      <c r="C235" s="26" t="n"/>
      <c r="D235" s="63" t="n"/>
      <c r="E235" s="64">
        <f>IF(C235="","",IFERROR(INDEX(Effectif!$E$7:$E$21,MATCH(C235,Effectif!$C$7:$C$21,0)),""))</f>
        <v/>
      </c>
      <c r="F235" s="29">
        <f>IF(AND(ISNUMBER(D235),ISNUMBER(E235)),D235*E235,"")</f>
        <v/>
      </c>
      <c r="G235" s="2" t="n"/>
      <c r="H235" s="1" t="n"/>
    </row>
    <row r="236">
      <c r="A236" s="1" t="n"/>
      <c r="B236" s="25" t="n"/>
      <c r="C236" s="26" t="n"/>
      <c r="D236" s="63" t="n"/>
      <c r="E236" s="64">
        <f>IF(C236="","",IFERROR(INDEX(Effectif!$E$7:$E$21,MATCH(C236,Effectif!$C$7:$C$21,0)),""))</f>
        <v/>
      </c>
      <c r="F236" s="29">
        <f>IF(AND(ISNUMBER(D236),ISNUMBER(E236)),D236*E236,"")</f>
        <v/>
      </c>
      <c r="G236" s="2" t="n"/>
      <c r="H236" s="1" t="n"/>
    </row>
    <row r="237">
      <c r="A237" s="1" t="n"/>
      <c r="B237" s="25" t="n"/>
      <c r="C237" s="26" t="n"/>
      <c r="D237" s="63" t="n"/>
      <c r="E237" s="64">
        <f>IF(C237="","",IFERROR(INDEX(Effectif!$E$7:$E$21,MATCH(C237,Effectif!$C$7:$C$21,0)),""))</f>
        <v/>
      </c>
      <c r="F237" s="29">
        <f>IF(AND(ISNUMBER(D237),ISNUMBER(E237)),D237*E237,"")</f>
        <v/>
      </c>
      <c r="G237" s="2" t="n"/>
      <c r="H237" s="1" t="n"/>
    </row>
    <row r="238">
      <c r="A238" s="1" t="n"/>
      <c r="B238" s="25" t="n"/>
      <c r="C238" s="26" t="n"/>
      <c r="D238" s="63" t="n"/>
      <c r="E238" s="64">
        <f>IF(C238="","",IFERROR(INDEX(Effectif!$E$7:$E$21,MATCH(C238,Effectif!$C$7:$C$21,0)),""))</f>
        <v/>
      </c>
      <c r="F238" s="29">
        <f>IF(AND(ISNUMBER(D238),ISNUMBER(E238)),D238*E238,"")</f>
        <v/>
      </c>
      <c r="G238" s="2" t="n"/>
      <c r="H238" s="1" t="n"/>
    </row>
    <row r="239">
      <c r="A239" s="1" t="n"/>
      <c r="B239" s="25" t="n"/>
      <c r="C239" s="26" t="n"/>
      <c r="D239" s="63" t="n"/>
      <c r="E239" s="64">
        <f>IF(C239="","",IFERROR(INDEX(Effectif!$E$7:$E$21,MATCH(C239,Effectif!$C$7:$C$21,0)),""))</f>
        <v/>
      </c>
      <c r="F239" s="29">
        <f>IF(AND(ISNUMBER(D239),ISNUMBER(E239)),D239*E239,"")</f>
        <v/>
      </c>
      <c r="G239" s="2" t="n"/>
      <c r="H239" s="1" t="n"/>
    </row>
    <row r="240">
      <c r="A240" s="1" t="n"/>
      <c r="B240" s="25" t="n"/>
      <c r="C240" s="26" t="n"/>
      <c r="D240" s="63" t="n"/>
      <c r="E240" s="64">
        <f>IF(C240="","",IFERROR(INDEX(Effectif!$E$7:$E$21,MATCH(C240,Effectif!$C$7:$C$21,0)),""))</f>
        <v/>
      </c>
      <c r="F240" s="29">
        <f>IF(AND(ISNUMBER(D240),ISNUMBER(E240)),D240*E240,"")</f>
        <v/>
      </c>
      <c r="G240" s="2" t="n"/>
      <c r="H240" s="1" t="n"/>
    </row>
    <row r="241">
      <c r="A241" s="1" t="n"/>
      <c r="B241" s="25" t="n"/>
      <c r="C241" s="26" t="n"/>
      <c r="D241" s="63" t="n"/>
      <c r="E241" s="64">
        <f>IF(C241="","",IFERROR(INDEX(Effectif!$E$7:$E$21,MATCH(C241,Effectif!$C$7:$C$21,0)),""))</f>
        <v/>
      </c>
      <c r="F241" s="29">
        <f>IF(AND(ISNUMBER(D241),ISNUMBER(E241)),D241*E241,"")</f>
        <v/>
      </c>
      <c r="G241" s="2" t="n"/>
      <c r="H241" s="1" t="n"/>
    </row>
    <row r="242">
      <c r="A242" s="1" t="n"/>
      <c r="B242" s="25" t="n"/>
      <c r="C242" s="26" t="n"/>
      <c r="D242" s="63" t="n"/>
      <c r="E242" s="64">
        <f>IF(C242="","",IFERROR(INDEX(Effectif!$E$7:$E$21,MATCH(C242,Effectif!$C$7:$C$21,0)),""))</f>
        <v/>
      </c>
      <c r="F242" s="29">
        <f>IF(AND(ISNUMBER(D242),ISNUMBER(E242)),D242*E242,"")</f>
        <v/>
      </c>
      <c r="G242" s="2" t="n"/>
      <c r="H242" s="1" t="n"/>
    </row>
    <row r="243">
      <c r="A243" s="1" t="n"/>
      <c r="B243" s="25" t="n"/>
      <c r="C243" s="26" t="n"/>
      <c r="D243" s="63" t="n"/>
      <c r="E243" s="64">
        <f>IF(C243="","",IFERROR(INDEX(Effectif!$E$7:$E$21,MATCH(C243,Effectif!$C$7:$C$21,0)),""))</f>
        <v/>
      </c>
      <c r="F243" s="29">
        <f>IF(AND(ISNUMBER(D243),ISNUMBER(E243)),D243*E243,"")</f>
        <v/>
      </c>
      <c r="G243" s="2" t="n"/>
      <c r="H243" s="1" t="n"/>
    </row>
    <row r="244">
      <c r="A244" s="1" t="n"/>
      <c r="B244" s="25" t="n"/>
      <c r="C244" s="26" t="n"/>
      <c r="D244" s="63" t="n"/>
      <c r="E244" s="64">
        <f>IF(C244="","",IFERROR(INDEX(Effectif!$E$7:$E$21,MATCH(C244,Effectif!$C$7:$C$21,0)),""))</f>
        <v/>
      </c>
      <c r="F244" s="29">
        <f>IF(AND(ISNUMBER(D244),ISNUMBER(E244)),D244*E244,"")</f>
        <v/>
      </c>
      <c r="G244" s="2" t="n"/>
      <c r="H244" s="1" t="n"/>
    </row>
    <row r="245">
      <c r="A245" s="1" t="n"/>
      <c r="B245" s="25" t="n"/>
      <c r="C245" s="26" t="n"/>
      <c r="D245" s="63" t="n"/>
      <c r="E245" s="64">
        <f>IF(C245="","",IFERROR(INDEX(Effectif!$E$7:$E$21,MATCH(C245,Effectif!$C$7:$C$21,0)),""))</f>
        <v/>
      </c>
      <c r="F245" s="29">
        <f>IF(AND(ISNUMBER(D245),ISNUMBER(E245)),D245*E245,"")</f>
        <v/>
      </c>
      <c r="G245" s="2" t="n"/>
      <c r="H245" s="1" t="n"/>
    </row>
    <row r="246">
      <c r="A246" s="1" t="n"/>
      <c r="B246" s="25" t="n"/>
      <c r="C246" s="26" t="n"/>
      <c r="D246" s="63" t="n"/>
      <c r="E246" s="64">
        <f>IF(C246="","",IFERROR(INDEX(Effectif!$E$7:$E$21,MATCH(C246,Effectif!$C$7:$C$21,0)),""))</f>
        <v/>
      </c>
      <c r="F246" s="29">
        <f>IF(AND(ISNUMBER(D246),ISNUMBER(E246)),D246*E246,"")</f>
        <v/>
      </c>
      <c r="G246" s="2" t="n"/>
      <c r="H246" s="1" t="n"/>
    </row>
    <row r="247">
      <c r="A247" s="1" t="n"/>
      <c r="B247" s="25" t="n"/>
      <c r="C247" s="26" t="n"/>
      <c r="D247" s="63" t="n"/>
      <c r="E247" s="64">
        <f>IF(C247="","",IFERROR(INDEX(Effectif!$E$7:$E$21,MATCH(C247,Effectif!$C$7:$C$21,0)),""))</f>
        <v/>
      </c>
      <c r="F247" s="29">
        <f>IF(AND(ISNUMBER(D247),ISNUMBER(E247)),D247*E247,"")</f>
        <v/>
      </c>
      <c r="G247" s="2" t="n"/>
      <c r="H247" s="1" t="n"/>
    </row>
    <row r="248">
      <c r="A248" s="1" t="n"/>
      <c r="B248" s="25" t="n"/>
      <c r="C248" s="26" t="n"/>
      <c r="D248" s="63" t="n"/>
      <c r="E248" s="64">
        <f>IF(C248="","",IFERROR(INDEX(Effectif!$E$7:$E$21,MATCH(C248,Effectif!$C$7:$C$21,0)),""))</f>
        <v/>
      </c>
      <c r="F248" s="29">
        <f>IF(AND(ISNUMBER(D248),ISNUMBER(E248)),D248*E248,"")</f>
        <v/>
      </c>
      <c r="G248" s="2" t="n"/>
      <c r="H248" s="1" t="n"/>
    </row>
    <row r="249">
      <c r="A249" s="1" t="n"/>
      <c r="B249" s="25" t="n"/>
      <c r="C249" s="26" t="n"/>
      <c r="D249" s="63" t="n"/>
      <c r="E249" s="64">
        <f>IF(C249="","",IFERROR(INDEX(Effectif!$E$7:$E$21,MATCH(C249,Effectif!$C$7:$C$21,0)),""))</f>
        <v/>
      </c>
      <c r="F249" s="29">
        <f>IF(AND(ISNUMBER(D249),ISNUMBER(E249)),D249*E249,"")</f>
        <v/>
      </c>
      <c r="G249" s="2" t="n"/>
      <c r="H249" s="1" t="n"/>
    </row>
    <row r="250">
      <c r="A250" s="1" t="n"/>
      <c r="B250" s="25" t="n"/>
      <c r="C250" s="26" t="n"/>
      <c r="D250" s="63" t="n"/>
      <c r="E250" s="64">
        <f>IF(C250="","",IFERROR(INDEX(Effectif!$E$7:$E$21,MATCH(C250,Effectif!$C$7:$C$21,0)),""))</f>
        <v/>
      </c>
      <c r="F250" s="29">
        <f>IF(AND(ISNUMBER(D250),ISNUMBER(E250)),D250*E250,"")</f>
        <v/>
      </c>
      <c r="G250" s="2" t="n"/>
      <c r="H250" s="1" t="n"/>
    </row>
    <row r="251">
      <c r="A251" s="1" t="n"/>
      <c r="B251" s="25" t="n"/>
      <c r="C251" s="26" t="n"/>
      <c r="D251" s="63" t="n"/>
      <c r="E251" s="64">
        <f>IF(C251="","",IFERROR(INDEX(Effectif!$E$7:$E$21,MATCH(C251,Effectif!$C$7:$C$21,0)),""))</f>
        <v/>
      </c>
      <c r="F251" s="29">
        <f>IF(AND(ISNUMBER(D251),ISNUMBER(E251)),D251*E251,"")</f>
        <v/>
      </c>
      <c r="G251" s="2" t="n"/>
      <c r="H251" s="1" t="n"/>
    </row>
    <row r="252">
      <c r="A252" s="1" t="n"/>
      <c r="B252" s="25" t="n"/>
      <c r="C252" s="26" t="n"/>
      <c r="D252" s="63" t="n"/>
      <c r="E252" s="64">
        <f>IF(C252="","",IFERROR(INDEX(Effectif!$E$7:$E$21,MATCH(C252,Effectif!$C$7:$C$21,0)),""))</f>
        <v/>
      </c>
      <c r="F252" s="29">
        <f>IF(AND(ISNUMBER(D252),ISNUMBER(E252)),D252*E252,"")</f>
        <v/>
      </c>
      <c r="G252" s="2" t="n"/>
      <c r="H252" s="1" t="n"/>
    </row>
    <row r="253">
      <c r="A253" s="1" t="n"/>
      <c r="B253" s="25" t="n"/>
      <c r="C253" s="26" t="n"/>
      <c r="D253" s="63" t="n"/>
      <c r="E253" s="64">
        <f>IF(C253="","",IFERROR(INDEX(Effectif!$E$7:$E$21,MATCH(C253,Effectif!$C$7:$C$21,0)),""))</f>
        <v/>
      </c>
      <c r="F253" s="29">
        <f>IF(AND(ISNUMBER(D253),ISNUMBER(E253)),D253*E253,"")</f>
        <v/>
      </c>
      <c r="G253" s="2" t="n"/>
      <c r="H253" s="1" t="n"/>
    </row>
    <row r="254">
      <c r="A254" s="1" t="n"/>
      <c r="B254" s="25" t="n"/>
      <c r="C254" s="26" t="n"/>
      <c r="D254" s="63" t="n"/>
      <c r="E254" s="64">
        <f>IF(C254="","",IFERROR(INDEX(Effectif!$E$7:$E$21,MATCH(C254,Effectif!$C$7:$C$21,0)),""))</f>
        <v/>
      </c>
      <c r="F254" s="29">
        <f>IF(AND(ISNUMBER(D254),ISNUMBER(E254)),D254*E254,"")</f>
        <v/>
      </c>
      <c r="G254" s="2" t="n"/>
      <c r="H254" s="1" t="n"/>
    </row>
    <row r="255">
      <c r="A255" s="1" t="n"/>
      <c r="B255" s="25" t="n"/>
      <c r="C255" s="26" t="n"/>
      <c r="D255" s="63" t="n"/>
      <c r="E255" s="64">
        <f>IF(C255="","",IFERROR(INDEX(Effectif!$E$7:$E$21,MATCH(C255,Effectif!$C$7:$C$21,0)),""))</f>
        <v/>
      </c>
      <c r="F255" s="29">
        <f>IF(AND(ISNUMBER(D255),ISNUMBER(E255)),D255*E255,"")</f>
        <v/>
      </c>
      <c r="G255" s="2" t="n"/>
      <c r="H255" s="1" t="n"/>
    </row>
    <row r="256">
      <c r="A256" s="1" t="n"/>
      <c r="B256" s="25" t="n"/>
      <c r="C256" s="26" t="n"/>
      <c r="D256" s="63" t="n"/>
      <c r="E256" s="64">
        <f>IF(C256="","",IFERROR(INDEX(Effectif!$E$7:$E$21,MATCH(C256,Effectif!$C$7:$C$21,0)),""))</f>
        <v/>
      </c>
      <c r="F256" s="29">
        <f>IF(AND(ISNUMBER(D256),ISNUMBER(E256)),D256*E256,"")</f>
        <v/>
      </c>
      <c r="G256" s="2" t="n"/>
      <c r="H256" s="1" t="n"/>
    </row>
    <row r="257">
      <c r="A257" s="1" t="n"/>
      <c r="B257" s="25" t="n"/>
      <c r="C257" s="26" t="n"/>
      <c r="D257" s="63" t="n"/>
      <c r="E257" s="64">
        <f>IF(C257="","",IFERROR(INDEX(Effectif!$E$7:$E$21,MATCH(C257,Effectif!$C$7:$C$21,0)),""))</f>
        <v/>
      </c>
      <c r="F257" s="29">
        <f>IF(AND(ISNUMBER(D257),ISNUMBER(E257)),D257*E257,"")</f>
        <v/>
      </c>
      <c r="G257" s="2" t="n"/>
      <c r="H257" s="1" t="n"/>
    </row>
    <row r="258">
      <c r="A258" s="1" t="n"/>
      <c r="B258" s="25" t="n"/>
      <c r="C258" s="26" t="n"/>
      <c r="D258" s="63" t="n"/>
      <c r="E258" s="64">
        <f>IF(C258="","",IFERROR(INDEX(Effectif!$E$7:$E$21,MATCH(C258,Effectif!$C$7:$C$21,0)),""))</f>
        <v/>
      </c>
      <c r="F258" s="29">
        <f>IF(AND(ISNUMBER(D258),ISNUMBER(E258)),D258*E258,"")</f>
        <v/>
      </c>
      <c r="G258" s="2" t="n"/>
      <c r="H258" s="1" t="n"/>
    </row>
    <row r="259">
      <c r="A259" s="1" t="n"/>
      <c r="B259" s="25" t="n"/>
      <c r="C259" s="26" t="n"/>
      <c r="D259" s="63" t="n"/>
      <c r="E259" s="64">
        <f>IF(C259="","",IFERROR(INDEX(Effectif!$E$7:$E$21,MATCH(C259,Effectif!$C$7:$C$21,0)),""))</f>
        <v/>
      </c>
      <c r="F259" s="29">
        <f>IF(AND(ISNUMBER(D259),ISNUMBER(E259)),D259*E259,"")</f>
        <v/>
      </c>
      <c r="G259" s="2" t="n"/>
      <c r="H259" s="1" t="n"/>
    </row>
    <row r="260">
      <c r="A260" s="1" t="n"/>
      <c r="B260" s="25" t="n"/>
      <c r="C260" s="26" t="n"/>
      <c r="D260" s="63" t="n"/>
      <c r="E260" s="64">
        <f>IF(C260="","",IFERROR(INDEX(Effectif!$E$7:$E$21,MATCH(C260,Effectif!$C$7:$C$21,0)),""))</f>
        <v/>
      </c>
      <c r="F260" s="29">
        <f>IF(AND(ISNUMBER(D260),ISNUMBER(E260)),D260*E260,"")</f>
        <v/>
      </c>
      <c r="G260" s="2" t="n"/>
      <c r="H260" s="1" t="n"/>
    </row>
    <row r="261">
      <c r="A261" s="1" t="n"/>
      <c r="B261" s="25" t="n"/>
      <c r="C261" s="26" t="n"/>
      <c r="D261" s="63" t="n"/>
      <c r="E261" s="64">
        <f>IF(C261="","",IFERROR(INDEX(Effectif!$E$7:$E$21,MATCH(C261,Effectif!$C$7:$C$21,0)),""))</f>
        <v/>
      </c>
      <c r="F261" s="29">
        <f>IF(AND(ISNUMBER(D261),ISNUMBER(E261)),D261*E261,"")</f>
        <v/>
      </c>
      <c r="G261" s="2" t="n"/>
      <c r="H261" s="1" t="n"/>
    </row>
    <row r="262">
      <c r="A262" s="1" t="n"/>
      <c r="B262" s="25" t="n"/>
      <c r="C262" s="26" t="n"/>
      <c r="D262" s="63" t="n"/>
      <c r="E262" s="64">
        <f>IF(C262="","",IFERROR(INDEX(Effectif!$E$7:$E$21,MATCH(C262,Effectif!$C$7:$C$21,0)),""))</f>
        <v/>
      </c>
      <c r="F262" s="29">
        <f>IF(AND(ISNUMBER(D262),ISNUMBER(E262)),D262*E262,"")</f>
        <v/>
      </c>
      <c r="G262" s="2" t="n"/>
      <c r="H262" s="1" t="n"/>
    </row>
    <row r="263">
      <c r="A263" s="1" t="n"/>
      <c r="B263" s="25" t="n"/>
      <c r="C263" s="26" t="n"/>
      <c r="D263" s="63" t="n"/>
      <c r="E263" s="64">
        <f>IF(C263="","",IFERROR(INDEX(Effectif!$E$7:$E$21,MATCH(C263,Effectif!$C$7:$C$21,0)),""))</f>
        <v/>
      </c>
      <c r="F263" s="29">
        <f>IF(AND(ISNUMBER(D263),ISNUMBER(E263)),D263*E263,"")</f>
        <v/>
      </c>
      <c r="G263" s="2" t="n"/>
      <c r="H263" s="1" t="n"/>
    </row>
    <row r="264">
      <c r="A264" s="1" t="n"/>
      <c r="B264" s="25" t="n"/>
      <c r="C264" s="26" t="n"/>
      <c r="D264" s="63" t="n"/>
      <c r="E264" s="64">
        <f>IF(C264="","",IFERROR(INDEX(Effectif!$E$7:$E$21,MATCH(C264,Effectif!$C$7:$C$21,0)),""))</f>
        <v/>
      </c>
      <c r="F264" s="29">
        <f>IF(AND(ISNUMBER(D264),ISNUMBER(E264)),D264*E264,"")</f>
        <v/>
      </c>
      <c r="G264" s="2" t="n"/>
      <c r="H264" s="1" t="n"/>
    </row>
    <row r="265">
      <c r="A265" s="1" t="n"/>
      <c r="B265" s="25" t="n"/>
      <c r="C265" s="26" t="n"/>
      <c r="D265" s="63" t="n"/>
      <c r="E265" s="64">
        <f>IF(C265="","",IFERROR(INDEX(Effectif!$E$7:$E$21,MATCH(C265,Effectif!$C$7:$C$21,0)),""))</f>
        <v/>
      </c>
      <c r="F265" s="29">
        <f>IF(AND(ISNUMBER(D265),ISNUMBER(E265)),D265*E265,"")</f>
        <v/>
      </c>
      <c r="G265" s="2" t="n"/>
      <c r="H265" s="1" t="n"/>
    </row>
    <row r="266">
      <c r="A266" s="1" t="n"/>
      <c r="B266" s="25" t="n"/>
      <c r="C266" s="26" t="n"/>
      <c r="D266" s="63" t="n"/>
      <c r="E266" s="64">
        <f>IF(C266="","",IFERROR(INDEX(Effectif!$E$7:$E$21,MATCH(C266,Effectif!$C$7:$C$21,0)),""))</f>
        <v/>
      </c>
      <c r="F266" s="29">
        <f>IF(AND(ISNUMBER(D266),ISNUMBER(E266)),D266*E266,"")</f>
        <v/>
      </c>
      <c r="G266" s="2" t="n"/>
      <c r="H266" s="1" t="n"/>
    </row>
    <row r="267">
      <c r="A267" s="1" t="n"/>
      <c r="B267" s="25" t="n"/>
      <c r="C267" s="26" t="n"/>
      <c r="D267" s="63" t="n"/>
      <c r="E267" s="64">
        <f>IF(C267="","",IFERROR(INDEX(Effectif!$E$7:$E$21,MATCH(C267,Effectif!$C$7:$C$21,0)),""))</f>
        <v/>
      </c>
      <c r="F267" s="29">
        <f>IF(AND(ISNUMBER(D267),ISNUMBER(E267)),D267*E267,"")</f>
        <v/>
      </c>
      <c r="G267" s="2" t="n"/>
      <c r="H267" s="1" t="n"/>
    </row>
    <row r="268">
      <c r="A268" s="1" t="n"/>
      <c r="B268" s="25" t="n"/>
      <c r="C268" s="26" t="n"/>
      <c r="D268" s="63" t="n"/>
      <c r="E268" s="64">
        <f>IF(C268="","",IFERROR(INDEX(Effectif!$E$7:$E$21,MATCH(C268,Effectif!$C$7:$C$21,0)),""))</f>
        <v/>
      </c>
      <c r="F268" s="29">
        <f>IF(AND(ISNUMBER(D268),ISNUMBER(E268)),D268*E268,"")</f>
        <v/>
      </c>
      <c r="G268" s="2" t="n"/>
      <c r="H268" s="1" t="n"/>
    </row>
    <row r="269">
      <c r="A269" s="1" t="n"/>
      <c r="B269" s="25" t="n"/>
      <c r="C269" s="26" t="n"/>
      <c r="D269" s="63" t="n"/>
      <c r="E269" s="64">
        <f>IF(C269="","",IFERROR(INDEX(Effectif!$E$7:$E$21,MATCH(C269,Effectif!$C$7:$C$21,0)),""))</f>
        <v/>
      </c>
      <c r="F269" s="29">
        <f>IF(AND(ISNUMBER(D269),ISNUMBER(E269)),D269*E269,"")</f>
        <v/>
      </c>
      <c r="G269" s="2" t="n"/>
      <c r="H269" s="1" t="n"/>
    </row>
    <row r="270">
      <c r="A270" s="1" t="n"/>
      <c r="B270" s="25" t="n"/>
      <c r="C270" s="26" t="n"/>
      <c r="D270" s="63" t="n"/>
      <c r="E270" s="64">
        <f>IF(C270="","",IFERROR(INDEX(Effectif!$E$7:$E$21,MATCH(C270,Effectif!$C$7:$C$21,0)),""))</f>
        <v/>
      </c>
      <c r="F270" s="29">
        <f>IF(AND(ISNUMBER(D270),ISNUMBER(E270)),D270*E270,"")</f>
        <v/>
      </c>
      <c r="G270" s="2" t="n"/>
      <c r="H270" s="1" t="n"/>
    </row>
    <row r="271">
      <c r="A271" s="1" t="n"/>
      <c r="B271" s="25" t="n"/>
      <c r="C271" s="26" t="n"/>
      <c r="D271" s="63" t="n"/>
      <c r="E271" s="64">
        <f>IF(C271="","",IFERROR(INDEX(Effectif!$E$7:$E$21,MATCH(C271,Effectif!$C$7:$C$21,0)),""))</f>
        <v/>
      </c>
      <c r="F271" s="29">
        <f>IF(AND(ISNUMBER(D271),ISNUMBER(E271)),D271*E271,"")</f>
        <v/>
      </c>
      <c r="G271" s="2" t="n"/>
      <c r="H271" s="1" t="n"/>
    </row>
    <row r="272">
      <c r="A272" s="1" t="n"/>
      <c r="B272" s="25" t="n"/>
      <c r="C272" s="26" t="n"/>
      <c r="D272" s="63" t="n"/>
      <c r="E272" s="64">
        <f>IF(C272="","",IFERROR(INDEX(Effectif!$E$7:$E$21,MATCH(C272,Effectif!$C$7:$C$21,0)),""))</f>
        <v/>
      </c>
      <c r="F272" s="29">
        <f>IF(AND(ISNUMBER(D272),ISNUMBER(E272)),D272*E272,"")</f>
        <v/>
      </c>
      <c r="G272" s="2" t="n"/>
      <c r="H272" s="1" t="n"/>
    </row>
    <row r="273">
      <c r="A273" s="1" t="n"/>
      <c r="B273" s="25" t="n"/>
      <c r="C273" s="26" t="n"/>
      <c r="D273" s="63" t="n"/>
      <c r="E273" s="64">
        <f>IF(C273="","",IFERROR(INDEX(Effectif!$E$7:$E$21,MATCH(C273,Effectif!$C$7:$C$21,0)),""))</f>
        <v/>
      </c>
      <c r="F273" s="29">
        <f>IF(AND(ISNUMBER(D273),ISNUMBER(E273)),D273*E273,"")</f>
        <v/>
      </c>
      <c r="G273" s="2" t="n"/>
      <c r="H273" s="1" t="n"/>
    </row>
    <row r="274">
      <c r="A274" s="1" t="n"/>
      <c r="B274" s="25" t="n"/>
      <c r="C274" s="26" t="n"/>
      <c r="D274" s="63" t="n"/>
      <c r="E274" s="64">
        <f>IF(C274="","",IFERROR(INDEX(Effectif!$E$7:$E$21,MATCH(C274,Effectif!$C$7:$C$21,0)),""))</f>
        <v/>
      </c>
      <c r="F274" s="29">
        <f>IF(AND(ISNUMBER(D274),ISNUMBER(E274)),D274*E274,"")</f>
        <v/>
      </c>
      <c r="G274" s="2" t="n"/>
      <c r="H274" s="1" t="n"/>
    </row>
    <row r="275">
      <c r="A275" s="1" t="n"/>
      <c r="B275" s="25" t="n"/>
      <c r="C275" s="26" t="n"/>
      <c r="D275" s="63" t="n"/>
      <c r="E275" s="64">
        <f>IF(C275="","",IFERROR(INDEX(Effectif!$E$7:$E$21,MATCH(C275,Effectif!$C$7:$C$21,0)),""))</f>
        <v/>
      </c>
      <c r="F275" s="29">
        <f>IF(AND(ISNUMBER(D275),ISNUMBER(E275)),D275*E275,"")</f>
        <v/>
      </c>
      <c r="G275" s="2" t="n"/>
      <c r="H275" s="1" t="n"/>
    </row>
    <row r="276">
      <c r="A276" s="1" t="n"/>
      <c r="B276" s="25" t="n"/>
      <c r="C276" s="26" t="n"/>
      <c r="D276" s="63" t="n"/>
      <c r="E276" s="64">
        <f>IF(C276="","",IFERROR(INDEX(Effectif!$E$7:$E$21,MATCH(C276,Effectif!$C$7:$C$21,0)),""))</f>
        <v/>
      </c>
      <c r="F276" s="29">
        <f>IF(AND(ISNUMBER(D276),ISNUMBER(E276)),D276*E276,"")</f>
        <v/>
      </c>
      <c r="G276" s="2" t="n"/>
      <c r="H276" s="1" t="n"/>
    </row>
    <row r="277">
      <c r="A277" s="1" t="n"/>
      <c r="B277" s="25" t="n"/>
      <c r="C277" s="26" t="n"/>
      <c r="D277" s="63" t="n"/>
      <c r="E277" s="64">
        <f>IF(C277="","",IFERROR(INDEX(Effectif!$E$7:$E$21,MATCH(C277,Effectif!$C$7:$C$21,0)),""))</f>
        <v/>
      </c>
      <c r="F277" s="29">
        <f>IF(AND(ISNUMBER(D277),ISNUMBER(E277)),D277*E277,"")</f>
        <v/>
      </c>
      <c r="G277" s="2" t="n"/>
      <c r="H277" s="1" t="n"/>
    </row>
    <row r="278">
      <c r="A278" s="1" t="n"/>
      <c r="B278" s="25" t="n"/>
      <c r="C278" s="26" t="n"/>
      <c r="D278" s="63" t="n"/>
      <c r="E278" s="64">
        <f>IF(C278="","",IFERROR(INDEX(Effectif!$E$7:$E$21,MATCH(C278,Effectif!$C$7:$C$21,0)),""))</f>
        <v/>
      </c>
      <c r="F278" s="29">
        <f>IF(AND(ISNUMBER(D278),ISNUMBER(E278)),D278*E278,"")</f>
        <v/>
      </c>
      <c r="G278" s="2" t="n"/>
      <c r="H278" s="1" t="n"/>
    </row>
    <row r="279">
      <c r="A279" s="1" t="n"/>
      <c r="B279" s="25" t="n"/>
      <c r="C279" s="26" t="n"/>
      <c r="D279" s="63" t="n"/>
      <c r="E279" s="64">
        <f>IF(C279="","",IFERROR(INDEX(Effectif!$E$7:$E$21,MATCH(C279,Effectif!$C$7:$C$21,0)),""))</f>
        <v/>
      </c>
      <c r="F279" s="29">
        <f>IF(AND(ISNUMBER(D279),ISNUMBER(E279)),D279*E279,"")</f>
        <v/>
      </c>
      <c r="G279" s="2" t="n"/>
      <c r="H279" s="1" t="n"/>
    </row>
    <row r="280">
      <c r="A280" s="1" t="n"/>
      <c r="B280" s="25" t="n"/>
      <c r="C280" s="26" t="n"/>
      <c r="D280" s="63" t="n"/>
      <c r="E280" s="64">
        <f>IF(C280="","",IFERROR(INDEX(Effectif!$E$7:$E$21,MATCH(C280,Effectif!$C$7:$C$21,0)),""))</f>
        <v/>
      </c>
      <c r="F280" s="29">
        <f>IF(AND(ISNUMBER(D280),ISNUMBER(E280)),D280*E280,"")</f>
        <v/>
      </c>
      <c r="G280" s="2" t="n"/>
      <c r="H280" s="1" t="n"/>
    </row>
    <row r="281">
      <c r="A281" s="1" t="n"/>
      <c r="B281" s="25" t="n"/>
      <c r="C281" s="26" t="n"/>
      <c r="D281" s="63" t="n"/>
      <c r="E281" s="64">
        <f>IF(C281="","",IFERROR(INDEX(Effectif!$E$7:$E$21,MATCH(C281,Effectif!$C$7:$C$21,0)),""))</f>
        <v/>
      </c>
      <c r="F281" s="29">
        <f>IF(AND(ISNUMBER(D281),ISNUMBER(E281)),D281*E281,"")</f>
        <v/>
      </c>
      <c r="G281" s="2" t="n"/>
      <c r="H281" s="1" t="n"/>
    </row>
    <row r="282">
      <c r="A282" s="1" t="n"/>
      <c r="B282" s="25" t="n"/>
      <c r="C282" s="26" t="n"/>
      <c r="D282" s="63" t="n"/>
      <c r="E282" s="64">
        <f>IF(C282="","",IFERROR(INDEX(Effectif!$E$7:$E$21,MATCH(C282,Effectif!$C$7:$C$21,0)),""))</f>
        <v/>
      </c>
      <c r="F282" s="29">
        <f>IF(AND(ISNUMBER(D282),ISNUMBER(E282)),D282*E282,"")</f>
        <v/>
      </c>
      <c r="G282" s="2" t="n"/>
      <c r="H282" s="1" t="n"/>
    </row>
    <row r="283">
      <c r="A283" s="1" t="n"/>
      <c r="B283" s="25" t="n"/>
      <c r="C283" s="26" t="n"/>
      <c r="D283" s="63" t="n"/>
      <c r="E283" s="64">
        <f>IF(C283="","",IFERROR(INDEX(Effectif!$E$7:$E$21,MATCH(C283,Effectif!$C$7:$C$21,0)),""))</f>
        <v/>
      </c>
      <c r="F283" s="29">
        <f>IF(AND(ISNUMBER(D283),ISNUMBER(E283)),D283*E283,"")</f>
        <v/>
      </c>
      <c r="G283" s="2" t="n"/>
      <c r="H283" s="1" t="n"/>
    </row>
    <row r="284">
      <c r="A284" s="1" t="n"/>
      <c r="B284" s="25" t="n"/>
      <c r="C284" s="26" t="n"/>
      <c r="D284" s="63" t="n"/>
      <c r="E284" s="64">
        <f>IF(C284="","",IFERROR(INDEX(Effectif!$E$7:$E$21,MATCH(C284,Effectif!$C$7:$C$21,0)),""))</f>
        <v/>
      </c>
      <c r="F284" s="29">
        <f>IF(AND(ISNUMBER(D284),ISNUMBER(E284)),D284*E284,"")</f>
        <v/>
      </c>
      <c r="G284" s="2" t="n"/>
      <c r="H284" s="1" t="n"/>
    </row>
    <row r="285">
      <c r="A285" s="1" t="n"/>
      <c r="B285" s="25" t="n"/>
      <c r="C285" s="26" t="n"/>
      <c r="D285" s="63" t="n"/>
      <c r="E285" s="64">
        <f>IF(C285="","",IFERROR(INDEX(Effectif!$E$7:$E$21,MATCH(C285,Effectif!$C$7:$C$21,0)),""))</f>
        <v/>
      </c>
      <c r="F285" s="29">
        <f>IF(AND(ISNUMBER(D285),ISNUMBER(E285)),D285*E285,"")</f>
        <v/>
      </c>
      <c r="G285" s="2" t="n"/>
      <c r="H285" s="1" t="n"/>
    </row>
    <row r="286">
      <c r="A286" s="1" t="n"/>
      <c r="B286" s="25" t="n"/>
      <c r="C286" s="26" t="n"/>
      <c r="D286" s="63" t="n"/>
      <c r="E286" s="64">
        <f>IF(C286="","",IFERROR(INDEX(Effectif!$E$7:$E$21,MATCH(C286,Effectif!$C$7:$C$21,0)),""))</f>
        <v/>
      </c>
      <c r="F286" s="29">
        <f>IF(AND(ISNUMBER(D286),ISNUMBER(E286)),D286*E286,"")</f>
        <v/>
      </c>
      <c r="G286" s="2" t="n"/>
      <c r="H286" s="1" t="n"/>
    </row>
    <row r="287">
      <c r="A287" s="1" t="n"/>
      <c r="B287" s="25" t="n"/>
      <c r="C287" s="26" t="n"/>
      <c r="D287" s="63" t="n"/>
      <c r="E287" s="64">
        <f>IF(C287="","",IFERROR(INDEX(Effectif!$E$7:$E$21,MATCH(C287,Effectif!$C$7:$C$21,0)),""))</f>
        <v/>
      </c>
      <c r="F287" s="29">
        <f>IF(AND(ISNUMBER(D287),ISNUMBER(E287)),D287*E287,"")</f>
        <v/>
      </c>
      <c r="G287" s="2" t="n"/>
      <c r="H287" s="1" t="n"/>
    </row>
    <row r="288">
      <c r="A288" s="1" t="n"/>
      <c r="B288" s="25" t="n"/>
      <c r="C288" s="26" t="n"/>
      <c r="D288" s="63" t="n"/>
      <c r="E288" s="64">
        <f>IF(C288="","",IFERROR(INDEX(Effectif!$E$7:$E$21,MATCH(C288,Effectif!$C$7:$C$21,0)),""))</f>
        <v/>
      </c>
      <c r="F288" s="29">
        <f>IF(AND(ISNUMBER(D288),ISNUMBER(E288)),D288*E288,"")</f>
        <v/>
      </c>
      <c r="G288" s="2" t="n"/>
      <c r="H288" s="1" t="n"/>
    </row>
    <row r="289">
      <c r="A289" s="1" t="n"/>
      <c r="B289" s="25" t="n"/>
      <c r="C289" s="26" t="n"/>
      <c r="D289" s="63" t="n"/>
      <c r="E289" s="64">
        <f>IF(C289="","",IFERROR(INDEX(Effectif!$E$7:$E$21,MATCH(C289,Effectif!$C$7:$C$21,0)),""))</f>
        <v/>
      </c>
      <c r="F289" s="29">
        <f>IF(AND(ISNUMBER(D289),ISNUMBER(E289)),D289*E289,"")</f>
        <v/>
      </c>
      <c r="G289" s="2" t="n"/>
      <c r="H289" s="1" t="n"/>
    </row>
    <row r="290">
      <c r="A290" s="1" t="n"/>
      <c r="B290" s="25" t="n"/>
      <c r="C290" s="26" t="n"/>
      <c r="D290" s="63" t="n"/>
      <c r="E290" s="64">
        <f>IF(C290="","",IFERROR(INDEX(Effectif!$E$7:$E$21,MATCH(C290,Effectif!$C$7:$C$21,0)),""))</f>
        <v/>
      </c>
      <c r="F290" s="29">
        <f>IF(AND(ISNUMBER(D290),ISNUMBER(E290)),D290*E290,"")</f>
        <v/>
      </c>
      <c r="G290" s="2" t="n"/>
      <c r="H290" s="1" t="n"/>
    </row>
    <row r="291">
      <c r="A291" s="1" t="n"/>
      <c r="B291" s="25" t="n"/>
      <c r="C291" s="26" t="n"/>
      <c r="D291" s="63" t="n"/>
      <c r="E291" s="64">
        <f>IF(C291="","",IFERROR(INDEX(Effectif!$E$7:$E$21,MATCH(C291,Effectif!$C$7:$C$21,0)),""))</f>
        <v/>
      </c>
      <c r="F291" s="29">
        <f>IF(AND(ISNUMBER(D291),ISNUMBER(E291)),D291*E291,"")</f>
        <v/>
      </c>
      <c r="G291" s="2" t="n"/>
      <c r="H291" s="1" t="n"/>
    </row>
    <row r="292">
      <c r="A292" s="1" t="n"/>
      <c r="B292" s="25" t="n"/>
      <c r="C292" s="26" t="n"/>
      <c r="D292" s="63" t="n"/>
      <c r="E292" s="64">
        <f>IF(C292="","",IFERROR(INDEX(Effectif!$E$7:$E$21,MATCH(C292,Effectif!$C$7:$C$21,0)),""))</f>
        <v/>
      </c>
      <c r="F292" s="29">
        <f>IF(AND(ISNUMBER(D292),ISNUMBER(E292)),D292*E292,"")</f>
        <v/>
      </c>
      <c r="G292" s="2" t="n"/>
      <c r="H292" s="1" t="n"/>
    </row>
    <row r="293">
      <c r="A293" s="1" t="n"/>
      <c r="B293" s="25" t="n"/>
      <c r="C293" s="26" t="n"/>
      <c r="D293" s="63" t="n"/>
      <c r="E293" s="64">
        <f>IF(C293="","",IFERROR(INDEX(Effectif!$E$7:$E$21,MATCH(C293,Effectif!$C$7:$C$21,0)),""))</f>
        <v/>
      </c>
      <c r="F293" s="29">
        <f>IF(AND(ISNUMBER(D293),ISNUMBER(E293)),D293*E293,"")</f>
        <v/>
      </c>
      <c r="G293" s="2" t="n"/>
      <c r="H293" s="1" t="n"/>
    </row>
    <row r="294">
      <c r="A294" s="1" t="n"/>
      <c r="B294" s="25" t="n"/>
      <c r="C294" s="26" t="n"/>
      <c r="D294" s="63" t="n"/>
      <c r="E294" s="64">
        <f>IF(C294="","",IFERROR(INDEX(Effectif!$E$7:$E$21,MATCH(C294,Effectif!$C$7:$C$21,0)),""))</f>
        <v/>
      </c>
      <c r="F294" s="29">
        <f>IF(AND(ISNUMBER(D294),ISNUMBER(E294)),D294*E294,"")</f>
        <v/>
      </c>
      <c r="G294" s="2" t="n"/>
      <c r="H294" s="1" t="n"/>
    </row>
    <row r="295">
      <c r="A295" s="1" t="n"/>
      <c r="B295" s="25" t="n"/>
      <c r="C295" s="26" t="n"/>
      <c r="D295" s="63" t="n"/>
      <c r="E295" s="64">
        <f>IF(C295="","",IFERROR(INDEX(Effectif!$E$7:$E$21,MATCH(C295,Effectif!$C$7:$C$21,0)),""))</f>
        <v/>
      </c>
      <c r="F295" s="29">
        <f>IF(AND(ISNUMBER(D295),ISNUMBER(E295)),D295*E295,"")</f>
        <v/>
      </c>
      <c r="G295" s="2" t="n"/>
      <c r="H295" s="1" t="n"/>
    </row>
    <row r="296">
      <c r="A296" s="1" t="n"/>
      <c r="B296" s="25" t="n"/>
      <c r="C296" s="26" t="n"/>
      <c r="D296" s="63" t="n"/>
      <c r="E296" s="64">
        <f>IF(C296="","",IFERROR(INDEX(Effectif!$E$7:$E$21,MATCH(C296,Effectif!$C$7:$C$21,0)),""))</f>
        <v/>
      </c>
      <c r="F296" s="29">
        <f>IF(AND(ISNUMBER(D296),ISNUMBER(E296)),D296*E296,"")</f>
        <v/>
      </c>
      <c r="G296" s="2" t="n"/>
      <c r="H296" s="1" t="n"/>
    </row>
    <row r="297">
      <c r="A297" s="1" t="n"/>
      <c r="B297" s="25" t="n"/>
      <c r="C297" s="26" t="n"/>
      <c r="D297" s="63" t="n"/>
      <c r="E297" s="64">
        <f>IF(C297="","",IFERROR(INDEX(Effectif!$E$7:$E$21,MATCH(C297,Effectif!$C$7:$C$21,0)),""))</f>
        <v/>
      </c>
      <c r="F297" s="29">
        <f>IF(AND(ISNUMBER(D297),ISNUMBER(E297)),D297*E297,"")</f>
        <v/>
      </c>
      <c r="G297" s="2" t="n"/>
      <c r="H297" s="1" t="n"/>
    </row>
    <row r="298">
      <c r="A298" s="1" t="n"/>
      <c r="B298" s="25" t="n"/>
      <c r="C298" s="26" t="n"/>
      <c r="D298" s="63" t="n"/>
      <c r="E298" s="64">
        <f>IF(C298="","",IFERROR(INDEX(Effectif!$E$7:$E$21,MATCH(C298,Effectif!$C$7:$C$21,0)),""))</f>
        <v/>
      </c>
      <c r="F298" s="29">
        <f>IF(AND(ISNUMBER(D298),ISNUMBER(E298)),D298*E298,"")</f>
        <v/>
      </c>
      <c r="G298" s="2" t="n"/>
      <c r="H298" s="1" t="n"/>
    </row>
    <row r="299">
      <c r="A299" s="1" t="n"/>
      <c r="B299" s="25" t="n"/>
      <c r="C299" s="26" t="n"/>
      <c r="D299" s="63" t="n"/>
      <c r="E299" s="64">
        <f>IF(C299="","",IFERROR(INDEX(Effectif!$E$7:$E$21,MATCH(C299,Effectif!$C$7:$C$21,0)),""))</f>
        <v/>
      </c>
      <c r="F299" s="29">
        <f>IF(AND(ISNUMBER(D299),ISNUMBER(E299)),D299*E299,"")</f>
        <v/>
      </c>
      <c r="G299" s="2" t="n"/>
      <c r="H299" s="1" t="n"/>
    </row>
    <row r="300">
      <c r="A300" s="1" t="n"/>
      <c r="B300" s="25" t="n"/>
      <c r="C300" s="26" t="n"/>
      <c r="D300" s="63" t="n"/>
      <c r="E300" s="64">
        <f>IF(C300="","",IFERROR(INDEX(Effectif!$E$7:$E$21,MATCH(C300,Effectif!$C$7:$C$21,0)),""))</f>
        <v/>
      </c>
      <c r="F300" s="29">
        <f>IF(AND(ISNUMBER(D300),ISNUMBER(E300)),D300*E300,"")</f>
        <v/>
      </c>
      <c r="G300" s="2" t="n"/>
      <c r="H300" s="1" t="n"/>
    </row>
    <row r="301">
      <c r="A301" s="1" t="n"/>
      <c r="B301" s="25" t="n"/>
      <c r="C301" s="26" t="n"/>
      <c r="D301" s="63" t="n"/>
      <c r="E301" s="64">
        <f>IF(C301="","",IFERROR(INDEX(Effectif!$E$7:$E$21,MATCH(C301,Effectif!$C$7:$C$21,0)),""))</f>
        <v/>
      </c>
      <c r="F301" s="29">
        <f>IF(AND(ISNUMBER(D301),ISNUMBER(E301)),D301*E301,"")</f>
        <v/>
      </c>
      <c r="G301" s="2" t="n"/>
      <c r="H301" s="1" t="n"/>
    </row>
    <row r="302">
      <c r="A302" s="1" t="n"/>
      <c r="B302" s="25" t="n"/>
      <c r="C302" s="26" t="n"/>
      <c r="D302" s="63" t="n"/>
      <c r="E302" s="64">
        <f>IF(C302="","",IFERROR(INDEX(Effectif!$E$7:$E$21,MATCH(C302,Effectif!$C$7:$C$21,0)),""))</f>
        <v/>
      </c>
      <c r="F302" s="29">
        <f>IF(AND(ISNUMBER(D302),ISNUMBER(E302)),D302*E302,"")</f>
        <v/>
      </c>
      <c r="G302" s="2" t="n"/>
      <c r="H302" s="1" t="n"/>
    </row>
    <row r="303">
      <c r="A303" s="1" t="n"/>
      <c r="B303" s="25" t="n"/>
      <c r="C303" s="26" t="n"/>
      <c r="D303" s="63" t="n"/>
      <c r="E303" s="64">
        <f>IF(C303="","",IFERROR(INDEX(Effectif!$E$7:$E$21,MATCH(C303,Effectif!$C$7:$C$21,0)),""))</f>
        <v/>
      </c>
      <c r="F303" s="29">
        <f>IF(AND(ISNUMBER(D303),ISNUMBER(E303)),D303*E303,"")</f>
        <v/>
      </c>
      <c r="G303" s="2" t="n"/>
      <c r="H303" s="1" t="n"/>
    </row>
    <row r="304">
      <c r="A304" s="1" t="n"/>
      <c r="B304" s="25" t="n"/>
      <c r="C304" s="26" t="n"/>
      <c r="D304" s="63" t="n"/>
      <c r="E304" s="64">
        <f>IF(C304="","",IFERROR(INDEX(Effectif!$E$7:$E$21,MATCH(C304,Effectif!$C$7:$C$21,0)),""))</f>
        <v/>
      </c>
      <c r="F304" s="29">
        <f>IF(AND(ISNUMBER(D304),ISNUMBER(E304)),D304*E304,"")</f>
        <v/>
      </c>
      <c r="G304" s="2" t="n"/>
      <c r="H304" s="1" t="n"/>
    </row>
    <row r="305">
      <c r="A305" s="1" t="n"/>
      <c r="B305" s="25" t="n"/>
      <c r="C305" s="26" t="n"/>
      <c r="D305" s="63" t="n"/>
      <c r="E305" s="64">
        <f>IF(C305="","",IFERROR(INDEX(Effectif!$E$7:$E$21,MATCH(C305,Effectif!$C$7:$C$21,0)),""))</f>
        <v/>
      </c>
      <c r="F305" s="29">
        <f>IF(AND(ISNUMBER(D305),ISNUMBER(E305)),D305*E305,"")</f>
        <v/>
      </c>
      <c r="G305" s="2" t="n"/>
      <c r="H305" s="1" t="n"/>
    </row>
    <row r="306">
      <c r="A306" s="1" t="n"/>
      <c r="B306" s="25" t="n"/>
      <c r="C306" s="26" t="n"/>
      <c r="D306" s="63" t="n"/>
      <c r="E306" s="64">
        <f>IF(C306="","",IFERROR(INDEX(Effectif!$E$7:$E$21,MATCH(C306,Effectif!$C$7:$C$21,0)),""))</f>
        <v/>
      </c>
      <c r="F306" s="29">
        <f>IF(AND(ISNUMBER(D306),ISNUMBER(E306)),D306*E306,"")</f>
        <v/>
      </c>
      <c r="G306" s="2" t="n"/>
      <c r="H306" s="1" t="n"/>
    </row>
    <row r="307">
      <c r="A307" s="1" t="n"/>
      <c r="B307" s="25" t="n"/>
      <c r="C307" s="26" t="n"/>
      <c r="D307" s="63" t="n"/>
      <c r="E307" s="64">
        <f>IF(C307="","",IFERROR(INDEX(Effectif!$E$7:$E$21,MATCH(C307,Effectif!$C$7:$C$21,0)),""))</f>
        <v/>
      </c>
      <c r="F307" s="29">
        <f>IF(AND(ISNUMBER(D307),ISNUMBER(E307)),D307*E307,"")</f>
        <v/>
      </c>
      <c r="G307" s="2" t="n"/>
      <c r="H307" s="1" t="n"/>
    </row>
    <row r="308">
      <c r="A308" s="1" t="n"/>
      <c r="B308" s="25" t="n"/>
      <c r="C308" s="26" t="n"/>
      <c r="D308" s="63" t="n"/>
      <c r="E308" s="64">
        <f>IF(C308="","",IFERROR(INDEX(Effectif!$E$7:$E$21,MATCH(C308,Effectif!$C$7:$C$21,0)),""))</f>
        <v/>
      </c>
      <c r="F308" s="29">
        <f>IF(AND(ISNUMBER(D308),ISNUMBER(E308)),D308*E308,"")</f>
        <v/>
      </c>
      <c r="G308" s="2" t="n"/>
      <c r="H308" s="1" t="n"/>
    </row>
    <row r="309">
      <c r="A309" s="1" t="n"/>
      <c r="B309" s="25" t="n"/>
      <c r="C309" s="26" t="n"/>
      <c r="D309" s="63" t="n"/>
      <c r="E309" s="64">
        <f>IF(C309="","",IFERROR(INDEX(Effectif!$E$7:$E$21,MATCH(C309,Effectif!$C$7:$C$21,0)),""))</f>
        <v/>
      </c>
      <c r="F309" s="29">
        <f>IF(AND(ISNUMBER(D309),ISNUMBER(E309)),D309*E309,"")</f>
        <v/>
      </c>
      <c r="G309" s="2" t="n"/>
      <c r="H309" s="1" t="n"/>
    </row>
    <row r="310">
      <c r="A310" s="1" t="n"/>
      <c r="B310" s="25" t="n"/>
      <c r="C310" s="26" t="n"/>
      <c r="D310" s="63" t="n"/>
      <c r="E310" s="64">
        <f>IF(C310="","",IFERROR(INDEX(Effectif!$E$7:$E$21,MATCH(C310,Effectif!$C$7:$C$21,0)),""))</f>
        <v/>
      </c>
      <c r="F310" s="29">
        <f>IF(AND(ISNUMBER(D310),ISNUMBER(E310)),D310*E310,"")</f>
        <v/>
      </c>
      <c r="G310" s="2" t="n"/>
      <c r="H310" s="1" t="n"/>
    </row>
    <row r="311">
      <c r="A311" s="1" t="n"/>
      <c r="B311" s="25" t="n"/>
      <c r="C311" s="26" t="n"/>
      <c r="D311" s="63" t="n"/>
      <c r="E311" s="64">
        <f>IF(C311="","",IFERROR(INDEX(Effectif!$E$7:$E$21,MATCH(C311,Effectif!$C$7:$C$21,0)),""))</f>
        <v/>
      </c>
      <c r="F311" s="29">
        <f>IF(AND(ISNUMBER(D311),ISNUMBER(E311)),D311*E311,"")</f>
        <v/>
      </c>
      <c r="G311" s="2" t="n"/>
      <c r="H311" s="1" t="n"/>
    </row>
    <row r="312">
      <c r="A312" s="1" t="n"/>
      <c r="B312" s="25" t="n"/>
      <c r="C312" s="26" t="n"/>
      <c r="D312" s="63" t="n"/>
      <c r="E312" s="64">
        <f>IF(C312="","",IFERROR(INDEX(Effectif!$E$7:$E$21,MATCH(C312,Effectif!$C$7:$C$21,0)),""))</f>
        <v/>
      </c>
      <c r="F312" s="29">
        <f>IF(AND(ISNUMBER(D312),ISNUMBER(E312)),D312*E312,"")</f>
        <v/>
      </c>
      <c r="G312" s="2" t="n"/>
      <c r="H312" s="1" t="n"/>
    </row>
    <row r="313">
      <c r="A313" s="1" t="n"/>
      <c r="B313" s="25" t="n"/>
      <c r="C313" s="26" t="n"/>
      <c r="D313" s="63" t="n"/>
      <c r="E313" s="64">
        <f>IF(C313="","",IFERROR(INDEX(Effectif!$E$7:$E$21,MATCH(C313,Effectif!$C$7:$C$21,0)),""))</f>
        <v/>
      </c>
      <c r="F313" s="29">
        <f>IF(AND(ISNUMBER(D313),ISNUMBER(E313)),D313*E313,"")</f>
        <v/>
      </c>
      <c r="G313" s="2" t="n"/>
      <c r="H313" s="1" t="n"/>
    </row>
    <row r="314">
      <c r="A314" s="1" t="n"/>
      <c r="B314" s="25" t="n"/>
      <c r="C314" s="26" t="n"/>
      <c r="D314" s="63" t="n"/>
      <c r="E314" s="64">
        <f>IF(C314="","",IFERROR(INDEX(Effectif!$E$7:$E$21,MATCH(C314,Effectif!$C$7:$C$21,0)),""))</f>
        <v/>
      </c>
      <c r="F314" s="29">
        <f>IF(AND(ISNUMBER(D314),ISNUMBER(E314)),D314*E314,"")</f>
        <v/>
      </c>
      <c r="G314" s="2" t="n"/>
      <c r="H314" s="1" t="n"/>
    </row>
    <row r="315">
      <c r="A315" s="1" t="n"/>
      <c r="B315" s="25" t="n"/>
      <c r="C315" s="26" t="n"/>
      <c r="D315" s="63" t="n"/>
      <c r="E315" s="64">
        <f>IF(C315="","",IFERROR(INDEX(Effectif!$E$7:$E$21,MATCH(C315,Effectif!$C$7:$C$21,0)),""))</f>
        <v/>
      </c>
      <c r="F315" s="29">
        <f>IF(AND(ISNUMBER(D315),ISNUMBER(E315)),D315*E315,"")</f>
        <v/>
      </c>
      <c r="G315" s="2" t="n"/>
      <c r="H315" s="1" t="n"/>
    </row>
    <row r="316">
      <c r="A316" s="1" t="n"/>
      <c r="B316" s="25" t="n"/>
      <c r="C316" s="26" t="n"/>
      <c r="D316" s="63" t="n"/>
      <c r="E316" s="64">
        <f>IF(C316="","",IFERROR(INDEX(Effectif!$E$7:$E$21,MATCH(C316,Effectif!$C$7:$C$21,0)),""))</f>
        <v/>
      </c>
      <c r="F316" s="29">
        <f>IF(AND(ISNUMBER(D316),ISNUMBER(E316)),D316*E316,"")</f>
        <v/>
      </c>
      <c r="G316" s="2" t="n"/>
      <c r="H316" s="1" t="n"/>
    </row>
    <row r="317">
      <c r="A317" s="1" t="n"/>
      <c r="B317" s="25" t="n"/>
      <c r="C317" s="26" t="n"/>
      <c r="D317" s="63" t="n"/>
      <c r="E317" s="64">
        <f>IF(C317="","",IFERROR(INDEX(Effectif!$E$7:$E$21,MATCH(C317,Effectif!$C$7:$C$21,0)),""))</f>
        <v/>
      </c>
      <c r="F317" s="29">
        <f>IF(AND(ISNUMBER(D317),ISNUMBER(E317)),D317*E317,"")</f>
        <v/>
      </c>
      <c r="G317" s="2" t="n"/>
      <c r="H317" s="1" t="n"/>
    </row>
    <row r="318">
      <c r="A318" s="1" t="n"/>
      <c r="B318" s="25" t="n"/>
      <c r="C318" s="26" t="n"/>
      <c r="D318" s="63" t="n"/>
      <c r="E318" s="64">
        <f>IF(C318="","",IFERROR(INDEX(Effectif!$E$7:$E$21,MATCH(C318,Effectif!$C$7:$C$21,0)),""))</f>
        <v/>
      </c>
      <c r="F318" s="29">
        <f>IF(AND(ISNUMBER(D318),ISNUMBER(E318)),D318*E318,"")</f>
        <v/>
      </c>
      <c r="G318" s="2" t="n"/>
      <c r="H318" s="1" t="n"/>
    </row>
    <row r="319">
      <c r="A319" s="1" t="n"/>
      <c r="B319" s="25" t="n"/>
      <c r="C319" s="26" t="n"/>
      <c r="D319" s="63" t="n"/>
      <c r="E319" s="64">
        <f>IF(C319="","",IFERROR(INDEX(Effectif!$E$7:$E$21,MATCH(C319,Effectif!$C$7:$C$21,0)),""))</f>
        <v/>
      </c>
      <c r="F319" s="29">
        <f>IF(AND(ISNUMBER(D319),ISNUMBER(E319)),D319*E319,"")</f>
        <v/>
      </c>
      <c r="G319" s="2" t="n"/>
      <c r="H319" s="1" t="n"/>
    </row>
    <row r="320">
      <c r="A320" s="1" t="n"/>
      <c r="B320" s="25" t="n"/>
      <c r="C320" s="26" t="n"/>
      <c r="D320" s="63" t="n"/>
      <c r="E320" s="64">
        <f>IF(C320="","",IFERROR(INDEX(Effectif!$E$7:$E$21,MATCH(C320,Effectif!$C$7:$C$21,0)),""))</f>
        <v/>
      </c>
      <c r="F320" s="29">
        <f>IF(AND(ISNUMBER(D320),ISNUMBER(E320)),D320*E320,"")</f>
        <v/>
      </c>
      <c r="G320" s="2" t="n"/>
      <c r="H320" s="1" t="n"/>
    </row>
    <row r="321">
      <c r="A321" s="1" t="n"/>
      <c r="B321" s="25" t="n"/>
      <c r="C321" s="26" t="n"/>
      <c r="D321" s="63" t="n"/>
      <c r="E321" s="64">
        <f>IF(C321="","",IFERROR(INDEX(Effectif!$E$7:$E$21,MATCH(C321,Effectif!$C$7:$C$21,0)),""))</f>
        <v/>
      </c>
      <c r="F321" s="29">
        <f>IF(AND(ISNUMBER(D321),ISNUMBER(E321)),D321*E321,"")</f>
        <v/>
      </c>
      <c r="G321" s="2" t="n"/>
      <c r="H321" s="1" t="n"/>
    </row>
    <row r="322">
      <c r="A322" s="1" t="n"/>
      <c r="B322" s="25" t="n"/>
      <c r="C322" s="26" t="n"/>
      <c r="D322" s="63" t="n"/>
      <c r="E322" s="64">
        <f>IF(C322="","",IFERROR(INDEX(Effectif!$E$7:$E$21,MATCH(C322,Effectif!$C$7:$C$21,0)),""))</f>
        <v/>
      </c>
      <c r="F322" s="29">
        <f>IF(AND(ISNUMBER(D322),ISNUMBER(E322)),D322*E322,"")</f>
        <v/>
      </c>
      <c r="G322" s="2" t="n"/>
      <c r="H322" s="1" t="n"/>
    </row>
    <row r="323">
      <c r="A323" s="1" t="n"/>
      <c r="B323" s="25" t="n"/>
      <c r="C323" s="26" t="n"/>
      <c r="D323" s="63" t="n"/>
      <c r="E323" s="64">
        <f>IF(C323="","",IFERROR(INDEX(Effectif!$E$7:$E$21,MATCH(C323,Effectif!$C$7:$C$21,0)),""))</f>
        <v/>
      </c>
      <c r="F323" s="29">
        <f>IF(AND(ISNUMBER(D323),ISNUMBER(E323)),D323*E323,"")</f>
        <v/>
      </c>
      <c r="G323" s="2" t="n"/>
      <c r="H323" s="1" t="n"/>
    </row>
    <row r="324">
      <c r="A324" s="1" t="n"/>
      <c r="B324" s="25" t="n"/>
      <c r="C324" s="26" t="n"/>
      <c r="D324" s="63" t="n"/>
      <c r="E324" s="64">
        <f>IF(C324="","",IFERROR(INDEX(Effectif!$E$7:$E$21,MATCH(C324,Effectif!$C$7:$C$21,0)),""))</f>
        <v/>
      </c>
      <c r="F324" s="29">
        <f>IF(AND(ISNUMBER(D324),ISNUMBER(E324)),D324*E324,"")</f>
        <v/>
      </c>
      <c r="G324" s="2" t="n"/>
      <c r="H324" s="1" t="n"/>
    </row>
    <row r="325">
      <c r="A325" s="1" t="n"/>
      <c r="B325" s="25" t="n"/>
      <c r="C325" s="26" t="n"/>
      <c r="D325" s="63" t="n"/>
      <c r="E325" s="64">
        <f>IF(C325="","",IFERROR(INDEX(Effectif!$E$7:$E$21,MATCH(C325,Effectif!$C$7:$C$21,0)),""))</f>
        <v/>
      </c>
      <c r="F325" s="29">
        <f>IF(AND(ISNUMBER(D325),ISNUMBER(E325)),D325*E325,"")</f>
        <v/>
      </c>
      <c r="G325" s="2" t="n"/>
      <c r="H325" s="1" t="n"/>
    </row>
    <row r="326">
      <c r="A326" s="1" t="n"/>
      <c r="B326" s="25" t="n"/>
      <c r="C326" s="26" t="n"/>
      <c r="D326" s="63" t="n"/>
      <c r="E326" s="64">
        <f>IF(C326="","",IFERROR(INDEX(Effectif!$E$7:$E$21,MATCH(C326,Effectif!$C$7:$C$21,0)),""))</f>
        <v/>
      </c>
      <c r="F326" s="29">
        <f>IF(AND(ISNUMBER(D326),ISNUMBER(E326)),D326*E326,"")</f>
        <v/>
      </c>
      <c r="G326" s="2" t="n"/>
      <c r="H326" s="1" t="n"/>
    </row>
    <row r="327">
      <c r="A327" s="1" t="n"/>
      <c r="B327" s="25" t="n"/>
      <c r="C327" s="26" t="n"/>
      <c r="D327" s="63" t="n"/>
      <c r="E327" s="64">
        <f>IF(C327="","",IFERROR(INDEX(Effectif!$E$7:$E$21,MATCH(C327,Effectif!$C$7:$C$21,0)),""))</f>
        <v/>
      </c>
      <c r="F327" s="29">
        <f>IF(AND(ISNUMBER(D327),ISNUMBER(E327)),D327*E327,"")</f>
        <v/>
      </c>
      <c r="G327" s="2" t="n"/>
      <c r="H327" s="1" t="n"/>
    </row>
    <row r="328">
      <c r="A328" s="1" t="n"/>
      <c r="B328" s="25" t="n"/>
      <c r="C328" s="26" t="n"/>
      <c r="D328" s="63" t="n"/>
      <c r="E328" s="64">
        <f>IF(C328="","",IFERROR(INDEX(Effectif!$E$7:$E$21,MATCH(C328,Effectif!$C$7:$C$21,0)),""))</f>
        <v/>
      </c>
      <c r="F328" s="29">
        <f>IF(AND(ISNUMBER(D328),ISNUMBER(E328)),D328*E328,"")</f>
        <v/>
      </c>
      <c r="G328" s="2" t="n"/>
      <c r="H328" s="1" t="n"/>
    </row>
    <row r="329">
      <c r="A329" s="1" t="n"/>
      <c r="B329" s="25" t="n"/>
      <c r="C329" s="26" t="n"/>
      <c r="D329" s="63" t="n"/>
      <c r="E329" s="64">
        <f>IF(C329="","",IFERROR(INDEX(Effectif!$E$7:$E$21,MATCH(C329,Effectif!$C$7:$C$21,0)),""))</f>
        <v/>
      </c>
      <c r="F329" s="29">
        <f>IF(AND(ISNUMBER(D329),ISNUMBER(E329)),D329*E329,"")</f>
        <v/>
      </c>
      <c r="G329" s="2" t="n"/>
      <c r="H329" s="1" t="n"/>
    </row>
    <row r="330">
      <c r="A330" s="1" t="n"/>
      <c r="B330" s="25" t="n"/>
      <c r="C330" s="26" t="n"/>
      <c r="D330" s="63" t="n"/>
      <c r="E330" s="64">
        <f>IF(C330="","",IFERROR(INDEX(Effectif!$E$7:$E$21,MATCH(C330,Effectif!$C$7:$C$21,0)),""))</f>
        <v/>
      </c>
      <c r="F330" s="29">
        <f>IF(AND(ISNUMBER(D330),ISNUMBER(E330)),D330*E330,"")</f>
        <v/>
      </c>
      <c r="G330" s="2" t="n"/>
      <c r="H330" s="1" t="n"/>
    </row>
    <row r="331">
      <c r="A331" s="1" t="n"/>
      <c r="B331" s="25" t="n"/>
      <c r="C331" s="26" t="n"/>
      <c r="D331" s="63" t="n"/>
      <c r="E331" s="64">
        <f>IF(C331="","",IFERROR(INDEX(Effectif!$E$7:$E$21,MATCH(C331,Effectif!$C$7:$C$21,0)),""))</f>
        <v/>
      </c>
      <c r="F331" s="29">
        <f>IF(AND(ISNUMBER(D331),ISNUMBER(E331)),D331*E331,"")</f>
        <v/>
      </c>
      <c r="G331" s="2" t="n"/>
      <c r="H331" s="1" t="n"/>
    </row>
    <row r="332">
      <c r="A332" s="1" t="n"/>
      <c r="B332" s="25" t="n"/>
      <c r="C332" s="26" t="n"/>
      <c r="D332" s="63" t="n"/>
      <c r="E332" s="64">
        <f>IF(C332="","",IFERROR(INDEX(Effectif!$E$7:$E$21,MATCH(C332,Effectif!$C$7:$C$21,0)),""))</f>
        <v/>
      </c>
      <c r="F332" s="29">
        <f>IF(AND(ISNUMBER(D332),ISNUMBER(E332)),D332*E332,"")</f>
        <v/>
      </c>
      <c r="G332" s="2" t="n"/>
      <c r="H332" s="1" t="n"/>
    </row>
    <row r="333">
      <c r="A333" s="1" t="n"/>
      <c r="B333" s="25" t="n"/>
      <c r="C333" s="26" t="n"/>
      <c r="D333" s="63" t="n"/>
      <c r="E333" s="64">
        <f>IF(C333="","",IFERROR(INDEX(Effectif!$E$7:$E$21,MATCH(C333,Effectif!$C$7:$C$21,0)),""))</f>
        <v/>
      </c>
      <c r="F333" s="29">
        <f>IF(AND(ISNUMBER(D333),ISNUMBER(E333)),D333*E333,"")</f>
        <v/>
      </c>
      <c r="G333" s="2" t="n"/>
      <c r="H333" s="1" t="n"/>
    </row>
    <row r="334">
      <c r="A334" s="1" t="n"/>
      <c r="B334" s="25" t="n"/>
      <c r="C334" s="26" t="n"/>
      <c r="D334" s="63" t="n"/>
      <c r="E334" s="64">
        <f>IF(C334="","",IFERROR(INDEX(Effectif!$E$7:$E$21,MATCH(C334,Effectif!$C$7:$C$21,0)),""))</f>
        <v/>
      </c>
      <c r="F334" s="29">
        <f>IF(AND(ISNUMBER(D334),ISNUMBER(E334)),D334*E334,"")</f>
        <v/>
      </c>
      <c r="G334" s="2" t="n"/>
      <c r="H334" s="1" t="n"/>
    </row>
    <row r="335">
      <c r="A335" s="1" t="n"/>
      <c r="B335" s="25" t="n"/>
      <c r="C335" s="26" t="n"/>
      <c r="D335" s="63" t="n"/>
      <c r="E335" s="64">
        <f>IF(C335="","",IFERROR(INDEX(Effectif!$E$7:$E$21,MATCH(C335,Effectif!$C$7:$C$21,0)),""))</f>
        <v/>
      </c>
      <c r="F335" s="29">
        <f>IF(AND(ISNUMBER(D335),ISNUMBER(E335)),D335*E335,"")</f>
        <v/>
      </c>
      <c r="G335" s="2" t="n"/>
      <c r="H335" s="1" t="n"/>
    </row>
    <row r="336">
      <c r="A336" s="1" t="n"/>
      <c r="B336" s="25" t="n"/>
      <c r="C336" s="26" t="n"/>
      <c r="D336" s="63" t="n"/>
      <c r="E336" s="64">
        <f>IF(C336="","",IFERROR(INDEX(Effectif!$E$7:$E$21,MATCH(C336,Effectif!$C$7:$C$21,0)),""))</f>
        <v/>
      </c>
      <c r="F336" s="29">
        <f>IF(AND(ISNUMBER(D336),ISNUMBER(E336)),D336*E336,"")</f>
        <v/>
      </c>
      <c r="G336" s="2" t="n"/>
      <c r="H336" s="1" t="n"/>
    </row>
    <row r="337">
      <c r="A337" s="1" t="n"/>
      <c r="B337" s="25" t="n"/>
      <c r="C337" s="26" t="n"/>
      <c r="D337" s="63" t="n"/>
      <c r="E337" s="64">
        <f>IF(C337="","",IFERROR(INDEX(Effectif!$E$7:$E$21,MATCH(C337,Effectif!$C$7:$C$21,0)),""))</f>
        <v/>
      </c>
      <c r="F337" s="29">
        <f>IF(AND(ISNUMBER(D337),ISNUMBER(E337)),D337*E337,"")</f>
        <v/>
      </c>
      <c r="G337" s="2" t="n"/>
      <c r="H337" s="1" t="n"/>
    </row>
    <row r="338">
      <c r="A338" s="1" t="n"/>
      <c r="B338" s="25" t="n"/>
      <c r="C338" s="26" t="n"/>
      <c r="D338" s="63" t="n"/>
      <c r="E338" s="64">
        <f>IF(C338="","",IFERROR(INDEX(Effectif!$E$7:$E$21,MATCH(C338,Effectif!$C$7:$C$21,0)),""))</f>
        <v/>
      </c>
      <c r="F338" s="29">
        <f>IF(AND(ISNUMBER(D338),ISNUMBER(E338)),D338*E338,"")</f>
        <v/>
      </c>
      <c r="G338" s="2" t="n"/>
      <c r="H338" s="1" t="n"/>
    </row>
    <row r="339">
      <c r="A339" s="1" t="n"/>
      <c r="B339" s="25" t="n"/>
      <c r="C339" s="26" t="n"/>
      <c r="D339" s="63" t="n"/>
      <c r="E339" s="64">
        <f>IF(C339="","",IFERROR(INDEX(Effectif!$E$7:$E$21,MATCH(C339,Effectif!$C$7:$C$21,0)),""))</f>
        <v/>
      </c>
      <c r="F339" s="29">
        <f>IF(AND(ISNUMBER(D339),ISNUMBER(E339)),D339*E339,"")</f>
        <v/>
      </c>
      <c r="G339" s="2" t="n"/>
      <c r="H339" s="1" t="n"/>
    </row>
    <row r="340">
      <c r="A340" s="1" t="n"/>
      <c r="B340" s="25" t="n"/>
      <c r="C340" s="26" t="n"/>
      <c r="D340" s="63" t="n"/>
      <c r="E340" s="64">
        <f>IF(C340="","",IFERROR(INDEX(Effectif!$E$7:$E$21,MATCH(C340,Effectif!$C$7:$C$21,0)),""))</f>
        <v/>
      </c>
      <c r="F340" s="29">
        <f>IF(AND(ISNUMBER(D340),ISNUMBER(E340)),D340*E340,"")</f>
        <v/>
      </c>
      <c r="G340" s="2" t="n"/>
      <c r="H340" s="1" t="n"/>
    </row>
    <row r="341">
      <c r="A341" s="1" t="n"/>
      <c r="B341" s="25" t="n"/>
      <c r="C341" s="26" t="n"/>
      <c r="D341" s="63" t="n"/>
      <c r="E341" s="64">
        <f>IF(C341="","",IFERROR(INDEX(Effectif!$E$7:$E$21,MATCH(C341,Effectif!$C$7:$C$21,0)),""))</f>
        <v/>
      </c>
      <c r="F341" s="29">
        <f>IF(AND(ISNUMBER(D341),ISNUMBER(E341)),D341*E341,"")</f>
        <v/>
      </c>
      <c r="G341" s="2" t="n"/>
      <c r="H341" s="1" t="n"/>
    </row>
    <row r="342">
      <c r="A342" s="1" t="n"/>
      <c r="B342" s="25" t="n"/>
      <c r="C342" s="26" t="n"/>
      <c r="D342" s="63" t="n"/>
      <c r="E342" s="64">
        <f>IF(C342="","",IFERROR(INDEX(Effectif!$E$7:$E$21,MATCH(C342,Effectif!$C$7:$C$21,0)),""))</f>
        <v/>
      </c>
      <c r="F342" s="29">
        <f>IF(AND(ISNUMBER(D342),ISNUMBER(E342)),D342*E342,"")</f>
        <v/>
      </c>
      <c r="G342" s="2" t="n"/>
      <c r="H342" s="1" t="n"/>
    </row>
    <row r="343">
      <c r="A343" s="1" t="n"/>
      <c r="B343" s="25" t="n"/>
      <c r="C343" s="26" t="n"/>
      <c r="D343" s="63" t="n"/>
      <c r="E343" s="64">
        <f>IF(C343="","",IFERROR(INDEX(Effectif!$E$7:$E$21,MATCH(C343,Effectif!$C$7:$C$21,0)),""))</f>
        <v/>
      </c>
      <c r="F343" s="29">
        <f>IF(AND(ISNUMBER(D343),ISNUMBER(E343)),D343*E343,"")</f>
        <v/>
      </c>
      <c r="G343" s="2" t="n"/>
      <c r="H343" s="1" t="n"/>
    </row>
    <row r="344">
      <c r="A344" s="1" t="n"/>
      <c r="B344" s="25" t="n"/>
      <c r="C344" s="26" t="n"/>
      <c r="D344" s="63" t="n"/>
      <c r="E344" s="64">
        <f>IF(C344="","",IFERROR(INDEX(Effectif!$E$7:$E$21,MATCH(C344,Effectif!$C$7:$C$21,0)),""))</f>
        <v/>
      </c>
      <c r="F344" s="29">
        <f>IF(AND(ISNUMBER(D344),ISNUMBER(E344)),D344*E344,"")</f>
        <v/>
      </c>
      <c r="G344" s="2" t="n"/>
      <c r="H344" s="1" t="n"/>
    </row>
    <row r="345">
      <c r="A345" s="1" t="n"/>
      <c r="B345" s="25" t="n"/>
      <c r="C345" s="26" t="n"/>
      <c r="D345" s="63" t="n"/>
      <c r="E345" s="64">
        <f>IF(C345="","",IFERROR(INDEX(Effectif!$E$7:$E$21,MATCH(C345,Effectif!$C$7:$C$21,0)),""))</f>
        <v/>
      </c>
      <c r="F345" s="29">
        <f>IF(AND(ISNUMBER(D345),ISNUMBER(E345)),D345*E345,"")</f>
        <v/>
      </c>
      <c r="G345" s="2" t="n"/>
      <c r="H345" s="1" t="n"/>
    </row>
    <row r="346">
      <c r="A346" s="1" t="n"/>
      <c r="B346" s="25" t="n"/>
      <c r="C346" s="26" t="n"/>
      <c r="D346" s="63" t="n"/>
      <c r="E346" s="64">
        <f>IF(C346="","",IFERROR(INDEX(Effectif!$E$7:$E$21,MATCH(C346,Effectif!$C$7:$C$21,0)),""))</f>
        <v/>
      </c>
      <c r="F346" s="29">
        <f>IF(AND(ISNUMBER(D346),ISNUMBER(E346)),D346*E346,"")</f>
        <v/>
      </c>
      <c r="G346" s="2" t="n"/>
      <c r="H346" s="1" t="n"/>
    </row>
    <row r="347">
      <c r="A347" s="1" t="n"/>
      <c r="B347" s="25" t="n"/>
      <c r="C347" s="26" t="n"/>
      <c r="D347" s="63" t="n"/>
      <c r="E347" s="64">
        <f>IF(C347="","",IFERROR(INDEX(Effectif!$E$7:$E$21,MATCH(C347,Effectif!$C$7:$C$21,0)),""))</f>
        <v/>
      </c>
      <c r="F347" s="29">
        <f>IF(AND(ISNUMBER(D347),ISNUMBER(E347)),D347*E347,"")</f>
        <v/>
      </c>
      <c r="G347" s="2" t="n"/>
      <c r="H347" s="1" t="n"/>
    </row>
    <row r="348">
      <c r="A348" s="1" t="n"/>
      <c r="B348" s="25" t="n"/>
      <c r="C348" s="26" t="n"/>
      <c r="D348" s="63" t="n"/>
      <c r="E348" s="64">
        <f>IF(C348="","",IFERROR(INDEX(Effectif!$E$7:$E$21,MATCH(C348,Effectif!$C$7:$C$21,0)),""))</f>
        <v/>
      </c>
      <c r="F348" s="29">
        <f>IF(AND(ISNUMBER(D348),ISNUMBER(E348)),D348*E348,"")</f>
        <v/>
      </c>
      <c r="G348" s="2" t="n"/>
      <c r="H348" s="1" t="n"/>
    </row>
    <row r="349">
      <c r="A349" s="1" t="n"/>
      <c r="B349" s="25" t="n"/>
      <c r="C349" s="26" t="n"/>
      <c r="D349" s="63" t="n"/>
      <c r="E349" s="64">
        <f>IF(C349="","",IFERROR(INDEX(Effectif!$E$7:$E$21,MATCH(C349,Effectif!$C$7:$C$21,0)),""))</f>
        <v/>
      </c>
      <c r="F349" s="29">
        <f>IF(AND(ISNUMBER(D349),ISNUMBER(E349)),D349*E349,"")</f>
        <v/>
      </c>
      <c r="G349" s="2" t="n"/>
      <c r="H349" s="1" t="n"/>
    </row>
    <row r="350">
      <c r="A350" s="1" t="n"/>
      <c r="B350" s="25" t="n"/>
      <c r="C350" s="26" t="n"/>
      <c r="D350" s="63" t="n"/>
      <c r="E350" s="64">
        <f>IF(C350="","",IFERROR(INDEX(Effectif!$E$7:$E$21,MATCH(C350,Effectif!$C$7:$C$21,0)),""))</f>
        <v/>
      </c>
      <c r="F350" s="29">
        <f>IF(AND(ISNUMBER(D350),ISNUMBER(E350)),D350*E350,"")</f>
        <v/>
      </c>
      <c r="G350" s="2" t="n"/>
      <c r="H350" s="1" t="n"/>
    </row>
    <row r="351">
      <c r="A351" s="1" t="n"/>
      <c r="B351" s="25" t="n"/>
      <c r="C351" s="26" t="n"/>
      <c r="D351" s="63" t="n"/>
      <c r="E351" s="64">
        <f>IF(C351="","",IFERROR(INDEX(Effectif!$E$7:$E$21,MATCH(C351,Effectif!$C$7:$C$21,0)),""))</f>
        <v/>
      </c>
      <c r="F351" s="29">
        <f>IF(AND(ISNUMBER(D351),ISNUMBER(E351)),D351*E351,"")</f>
        <v/>
      </c>
      <c r="G351" s="2" t="n"/>
      <c r="H351" s="1" t="n"/>
    </row>
    <row r="352">
      <c r="A352" s="1" t="n"/>
      <c r="B352" s="25" t="n"/>
      <c r="C352" s="26" t="n"/>
      <c r="D352" s="63" t="n"/>
      <c r="E352" s="64">
        <f>IF(C352="","",IFERROR(INDEX(Effectif!$E$7:$E$21,MATCH(C352,Effectif!$C$7:$C$21,0)),""))</f>
        <v/>
      </c>
      <c r="F352" s="29">
        <f>IF(AND(ISNUMBER(D352),ISNUMBER(E352)),D352*E352,"")</f>
        <v/>
      </c>
      <c r="G352" s="2" t="n"/>
      <c r="H352" s="1" t="n"/>
    </row>
    <row r="353">
      <c r="A353" s="1" t="n"/>
      <c r="B353" s="25" t="n"/>
      <c r="C353" s="26" t="n"/>
      <c r="D353" s="63" t="n"/>
      <c r="E353" s="64">
        <f>IF(C353="","",IFERROR(INDEX(Effectif!$E$7:$E$21,MATCH(C353,Effectif!$C$7:$C$21,0)),""))</f>
        <v/>
      </c>
      <c r="F353" s="29">
        <f>IF(AND(ISNUMBER(D353),ISNUMBER(E353)),D353*E353,"")</f>
        <v/>
      </c>
      <c r="G353" s="2" t="n"/>
      <c r="H353" s="1" t="n"/>
    </row>
    <row r="354">
      <c r="A354" s="1" t="n"/>
      <c r="B354" s="25" t="n"/>
      <c r="C354" s="26" t="n"/>
      <c r="D354" s="63" t="n"/>
      <c r="E354" s="64">
        <f>IF(C354="","",IFERROR(INDEX(Effectif!$E$7:$E$21,MATCH(C354,Effectif!$C$7:$C$21,0)),""))</f>
        <v/>
      </c>
      <c r="F354" s="29">
        <f>IF(AND(ISNUMBER(D354),ISNUMBER(E354)),D354*E354,"")</f>
        <v/>
      </c>
      <c r="G354" s="2" t="n"/>
      <c r="H354" s="1" t="n"/>
    </row>
    <row r="355">
      <c r="A355" s="1" t="n"/>
      <c r="B355" s="25" t="n"/>
      <c r="C355" s="26" t="n"/>
      <c r="D355" s="63" t="n"/>
      <c r="E355" s="64">
        <f>IF(C355="","",IFERROR(INDEX(Effectif!$E$7:$E$21,MATCH(C355,Effectif!$C$7:$C$21,0)),""))</f>
        <v/>
      </c>
      <c r="F355" s="29">
        <f>IF(AND(ISNUMBER(D355),ISNUMBER(E355)),D355*E355,"")</f>
        <v/>
      </c>
      <c r="G355" s="2" t="n"/>
      <c r="H355" s="1" t="n"/>
    </row>
    <row r="356">
      <c r="A356" s="1" t="n"/>
      <c r="B356" s="25" t="n"/>
      <c r="C356" s="26" t="n"/>
      <c r="D356" s="63" t="n"/>
      <c r="E356" s="64">
        <f>IF(C356="","",IFERROR(INDEX(Effectif!$E$7:$E$21,MATCH(C356,Effectif!$C$7:$C$21,0)),""))</f>
        <v/>
      </c>
      <c r="F356" s="29">
        <f>IF(AND(ISNUMBER(D356),ISNUMBER(E356)),D356*E356,"")</f>
        <v/>
      </c>
      <c r="G356" s="2" t="n"/>
      <c r="H356" s="1" t="n"/>
    </row>
    <row r="357">
      <c r="A357" s="1" t="n"/>
      <c r="B357" s="25" t="n"/>
      <c r="C357" s="26" t="n"/>
      <c r="D357" s="63" t="n"/>
      <c r="E357" s="64">
        <f>IF(C357="","",IFERROR(INDEX(Effectif!$E$7:$E$21,MATCH(C357,Effectif!$C$7:$C$21,0)),""))</f>
        <v/>
      </c>
      <c r="F357" s="29">
        <f>IF(AND(ISNUMBER(D357),ISNUMBER(E357)),D357*E357,"")</f>
        <v/>
      </c>
      <c r="G357" s="2" t="n"/>
      <c r="H357" s="1" t="n"/>
    </row>
    <row r="358">
      <c r="A358" s="1" t="n"/>
      <c r="B358" s="25" t="n"/>
      <c r="C358" s="26" t="n"/>
      <c r="D358" s="63" t="n"/>
      <c r="E358" s="64">
        <f>IF(C358="","",IFERROR(INDEX(Effectif!$E$7:$E$21,MATCH(C358,Effectif!$C$7:$C$21,0)),""))</f>
        <v/>
      </c>
      <c r="F358" s="29">
        <f>IF(AND(ISNUMBER(D358),ISNUMBER(E358)),D358*E358,"")</f>
        <v/>
      </c>
      <c r="G358" s="2" t="n"/>
      <c r="H358" s="1" t="n"/>
    </row>
    <row r="359">
      <c r="A359" s="1" t="n"/>
      <c r="B359" s="25" t="n"/>
      <c r="C359" s="26" t="n"/>
      <c r="D359" s="63" t="n"/>
      <c r="E359" s="64">
        <f>IF(C359="","",IFERROR(INDEX(Effectif!$E$7:$E$21,MATCH(C359,Effectif!$C$7:$C$21,0)),""))</f>
        <v/>
      </c>
      <c r="F359" s="29">
        <f>IF(AND(ISNUMBER(D359),ISNUMBER(E359)),D359*E359,"")</f>
        <v/>
      </c>
      <c r="G359" s="2" t="n"/>
      <c r="H359" s="1" t="n"/>
    </row>
    <row r="360">
      <c r="A360" s="1" t="n"/>
      <c r="B360" s="25" t="n"/>
      <c r="C360" s="26" t="n"/>
      <c r="D360" s="63" t="n"/>
      <c r="E360" s="64">
        <f>IF(C360="","",IFERROR(INDEX(Effectif!$E$7:$E$21,MATCH(C360,Effectif!$C$7:$C$21,0)),""))</f>
        <v/>
      </c>
      <c r="F360" s="29">
        <f>IF(AND(ISNUMBER(D360),ISNUMBER(E360)),D360*E360,"")</f>
        <v/>
      </c>
      <c r="G360" s="2" t="n"/>
      <c r="H360" s="1" t="n"/>
    </row>
    <row r="361">
      <c r="A361" s="1" t="n"/>
      <c r="B361" s="25" t="n"/>
      <c r="C361" s="26" t="n"/>
      <c r="D361" s="63" t="n"/>
      <c r="E361" s="64">
        <f>IF(C361="","",IFERROR(INDEX(Effectif!$E$7:$E$21,MATCH(C361,Effectif!$C$7:$C$21,0)),""))</f>
        <v/>
      </c>
      <c r="F361" s="29">
        <f>IF(AND(ISNUMBER(D361),ISNUMBER(E361)),D361*E361,"")</f>
        <v/>
      </c>
      <c r="G361" s="2" t="n"/>
      <c r="H361" s="1" t="n"/>
    </row>
    <row r="362">
      <c r="A362" s="1" t="n"/>
      <c r="B362" s="25" t="n"/>
      <c r="C362" s="26" t="n"/>
      <c r="D362" s="63" t="n"/>
      <c r="E362" s="64">
        <f>IF(C362="","",IFERROR(INDEX(Effectif!$E$7:$E$21,MATCH(C362,Effectif!$C$7:$C$21,0)),""))</f>
        <v/>
      </c>
      <c r="F362" s="29">
        <f>IF(AND(ISNUMBER(D362),ISNUMBER(E362)),D362*E362,"")</f>
        <v/>
      </c>
      <c r="G362" s="2" t="n"/>
      <c r="H362" s="1" t="n"/>
    </row>
    <row r="363">
      <c r="A363" s="1" t="n"/>
      <c r="B363" s="25" t="n"/>
      <c r="C363" s="26" t="n"/>
      <c r="D363" s="63" t="n"/>
      <c r="E363" s="64">
        <f>IF(C363="","",IFERROR(INDEX(Effectif!$E$7:$E$21,MATCH(C363,Effectif!$C$7:$C$21,0)),""))</f>
        <v/>
      </c>
      <c r="F363" s="29">
        <f>IF(AND(ISNUMBER(D363),ISNUMBER(E363)),D363*E363,"")</f>
        <v/>
      </c>
      <c r="G363" s="2" t="n"/>
      <c r="H363" s="1" t="n"/>
    </row>
    <row r="364">
      <c r="A364" s="1" t="n"/>
      <c r="B364" s="25" t="n"/>
      <c r="C364" s="26" t="n"/>
      <c r="D364" s="63" t="n"/>
      <c r="E364" s="64">
        <f>IF(C364="","",IFERROR(INDEX(Effectif!$E$7:$E$21,MATCH(C364,Effectif!$C$7:$C$21,0)),""))</f>
        <v/>
      </c>
      <c r="F364" s="29">
        <f>IF(AND(ISNUMBER(D364),ISNUMBER(E364)),D364*E364,"")</f>
        <v/>
      </c>
      <c r="G364" s="2" t="n"/>
      <c r="H364" s="1" t="n"/>
    </row>
    <row r="365">
      <c r="A365" s="1" t="n"/>
      <c r="B365" s="25" t="n"/>
      <c r="C365" s="26" t="n"/>
      <c r="D365" s="63" t="n"/>
      <c r="E365" s="64">
        <f>IF(C365="","",IFERROR(INDEX(Effectif!$E$7:$E$21,MATCH(C365,Effectif!$C$7:$C$21,0)),""))</f>
        <v/>
      </c>
      <c r="F365" s="29">
        <f>IF(AND(ISNUMBER(D365),ISNUMBER(E365)),D365*E365,"")</f>
        <v/>
      </c>
      <c r="G365" s="2" t="n"/>
      <c r="H365" s="1" t="n"/>
    </row>
    <row r="366">
      <c r="A366" s="1" t="n"/>
      <c r="B366" s="25" t="n"/>
      <c r="C366" s="26" t="n"/>
      <c r="D366" s="63" t="n"/>
      <c r="E366" s="64">
        <f>IF(C366="","",IFERROR(INDEX(Effectif!$E$7:$E$21,MATCH(C366,Effectif!$C$7:$C$21,0)),""))</f>
        <v/>
      </c>
      <c r="F366" s="29">
        <f>IF(AND(ISNUMBER(D366),ISNUMBER(E366)),D366*E366,"")</f>
        <v/>
      </c>
      <c r="G366" s="2" t="n"/>
      <c r="H366" s="1" t="n"/>
    </row>
    <row r="367">
      <c r="A367" s="1" t="n"/>
      <c r="B367" s="25" t="n"/>
      <c r="C367" s="26" t="n"/>
      <c r="D367" s="63" t="n"/>
      <c r="E367" s="64">
        <f>IF(C367="","",IFERROR(INDEX(Effectif!$E$7:$E$21,MATCH(C367,Effectif!$C$7:$C$21,0)),""))</f>
        <v/>
      </c>
      <c r="F367" s="29">
        <f>IF(AND(ISNUMBER(D367),ISNUMBER(E367)),D367*E367,"")</f>
        <v/>
      </c>
      <c r="G367" s="2" t="n"/>
      <c r="H367" s="1" t="n"/>
    </row>
    <row r="368">
      <c r="A368" s="1" t="n"/>
      <c r="B368" s="25" t="n"/>
      <c r="C368" s="26" t="n"/>
      <c r="D368" s="63" t="n"/>
      <c r="E368" s="64">
        <f>IF(C368="","",IFERROR(INDEX(Effectif!$E$7:$E$21,MATCH(C368,Effectif!$C$7:$C$21,0)),""))</f>
        <v/>
      </c>
      <c r="F368" s="29">
        <f>IF(AND(ISNUMBER(D368),ISNUMBER(E368)),D368*E368,"")</f>
        <v/>
      </c>
      <c r="G368" s="2" t="n"/>
      <c r="H368" s="1" t="n"/>
    </row>
    <row r="369">
      <c r="A369" s="1" t="n"/>
      <c r="B369" s="25" t="n"/>
      <c r="C369" s="26" t="n"/>
      <c r="D369" s="63" t="n"/>
      <c r="E369" s="64">
        <f>IF(C369="","",IFERROR(INDEX(Effectif!$E$7:$E$21,MATCH(C369,Effectif!$C$7:$C$21,0)),""))</f>
        <v/>
      </c>
      <c r="F369" s="29">
        <f>IF(AND(ISNUMBER(D369),ISNUMBER(E369)),D369*E369,"")</f>
        <v/>
      </c>
      <c r="G369" s="2" t="n"/>
      <c r="H369" s="1" t="n"/>
    </row>
    <row r="370">
      <c r="A370" s="1" t="n"/>
      <c r="B370" s="25" t="n"/>
      <c r="C370" s="26" t="n"/>
      <c r="D370" s="63" t="n"/>
      <c r="E370" s="64">
        <f>IF(C370="","",IFERROR(INDEX(Effectif!$E$7:$E$21,MATCH(C370,Effectif!$C$7:$C$21,0)),""))</f>
        <v/>
      </c>
      <c r="F370" s="29">
        <f>IF(AND(ISNUMBER(D370),ISNUMBER(E370)),D370*E370,"")</f>
        <v/>
      </c>
      <c r="G370" s="2" t="n"/>
      <c r="H370" s="1" t="n"/>
    </row>
    <row r="371">
      <c r="A371" s="1" t="n"/>
      <c r="B371" s="25" t="n"/>
      <c r="C371" s="26" t="n"/>
      <c r="D371" s="63" t="n"/>
      <c r="E371" s="64">
        <f>IF(C371="","",IFERROR(INDEX(Effectif!$E$7:$E$21,MATCH(C371,Effectif!$C$7:$C$21,0)),""))</f>
        <v/>
      </c>
      <c r="F371" s="29">
        <f>IF(AND(ISNUMBER(D371),ISNUMBER(E371)),D371*E371,"")</f>
        <v/>
      </c>
      <c r="G371" s="2" t="n"/>
      <c r="H371" s="1" t="n"/>
    </row>
    <row r="372">
      <c r="A372" s="1" t="n"/>
      <c r="B372" s="25" t="n"/>
      <c r="C372" s="26" t="n"/>
      <c r="D372" s="63" t="n"/>
      <c r="E372" s="64">
        <f>IF(C372="","",IFERROR(INDEX(Effectif!$E$7:$E$21,MATCH(C372,Effectif!$C$7:$C$21,0)),""))</f>
        <v/>
      </c>
      <c r="F372" s="29">
        <f>IF(AND(ISNUMBER(D372),ISNUMBER(E372)),D372*E372,"")</f>
        <v/>
      </c>
      <c r="G372" s="2" t="n"/>
      <c r="H372" s="1" t="n"/>
    </row>
    <row r="373">
      <c r="A373" s="1" t="n"/>
      <c r="B373" s="25" t="n"/>
      <c r="C373" s="26" t="n"/>
      <c r="D373" s="63" t="n"/>
      <c r="E373" s="64">
        <f>IF(C373="","",IFERROR(INDEX(Effectif!$E$7:$E$21,MATCH(C373,Effectif!$C$7:$C$21,0)),""))</f>
        <v/>
      </c>
      <c r="F373" s="29">
        <f>IF(AND(ISNUMBER(D373),ISNUMBER(E373)),D373*E373,"")</f>
        <v/>
      </c>
      <c r="G373" s="2" t="n"/>
      <c r="H373" s="1" t="n"/>
    </row>
    <row r="374">
      <c r="A374" s="1" t="n"/>
      <c r="B374" s="25" t="n"/>
      <c r="C374" s="26" t="n"/>
      <c r="D374" s="63" t="n"/>
      <c r="E374" s="64">
        <f>IF(C374="","",IFERROR(INDEX(Effectif!$E$7:$E$21,MATCH(C374,Effectif!$C$7:$C$21,0)),""))</f>
        <v/>
      </c>
      <c r="F374" s="29">
        <f>IF(AND(ISNUMBER(D374),ISNUMBER(E374)),D374*E374,"")</f>
        <v/>
      </c>
      <c r="G374" s="2" t="n"/>
      <c r="H374" s="1" t="n"/>
    </row>
    <row r="375">
      <c r="A375" s="1" t="n"/>
      <c r="B375" s="25" t="n"/>
      <c r="C375" s="26" t="n"/>
      <c r="D375" s="63" t="n"/>
      <c r="E375" s="64">
        <f>IF(C375="","",IFERROR(INDEX(Effectif!$E$7:$E$21,MATCH(C375,Effectif!$C$7:$C$21,0)),""))</f>
        <v/>
      </c>
      <c r="F375" s="29">
        <f>IF(AND(ISNUMBER(D375),ISNUMBER(E375)),D375*E375,"")</f>
        <v/>
      </c>
      <c r="G375" s="2" t="n"/>
      <c r="H375" s="1" t="n"/>
    </row>
    <row r="376">
      <c r="A376" s="1" t="n"/>
      <c r="B376" s="25" t="n"/>
      <c r="C376" s="26" t="n"/>
      <c r="D376" s="63" t="n"/>
      <c r="E376" s="64">
        <f>IF(C376="","",IFERROR(INDEX(Effectif!$E$7:$E$21,MATCH(C376,Effectif!$C$7:$C$21,0)),""))</f>
        <v/>
      </c>
      <c r="F376" s="29">
        <f>IF(AND(ISNUMBER(D376),ISNUMBER(E376)),D376*E376,"")</f>
        <v/>
      </c>
      <c r="G376" s="2" t="n"/>
      <c r="H376" s="1" t="n"/>
    </row>
    <row r="377">
      <c r="A377" s="1" t="n"/>
      <c r="B377" s="25" t="n"/>
      <c r="C377" s="26" t="n"/>
      <c r="D377" s="63" t="n"/>
      <c r="E377" s="64">
        <f>IF(C377="","",IFERROR(INDEX(Effectif!$E$7:$E$21,MATCH(C377,Effectif!$C$7:$C$21,0)),""))</f>
        <v/>
      </c>
      <c r="F377" s="29">
        <f>IF(AND(ISNUMBER(D377),ISNUMBER(E377)),D377*E377,"")</f>
        <v/>
      </c>
      <c r="G377" s="2" t="n"/>
      <c r="H377" s="1" t="n"/>
    </row>
    <row r="378">
      <c r="A378" s="1" t="n"/>
      <c r="B378" s="25" t="n"/>
      <c r="C378" s="26" t="n"/>
      <c r="D378" s="63" t="n"/>
      <c r="E378" s="64">
        <f>IF(C378="","",IFERROR(INDEX(Effectif!$E$7:$E$21,MATCH(C378,Effectif!$C$7:$C$21,0)),""))</f>
        <v/>
      </c>
      <c r="F378" s="29">
        <f>IF(AND(ISNUMBER(D378),ISNUMBER(E378)),D378*E378,"")</f>
        <v/>
      </c>
      <c r="G378" s="2" t="n"/>
      <c r="H378" s="1" t="n"/>
    </row>
    <row r="379">
      <c r="A379" s="1" t="n"/>
      <c r="B379" s="25" t="n"/>
      <c r="C379" s="26" t="n"/>
      <c r="D379" s="63" t="n"/>
      <c r="E379" s="64">
        <f>IF(C379="","",IFERROR(INDEX(Effectif!$E$7:$E$21,MATCH(C379,Effectif!$C$7:$C$21,0)),""))</f>
        <v/>
      </c>
      <c r="F379" s="29">
        <f>IF(AND(ISNUMBER(D379),ISNUMBER(E379)),D379*E379,"")</f>
        <v/>
      </c>
      <c r="G379" s="2" t="n"/>
      <c r="H379" s="1" t="n"/>
    </row>
    <row r="380">
      <c r="A380" s="1" t="n"/>
      <c r="B380" s="25" t="n"/>
      <c r="C380" s="26" t="n"/>
      <c r="D380" s="63" t="n"/>
      <c r="E380" s="64">
        <f>IF(C380="","",IFERROR(INDEX(Effectif!$E$7:$E$21,MATCH(C380,Effectif!$C$7:$C$21,0)),""))</f>
        <v/>
      </c>
      <c r="F380" s="29">
        <f>IF(AND(ISNUMBER(D380),ISNUMBER(E380)),D380*E380,"")</f>
        <v/>
      </c>
      <c r="G380" s="2" t="n"/>
      <c r="H380" s="1" t="n"/>
    </row>
    <row r="381">
      <c r="A381" s="1" t="n"/>
      <c r="B381" s="25" t="n"/>
      <c r="C381" s="26" t="n"/>
      <c r="D381" s="63" t="n"/>
      <c r="E381" s="64">
        <f>IF(C381="","",IFERROR(INDEX(Effectif!$E$7:$E$21,MATCH(C381,Effectif!$C$7:$C$21,0)),""))</f>
        <v/>
      </c>
      <c r="F381" s="29">
        <f>IF(AND(ISNUMBER(D381),ISNUMBER(E381)),D381*E381,"")</f>
        <v/>
      </c>
      <c r="G381" s="2" t="n"/>
      <c r="H381" s="1" t="n"/>
    </row>
    <row r="382">
      <c r="A382" s="1" t="n"/>
      <c r="B382" s="25" t="n"/>
      <c r="C382" s="26" t="n"/>
      <c r="D382" s="63" t="n"/>
      <c r="E382" s="64">
        <f>IF(C382="","",IFERROR(INDEX(Effectif!$E$7:$E$21,MATCH(C382,Effectif!$C$7:$C$21,0)),""))</f>
        <v/>
      </c>
      <c r="F382" s="29">
        <f>IF(AND(ISNUMBER(D382),ISNUMBER(E382)),D382*E382,"")</f>
        <v/>
      </c>
      <c r="G382" s="2" t="n"/>
      <c r="H382" s="1" t="n"/>
    </row>
    <row r="383">
      <c r="A383" s="1" t="n"/>
      <c r="B383" s="25" t="n"/>
      <c r="C383" s="26" t="n"/>
      <c r="D383" s="63" t="n"/>
      <c r="E383" s="64">
        <f>IF(C383="","",IFERROR(INDEX(Effectif!$E$7:$E$21,MATCH(C383,Effectif!$C$7:$C$21,0)),""))</f>
        <v/>
      </c>
      <c r="F383" s="29">
        <f>IF(AND(ISNUMBER(D383),ISNUMBER(E383)),D383*E383,"")</f>
        <v/>
      </c>
      <c r="G383" s="2" t="n"/>
      <c r="H383" s="1" t="n"/>
    </row>
    <row r="384">
      <c r="A384" s="1" t="n"/>
      <c r="B384" s="25" t="n"/>
      <c r="C384" s="26" t="n"/>
      <c r="D384" s="63" t="n"/>
      <c r="E384" s="64">
        <f>IF(C384="","",IFERROR(INDEX(Effectif!$E$7:$E$21,MATCH(C384,Effectif!$C$7:$C$21,0)),""))</f>
        <v/>
      </c>
      <c r="F384" s="29">
        <f>IF(AND(ISNUMBER(D384),ISNUMBER(E384)),D384*E384,"")</f>
        <v/>
      </c>
      <c r="G384" s="2" t="n"/>
      <c r="H384" s="1" t="n"/>
    </row>
    <row r="385">
      <c r="A385" s="1" t="n"/>
      <c r="B385" s="25" t="n"/>
      <c r="C385" s="26" t="n"/>
      <c r="D385" s="63" t="n"/>
      <c r="E385" s="64">
        <f>IF(C385="","",IFERROR(INDEX(Effectif!$E$7:$E$21,MATCH(C385,Effectif!$C$7:$C$21,0)),""))</f>
        <v/>
      </c>
      <c r="F385" s="29">
        <f>IF(AND(ISNUMBER(D385),ISNUMBER(E385)),D385*E385,"")</f>
        <v/>
      </c>
      <c r="G385" s="2" t="n"/>
      <c r="H385" s="1" t="n"/>
    </row>
    <row r="386">
      <c r="A386" s="1" t="n"/>
      <c r="B386" s="25" t="n"/>
      <c r="C386" s="26" t="n"/>
      <c r="D386" s="63" t="n"/>
      <c r="E386" s="64">
        <f>IF(C386="","",IFERROR(INDEX(Effectif!$E$7:$E$21,MATCH(C386,Effectif!$C$7:$C$21,0)),""))</f>
        <v/>
      </c>
      <c r="F386" s="29">
        <f>IF(AND(ISNUMBER(D386),ISNUMBER(E386)),D386*E386,"")</f>
        <v/>
      </c>
      <c r="G386" s="2" t="n"/>
      <c r="H386" s="1" t="n"/>
    </row>
    <row r="387">
      <c r="A387" s="1" t="n"/>
      <c r="B387" s="25" t="n"/>
      <c r="C387" s="26" t="n"/>
      <c r="D387" s="63" t="n"/>
      <c r="E387" s="64">
        <f>IF(C387="","",IFERROR(INDEX(Effectif!$E$7:$E$21,MATCH(C387,Effectif!$C$7:$C$21,0)),""))</f>
        <v/>
      </c>
      <c r="F387" s="29">
        <f>IF(AND(ISNUMBER(D387),ISNUMBER(E387)),D387*E387,"")</f>
        <v/>
      </c>
      <c r="G387" s="2" t="n"/>
      <c r="H387" s="1" t="n"/>
    </row>
    <row r="388">
      <c r="A388" s="1" t="n"/>
      <c r="B388" s="25" t="n"/>
      <c r="C388" s="26" t="n"/>
      <c r="D388" s="63" t="n"/>
      <c r="E388" s="64">
        <f>IF(C388="","",IFERROR(INDEX(Effectif!$E$7:$E$21,MATCH(C388,Effectif!$C$7:$C$21,0)),""))</f>
        <v/>
      </c>
      <c r="F388" s="29">
        <f>IF(AND(ISNUMBER(D388),ISNUMBER(E388)),D388*E388,"")</f>
        <v/>
      </c>
      <c r="G388" s="2" t="n"/>
      <c r="H388" s="1" t="n"/>
    </row>
    <row r="389">
      <c r="A389" s="1" t="n"/>
      <c r="B389" s="25" t="n"/>
      <c r="C389" s="26" t="n"/>
      <c r="D389" s="63" t="n"/>
      <c r="E389" s="64">
        <f>IF(C389="","",IFERROR(INDEX(Effectif!$E$7:$E$21,MATCH(C389,Effectif!$C$7:$C$21,0)),""))</f>
        <v/>
      </c>
      <c r="F389" s="29">
        <f>IF(AND(ISNUMBER(D389),ISNUMBER(E389)),D389*E389,"")</f>
        <v/>
      </c>
      <c r="G389" s="2" t="n"/>
      <c r="H389" s="1" t="n"/>
    </row>
    <row r="390">
      <c r="A390" s="1" t="n"/>
      <c r="B390" s="25" t="n"/>
      <c r="C390" s="26" t="n"/>
      <c r="D390" s="63" t="n"/>
      <c r="E390" s="64">
        <f>IF(C390="","",IFERROR(INDEX(Effectif!$E$7:$E$21,MATCH(C390,Effectif!$C$7:$C$21,0)),""))</f>
        <v/>
      </c>
      <c r="F390" s="29">
        <f>IF(AND(ISNUMBER(D390),ISNUMBER(E390)),D390*E390,"")</f>
        <v/>
      </c>
      <c r="G390" s="2" t="n"/>
      <c r="H390" s="1" t="n"/>
    </row>
    <row r="391">
      <c r="A391" s="1" t="n"/>
      <c r="B391" s="25" t="n"/>
      <c r="C391" s="26" t="n"/>
      <c r="D391" s="63" t="n"/>
      <c r="E391" s="64">
        <f>IF(C391="","",IFERROR(INDEX(Effectif!$E$7:$E$21,MATCH(C391,Effectif!$C$7:$C$21,0)),""))</f>
        <v/>
      </c>
      <c r="F391" s="29">
        <f>IF(AND(ISNUMBER(D391),ISNUMBER(E391)),D391*E391,"")</f>
        <v/>
      </c>
      <c r="G391" s="2" t="n"/>
      <c r="H391" s="1" t="n"/>
    </row>
    <row r="392">
      <c r="A392" s="1" t="n"/>
      <c r="B392" s="25" t="n"/>
      <c r="C392" s="26" t="n"/>
      <c r="D392" s="63" t="n"/>
      <c r="E392" s="64">
        <f>IF(C392="","",IFERROR(INDEX(Effectif!$E$7:$E$21,MATCH(C392,Effectif!$C$7:$C$21,0)),""))</f>
        <v/>
      </c>
      <c r="F392" s="29">
        <f>IF(AND(ISNUMBER(D392),ISNUMBER(E392)),D392*E392,"")</f>
        <v/>
      </c>
      <c r="G392" s="2" t="n"/>
      <c r="H392" s="1" t="n"/>
    </row>
    <row r="393">
      <c r="A393" s="1" t="n"/>
      <c r="B393" s="25" t="n"/>
      <c r="C393" s="26" t="n"/>
      <c r="D393" s="63" t="n"/>
      <c r="E393" s="64">
        <f>IF(C393="","",IFERROR(INDEX(Effectif!$E$7:$E$21,MATCH(C393,Effectif!$C$7:$C$21,0)),""))</f>
        <v/>
      </c>
      <c r="F393" s="29">
        <f>IF(AND(ISNUMBER(D393),ISNUMBER(E393)),D393*E393,"")</f>
        <v/>
      </c>
      <c r="G393" s="2" t="n"/>
      <c r="H393" s="1" t="n"/>
    </row>
    <row r="394">
      <c r="A394" s="1" t="n"/>
      <c r="B394" s="25" t="n"/>
      <c r="C394" s="26" t="n"/>
      <c r="D394" s="63" t="n"/>
      <c r="E394" s="64">
        <f>IF(C394="","",IFERROR(INDEX(Effectif!$E$7:$E$21,MATCH(C394,Effectif!$C$7:$C$21,0)),""))</f>
        <v/>
      </c>
      <c r="F394" s="29">
        <f>IF(AND(ISNUMBER(D394),ISNUMBER(E394)),D394*E394,"")</f>
        <v/>
      </c>
      <c r="G394" s="2" t="n"/>
      <c r="H394" s="1" t="n"/>
    </row>
    <row r="395">
      <c r="A395" s="1" t="n"/>
      <c r="B395" s="25" t="n"/>
      <c r="C395" s="26" t="n"/>
      <c r="D395" s="63" t="n"/>
      <c r="E395" s="64">
        <f>IF(C395="","",IFERROR(INDEX(Effectif!$E$7:$E$21,MATCH(C395,Effectif!$C$7:$C$21,0)),""))</f>
        <v/>
      </c>
      <c r="F395" s="29">
        <f>IF(AND(ISNUMBER(D395),ISNUMBER(E395)),D395*E395,"")</f>
        <v/>
      </c>
      <c r="G395" s="2" t="n"/>
      <c r="H395" s="1" t="n"/>
    </row>
    <row r="396">
      <c r="A396" s="1" t="n"/>
      <c r="B396" s="25" t="n"/>
      <c r="C396" s="26" t="n"/>
      <c r="D396" s="63" t="n"/>
      <c r="E396" s="64">
        <f>IF(C396="","",IFERROR(INDEX(Effectif!$E$7:$E$21,MATCH(C396,Effectif!$C$7:$C$21,0)),""))</f>
        <v/>
      </c>
      <c r="F396" s="29">
        <f>IF(AND(ISNUMBER(D396),ISNUMBER(E396)),D396*E396,"")</f>
        <v/>
      </c>
      <c r="G396" s="2" t="n"/>
      <c r="H396" s="1" t="n"/>
    </row>
    <row r="397">
      <c r="A397" s="1" t="n"/>
      <c r="B397" s="25" t="n"/>
      <c r="C397" s="26" t="n"/>
      <c r="D397" s="63" t="n"/>
      <c r="E397" s="64">
        <f>IF(C397="","",IFERROR(INDEX(Effectif!$E$7:$E$21,MATCH(C397,Effectif!$C$7:$C$21,0)),""))</f>
        <v/>
      </c>
      <c r="F397" s="29">
        <f>IF(AND(ISNUMBER(D397),ISNUMBER(E397)),D397*E397,"")</f>
        <v/>
      </c>
      <c r="G397" s="2" t="n"/>
      <c r="H397" s="1" t="n"/>
    </row>
    <row r="398">
      <c r="A398" s="1" t="n"/>
      <c r="B398" s="25" t="n"/>
      <c r="C398" s="26" t="n"/>
      <c r="D398" s="63" t="n"/>
      <c r="E398" s="64">
        <f>IF(C398="","",IFERROR(INDEX(Effectif!$E$7:$E$21,MATCH(C398,Effectif!$C$7:$C$21,0)),""))</f>
        <v/>
      </c>
      <c r="F398" s="29">
        <f>IF(AND(ISNUMBER(D398),ISNUMBER(E398)),D398*E398,"")</f>
        <v/>
      </c>
      <c r="G398" s="2" t="n"/>
      <c r="H398" s="1" t="n"/>
    </row>
    <row r="399">
      <c r="A399" s="1" t="n"/>
      <c r="B399" s="25" t="n"/>
      <c r="C399" s="26" t="n"/>
      <c r="D399" s="63" t="n"/>
      <c r="E399" s="64">
        <f>IF(C399="","",IFERROR(INDEX(Effectif!$E$7:$E$21,MATCH(C399,Effectif!$C$7:$C$21,0)),""))</f>
        <v/>
      </c>
      <c r="F399" s="29">
        <f>IF(AND(ISNUMBER(D399),ISNUMBER(E399)),D399*E399,"")</f>
        <v/>
      </c>
      <c r="G399" s="2" t="n"/>
      <c r="H399" s="1" t="n"/>
    </row>
    <row r="400">
      <c r="A400" s="1" t="n"/>
      <c r="B400" s="25" t="n"/>
      <c r="C400" s="26" t="n"/>
      <c r="D400" s="63" t="n"/>
      <c r="E400" s="64">
        <f>IF(C400="","",IFERROR(INDEX(Effectif!$E$7:$E$21,MATCH(C400,Effectif!$C$7:$C$21,0)),""))</f>
        <v/>
      </c>
      <c r="F400" s="29">
        <f>IF(AND(ISNUMBER(D400),ISNUMBER(E400)),D400*E400,"")</f>
        <v/>
      </c>
      <c r="G400" s="2" t="n"/>
      <c r="H400" s="1" t="n"/>
    </row>
    <row r="401">
      <c r="A401" s="1" t="n"/>
      <c r="B401" s="25" t="n"/>
      <c r="C401" s="26" t="n"/>
      <c r="D401" s="63" t="n"/>
      <c r="E401" s="64">
        <f>IF(C401="","",IFERROR(INDEX(Effectif!$E$7:$E$21,MATCH(C401,Effectif!$C$7:$C$21,0)),""))</f>
        <v/>
      </c>
      <c r="F401" s="29">
        <f>IF(AND(ISNUMBER(D401),ISNUMBER(E401)),D401*E401,"")</f>
        <v/>
      </c>
      <c r="G401" s="2" t="n"/>
      <c r="H401" s="1" t="n"/>
    </row>
    <row r="402">
      <c r="A402" s="1" t="n"/>
      <c r="B402" s="25" t="n"/>
      <c r="C402" s="26" t="n"/>
      <c r="D402" s="63" t="n"/>
      <c r="E402" s="64">
        <f>IF(C402="","",IFERROR(INDEX(Effectif!$E$7:$E$21,MATCH(C402,Effectif!$C$7:$C$21,0)),""))</f>
        <v/>
      </c>
      <c r="F402" s="29">
        <f>IF(AND(ISNUMBER(D402),ISNUMBER(E402)),D402*E402,"")</f>
        <v/>
      </c>
      <c r="G402" s="2" t="n"/>
      <c r="H402" s="1" t="n"/>
    </row>
    <row r="403">
      <c r="A403" s="1" t="n"/>
      <c r="B403" s="25" t="n"/>
      <c r="C403" s="26" t="n"/>
      <c r="D403" s="63" t="n"/>
      <c r="E403" s="64">
        <f>IF(C403="","",IFERROR(INDEX(Effectif!$E$7:$E$21,MATCH(C403,Effectif!$C$7:$C$21,0)),""))</f>
        <v/>
      </c>
      <c r="F403" s="29">
        <f>IF(AND(ISNUMBER(D403),ISNUMBER(E403)),D403*E403,"")</f>
        <v/>
      </c>
      <c r="G403" s="2" t="n"/>
      <c r="H403" s="1" t="n"/>
    </row>
    <row r="404">
      <c r="A404" s="1" t="n"/>
      <c r="B404" s="25" t="n"/>
      <c r="C404" s="26" t="n"/>
      <c r="D404" s="63" t="n"/>
      <c r="E404" s="64">
        <f>IF(C404="","",IFERROR(INDEX(Effectif!$E$7:$E$21,MATCH(C404,Effectif!$C$7:$C$21,0)),""))</f>
        <v/>
      </c>
      <c r="F404" s="29">
        <f>IF(AND(ISNUMBER(D404),ISNUMBER(E404)),D404*E404,"")</f>
        <v/>
      </c>
      <c r="G404" s="2" t="n"/>
      <c r="H404" s="1" t="n"/>
    </row>
    <row r="405">
      <c r="A405" s="1" t="n"/>
      <c r="B405" s="25" t="n"/>
      <c r="C405" s="26" t="n"/>
      <c r="D405" s="63" t="n"/>
      <c r="E405" s="64">
        <f>IF(C405="","",IFERROR(INDEX(Effectif!$E$7:$E$21,MATCH(C405,Effectif!$C$7:$C$21,0)),""))</f>
        <v/>
      </c>
      <c r="F405" s="29">
        <f>IF(AND(ISNUMBER(D405),ISNUMBER(E405)),D405*E405,"")</f>
        <v/>
      </c>
      <c r="G405" s="2" t="n"/>
      <c r="H405" s="1" t="n"/>
    </row>
    <row r="406">
      <c r="A406" s="1" t="n"/>
      <c r="B406" s="25" t="n"/>
      <c r="C406" s="26" t="n"/>
      <c r="D406" s="63" t="n"/>
      <c r="E406" s="64">
        <f>IF(C406="","",IFERROR(INDEX(Effectif!$E$7:$E$21,MATCH(C406,Effectif!$C$7:$C$21,0)),""))</f>
        <v/>
      </c>
      <c r="F406" s="29">
        <f>IF(AND(ISNUMBER(D406),ISNUMBER(E406)),D406*E406,"")</f>
        <v/>
      </c>
      <c r="G406" s="2" t="n"/>
      <c r="H406" s="1" t="n"/>
    </row>
    <row r="407">
      <c r="A407" s="1" t="n"/>
      <c r="B407" s="25" t="n"/>
      <c r="C407" s="26" t="n"/>
      <c r="D407" s="63" t="n"/>
      <c r="E407" s="64">
        <f>IF(C407="","",IFERROR(INDEX(Effectif!$E$7:$E$21,MATCH(C407,Effectif!$C$7:$C$21,0)),""))</f>
        <v/>
      </c>
      <c r="F407" s="29">
        <f>IF(AND(ISNUMBER(D407),ISNUMBER(E407)),D407*E407,"")</f>
        <v/>
      </c>
      <c r="G407" s="2" t="n"/>
      <c r="H407" s="1" t="n"/>
    </row>
    <row r="408">
      <c r="A408" s="1" t="n"/>
      <c r="B408" s="25" t="n"/>
      <c r="C408" s="26" t="n"/>
      <c r="D408" s="63" t="n"/>
      <c r="E408" s="64">
        <f>IF(C408="","",IFERROR(INDEX(Effectif!$E$7:$E$21,MATCH(C408,Effectif!$C$7:$C$21,0)),""))</f>
        <v/>
      </c>
      <c r="F408" s="29">
        <f>IF(AND(ISNUMBER(D408),ISNUMBER(E408)),D408*E408,"")</f>
        <v/>
      </c>
      <c r="G408" s="2" t="n"/>
      <c r="H408" s="1" t="n"/>
    </row>
    <row r="409">
      <c r="A409" s="1" t="n"/>
      <c r="B409" s="25" t="n"/>
      <c r="C409" s="26" t="n"/>
      <c r="D409" s="63" t="n"/>
      <c r="E409" s="64">
        <f>IF(C409="","",IFERROR(INDEX(Effectif!$E$7:$E$21,MATCH(C409,Effectif!$C$7:$C$21,0)),""))</f>
        <v/>
      </c>
      <c r="F409" s="29">
        <f>IF(AND(ISNUMBER(D409),ISNUMBER(E409)),D409*E409,"")</f>
        <v/>
      </c>
      <c r="G409" s="2" t="n"/>
      <c r="H409" s="1" t="n"/>
    </row>
    <row r="410">
      <c r="A410" s="1" t="n"/>
      <c r="B410" s="25" t="n"/>
      <c r="C410" s="26" t="n"/>
      <c r="D410" s="63" t="n"/>
      <c r="E410" s="64">
        <f>IF(C410="","",IFERROR(INDEX(Effectif!$E$7:$E$21,MATCH(C410,Effectif!$C$7:$C$21,0)),""))</f>
        <v/>
      </c>
      <c r="F410" s="29">
        <f>IF(AND(ISNUMBER(D410),ISNUMBER(E410)),D410*E410,"")</f>
        <v/>
      </c>
      <c r="G410" s="2" t="n"/>
      <c r="H410" s="1" t="n"/>
    </row>
    <row r="411">
      <c r="A411" s="1" t="n"/>
      <c r="B411" s="25" t="n"/>
      <c r="C411" s="26" t="n"/>
      <c r="D411" s="63" t="n"/>
      <c r="E411" s="64">
        <f>IF(C411="","",IFERROR(INDEX(Effectif!$E$7:$E$21,MATCH(C411,Effectif!$C$7:$C$21,0)),""))</f>
        <v/>
      </c>
      <c r="F411" s="29">
        <f>IF(AND(ISNUMBER(D411),ISNUMBER(E411)),D411*E411,"")</f>
        <v/>
      </c>
      <c r="G411" s="2" t="n"/>
      <c r="H411" s="1" t="n"/>
    </row>
    <row r="412">
      <c r="A412" s="1" t="n"/>
      <c r="B412" s="25" t="n"/>
      <c r="C412" s="26" t="n"/>
      <c r="D412" s="63" t="n"/>
      <c r="E412" s="64">
        <f>IF(C412="","",IFERROR(INDEX(Effectif!$E$7:$E$21,MATCH(C412,Effectif!$C$7:$C$21,0)),""))</f>
        <v/>
      </c>
      <c r="F412" s="29">
        <f>IF(AND(ISNUMBER(D412),ISNUMBER(E412)),D412*E412,"")</f>
        <v/>
      </c>
      <c r="G412" s="2" t="n"/>
      <c r="H412" s="1" t="n"/>
    </row>
    <row r="413">
      <c r="A413" s="1" t="n"/>
      <c r="B413" s="25" t="n"/>
      <c r="C413" s="26" t="n"/>
      <c r="D413" s="63" t="n"/>
      <c r="E413" s="64">
        <f>IF(C413="","",IFERROR(INDEX(Effectif!$E$7:$E$21,MATCH(C413,Effectif!$C$7:$C$21,0)),""))</f>
        <v/>
      </c>
      <c r="F413" s="29">
        <f>IF(AND(ISNUMBER(D413),ISNUMBER(E413)),D413*E413,"")</f>
        <v/>
      </c>
      <c r="G413" s="2" t="n"/>
      <c r="H413" s="1" t="n"/>
    </row>
    <row r="414">
      <c r="A414" s="1" t="n"/>
      <c r="B414" s="25" t="n"/>
      <c r="C414" s="26" t="n"/>
      <c r="D414" s="63" t="n"/>
      <c r="E414" s="64">
        <f>IF(C414="","",IFERROR(INDEX(Effectif!$E$7:$E$21,MATCH(C414,Effectif!$C$7:$C$21,0)),""))</f>
        <v/>
      </c>
      <c r="F414" s="29">
        <f>IF(AND(ISNUMBER(D414),ISNUMBER(E414)),D414*E414,"")</f>
        <v/>
      </c>
      <c r="G414" s="2" t="n"/>
      <c r="H414" s="1" t="n"/>
    </row>
    <row r="415">
      <c r="A415" s="1" t="n"/>
      <c r="B415" s="25" t="n"/>
      <c r="C415" s="26" t="n"/>
      <c r="D415" s="63" t="n"/>
      <c r="E415" s="64">
        <f>IF(C415="","",IFERROR(INDEX(Effectif!$E$7:$E$21,MATCH(C415,Effectif!$C$7:$C$21,0)),""))</f>
        <v/>
      </c>
      <c r="F415" s="29">
        <f>IF(AND(ISNUMBER(D415),ISNUMBER(E415)),D415*E415,"")</f>
        <v/>
      </c>
      <c r="G415" s="2" t="n"/>
      <c r="H415" s="1" t="n"/>
    </row>
    <row r="416">
      <c r="A416" s="1" t="n"/>
      <c r="B416" s="25" t="n"/>
      <c r="C416" s="26" t="n"/>
      <c r="D416" s="63" t="n"/>
      <c r="E416" s="64">
        <f>IF(C416="","",IFERROR(INDEX(Effectif!$E$7:$E$21,MATCH(C416,Effectif!$C$7:$C$21,0)),""))</f>
        <v/>
      </c>
      <c r="F416" s="29">
        <f>IF(AND(ISNUMBER(D416),ISNUMBER(E416)),D416*E416,"")</f>
        <v/>
      </c>
      <c r="G416" s="2" t="n"/>
      <c r="H416" s="1" t="n"/>
    </row>
    <row r="417">
      <c r="A417" s="1" t="n"/>
      <c r="B417" s="25" t="n"/>
      <c r="C417" s="26" t="n"/>
      <c r="D417" s="63" t="n"/>
      <c r="E417" s="64">
        <f>IF(C417="","",IFERROR(INDEX(Effectif!$E$7:$E$21,MATCH(C417,Effectif!$C$7:$C$21,0)),""))</f>
        <v/>
      </c>
      <c r="F417" s="29">
        <f>IF(AND(ISNUMBER(D417),ISNUMBER(E417)),D417*E417,"")</f>
        <v/>
      </c>
      <c r="G417" s="2" t="n"/>
      <c r="H417" s="1" t="n"/>
    </row>
    <row r="418">
      <c r="A418" s="1" t="n"/>
      <c r="B418" s="25" t="n"/>
      <c r="C418" s="26" t="n"/>
      <c r="D418" s="63" t="n"/>
      <c r="E418" s="64">
        <f>IF(C418="","",IFERROR(INDEX(Effectif!$E$7:$E$21,MATCH(C418,Effectif!$C$7:$C$21,0)),""))</f>
        <v/>
      </c>
      <c r="F418" s="29">
        <f>IF(AND(ISNUMBER(D418),ISNUMBER(E418)),D418*E418,"")</f>
        <v/>
      </c>
      <c r="G418" s="2" t="n"/>
      <c r="H418" s="1" t="n"/>
    </row>
    <row r="419">
      <c r="A419" s="1" t="n"/>
      <c r="B419" s="25" t="n"/>
      <c r="C419" s="26" t="n"/>
      <c r="D419" s="63" t="n"/>
      <c r="E419" s="64">
        <f>IF(C419="","",IFERROR(INDEX(Effectif!$E$7:$E$21,MATCH(C419,Effectif!$C$7:$C$21,0)),""))</f>
        <v/>
      </c>
      <c r="F419" s="29">
        <f>IF(AND(ISNUMBER(D419),ISNUMBER(E419)),D419*E419,"")</f>
        <v/>
      </c>
      <c r="G419" s="2" t="n"/>
      <c r="H419" s="1" t="n"/>
    </row>
    <row r="420">
      <c r="A420" s="1" t="n"/>
      <c r="B420" s="25" t="n"/>
      <c r="C420" s="26" t="n"/>
      <c r="D420" s="63" t="n"/>
      <c r="E420" s="64">
        <f>IF(C420="","",IFERROR(INDEX(Effectif!$E$7:$E$21,MATCH(C420,Effectif!$C$7:$C$21,0)),""))</f>
        <v/>
      </c>
      <c r="F420" s="29">
        <f>IF(AND(ISNUMBER(D420),ISNUMBER(E420)),D420*E420,"")</f>
        <v/>
      </c>
      <c r="G420" s="2" t="n"/>
      <c r="H420" s="1" t="n"/>
    </row>
    <row r="421">
      <c r="A421" s="1" t="n"/>
      <c r="B421" s="25" t="n"/>
      <c r="C421" s="26" t="n"/>
      <c r="D421" s="63" t="n"/>
      <c r="E421" s="64">
        <f>IF(C421="","",IFERROR(INDEX(Effectif!$E$7:$E$21,MATCH(C421,Effectif!$C$7:$C$21,0)),""))</f>
        <v/>
      </c>
      <c r="F421" s="29">
        <f>IF(AND(ISNUMBER(D421),ISNUMBER(E421)),D421*E421,"")</f>
        <v/>
      </c>
      <c r="G421" s="2" t="n"/>
      <c r="H421" s="1" t="n"/>
    </row>
    <row r="422">
      <c r="A422" s="1" t="n"/>
      <c r="B422" s="25" t="n"/>
      <c r="C422" s="26" t="n"/>
      <c r="D422" s="63" t="n"/>
      <c r="E422" s="64">
        <f>IF(C422="","",IFERROR(INDEX(Effectif!$E$7:$E$21,MATCH(C422,Effectif!$C$7:$C$21,0)),""))</f>
        <v/>
      </c>
      <c r="F422" s="29">
        <f>IF(AND(ISNUMBER(D422),ISNUMBER(E422)),D422*E422,"")</f>
        <v/>
      </c>
      <c r="G422" s="2" t="n"/>
      <c r="H422" s="1" t="n"/>
    </row>
    <row r="423">
      <c r="A423" s="1" t="n"/>
      <c r="B423" s="25" t="n"/>
      <c r="C423" s="26" t="n"/>
      <c r="D423" s="63" t="n"/>
      <c r="E423" s="64">
        <f>IF(C423="","",IFERROR(INDEX(Effectif!$E$7:$E$21,MATCH(C423,Effectif!$C$7:$C$21,0)),""))</f>
        <v/>
      </c>
      <c r="F423" s="29">
        <f>IF(AND(ISNUMBER(D423),ISNUMBER(E423)),D423*E423,"")</f>
        <v/>
      </c>
      <c r="G423" s="2" t="n"/>
      <c r="H423" s="1" t="n"/>
    </row>
    <row r="424">
      <c r="A424" s="1" t="n"/>
      <c r="B424" s="25" t="n"/>
      <c r="C424" s="26" t="n"/>
      <c r="D424" s="63" t="n"/>
      <c r="E424" s="64">
        <f>IF(C424="","",IFERROR(INDEX(Effectif!$E$7:$E$21,MATCH(C424,Effectif!$C$7:$C$21,0)),""))</f>
        <v/>
      </c>
      <c r="F424" s="29">
        <f>IF(AND(ISNUMBER(D424),ISNUMBER(E424)),D424*E424,"")</f>
        <v/>
      </c>
      <c r="G424" s="2" t="n"/>
      <c r="H424" s="1" t="n"/>
    </row>
    <row r="425">
      <c r="A425" s="1" t="n"/>
      <c r="B425" s="25" t="n"/>
      <c r="C425" s="26" t="n"/>
      <c r="D425" s="63" t="n"/>
      <c r="E425" s="64">
        <f>IF(C425="","",IFERROR(INDEX(Effectif!$E$7:$E$21,MATCH(C425,Effectif!$C$7:$C$21,0)),""))</f>
        <v/>
      </c>
      <c r="F425" s="29">
        <f>IF(AND(ISNUMBER(D425),ISNUMBER(E425)),D425*E425,"")</f>
        <v/>
      </c>
      <c r="G425" s="2" t="n"/>
      <c r="H425" s="1" t="n"/>
    </row>
    <row r="426">
      <c r="A426" s="1" t="n"/>
      <c r="B426" s="25" t="n"/>
      <c r="C426" s="26" t="n"/>
      <c r="D426" s="63" t="n"/>
      <c r="E426" s="64">
        <f>IF(C426="","",IFERROR(INDEX(Effectif!$E$7:$E$21,MATCH(C426,Effectif!$C$7:$C$21,0)),""))</f>
        <v/>
      </c>
      <c r="F426" s="29">
        <f>IF(AND(ISNUMBER(D426),ISNUMBER(E426)),D426*E426,"")</f>
        <v/>
      </c>
      <c r="G426" s="2" t="n"/>
      <c r="H426" s="1" t="n"/>
    </row>
    <row r="427">
      <c r="A427" s="1" t="n"/>
      <c r="B427" s="25" t="n"/>
      <c r="C427" s="26" t="n"/>
      <c r="D427" s="63" t="n"/>
      <c r="E427" s="64">
        <f>IF(C427="","",IFERROR(INDEX(Effectif!$E$7:$E$21,MATCH(C427,Effectif!$C$7:$C$21,0)),""))</f>
        <v/>
      </c>
      <c r="F427" s="29">
        <f>IF(AND(ISNUMBER(D427),ISNUMBER(E427)),D427*E427,"")</f>
        <v/>
      </c>
      <c r="G427" s="2" t="n"/>
      <c r="H427" s="1" t="n"/>
    </row>
    <row r="428">
      <c r="A428" s="1" t="n"/>
      <c r="B428" s="25" t="n"/>
      <c r="C428" s="26" t="n"/>
      <c r="D428" s="63" t="n"/>
      <c r="E428" s="64">
        <f>IF(C428="","",IFERROR(INDEX(Effectif!$E$7:$E$21,MATCH(C428,Effectif!$C$7:$C$21,0)),""))</f>
        <v/>
      </c>
      <c r="F428" s="29">
        <f>IF(AND(ISNUMBER(D428),ISNUMBER(E428)),D428*E428,"")</f>
        <v/>
      </c>
      <c r="G428" s="2" t="n"/>
      <c r="H428" s="1" t="n"/>
    </row>
    <row r="429">
      <c r="A429" s="1" t="n"/>
      <c r="B429" s="25" t="n"/>
      <c r="C429" s="26" t="n"/>
      <c r="D429" s="63" t="n"/>
      <c r="E429" s="64">
        <f>IF(C429="","",IFERROR(INDEX(Effectif!$E$7:$E$21,MATCH(C429,Effectif!$C$7:$C$21,0)),""))</f>
        <v/>
      </c>
      <c r="F429" s="29">
        <f>IF(AND(ISNUMBER(D429),ISNUMBER(E429)),D429*E429,"")</f>
        <v/>
      </c>
      <c r="G429" s="2" t="n"/>
      <c r="H429" s="1" t="n"/>
    </row>
    <row r="430">
      <c r="A430" s="1" t="n"/>
      <c r="B430" s="25" t="n"/>
      <c r="C430" s="26" t="n"/>
      <c r="D430" s="63" t="n"/>
      <c r="E430" s="64">
        <f>IF(C430="","",IFERROR(INDEX(Effectif!$E$7:$E$21,MATCH(C430,Effectif!$C$7:$C$21,0)),""))</f>
        <v/>
      </c>
      <c r="F430" s="29">
        <f>IF(AND(ISNUMBER(D430),ISNUMBER(E430)),D430*E430,"")</f>
        <v/>
      </c>
      <c r="G430" s="2" t="n"/>
      <c r="H430" s="1" t="n"/>
    </row>
    <row r="431">
      <c r="A431" s="1" t="n"/>
      <c r="B431" s="25" t="n"/>
      <c r="C431" s="26" t="n"/>
      <c r="D431" s="63" t="n"/>
      <c r="E431" s="64">
        <f>IF(C431="","",IFERROR(INDEX(Effectif!$E$7:$E$21,MATCH(C431,Effectif!$C$7:$C$21,0)),""))</f>
        <v/>
      </c>
      <c r="F431" s="29">
        <f>IF(AND(ISNUMBER(D431),ISNUMBER(E431)),D431*E431,"")</f>
        <v/>
      </c>
      <c r="G431" s="2" t="n"/>
      <c r="H431" s="1" t="n"/>
    </row>
    <row r="432">
      <c r="A432" s="1" t="n"/>
      <c r="B432" s="25" t="n"/>
      <c r="C432" s="26" t="n"/>
      <c r="D432" s="63" t="n"/>
      <c r="E432" s="64">
        <f>IF(C432="","",IFERROR(INDEX(Effectif!$E$7:$E$21,MATCH(C432,Effectif!$C$7:$C$21,0)),""))</f>
        <v/>
      </c>
      <c r="F432" s="29">
        <f>IF(AND(ISNUMBER(D432),ISNUMBER(E432)),D432*E432,"")</f>
        <v/>
      </c>
      <c r="G432" s="2" t="n"/>
      <c r="H432" s="1" t="n"/>
    </row>
    <row r="433">
      <c r="A433" s="1" t="n"/>
      <c r="B433" s="25" t="n"/>
      <c r="C433" s="26" t="n"/>
      <c r="D433" s="63" t="n"/>
      <c r="E433" s="64">
        <f>IF(C433="","",IFERROR(INDEX(Effectif!$E$7:$E$21,MATCH(C433,Effectif!$C$7:$C$21,0)),""))</f>
        <v/>
      </c>
      <c r="F433" s="29">
        <f>IF(AND(ISNUMBER(D433),ISNUMBER(E433)),D433*E433,"")</f>
        <v/>
      </c>
      <c r="G433" s="2" t="n"/>
      <c r="H433" s="1" t="n"/>
    </row>
    <row r="434">
      <c r="A434" s="1" t="n"/>
      <c r="B434" s="25" t="n"/>
      <c r="C434" s="26" t="n"/>
      <c r="D434" s="63" t="n"/>
      <c r="E434" s="64">
        <f>IF(C434="","",IFERROR(INDEX(Effectif!$E$7:$E$21,MATCH(C434,Effectif!$C$7:$C$21,0)),""))</f>
        <v/>
      </c>
      <c r="F434" s="29">
        <f>IF(AND(ISNUMBER(D434),ISNUMBER(E434)),D434*E434,"")</f>
        <v/>
      </c>
      <c r="G434" s="2" t="n"/>
      <c r="H434" s="1" t="n"/>
    </row>
    <row r="435">
      <c r="A435" s="1" t="n"/>
      <c r="B435" s="25" t="n"/>
      <c r="C435" s="26" t="n"/>
      <c r="D435" s="63" t="n"/>
      <c r="E435" s="64">
        <f>IF(C435="","",IFERROR(INDEX(Effectif!$E$7:$E$21,MATCH(C435,Effectif!$C$7:$C$21,0)),""))</f>
        <v/>
      </c>
      <c r="F435" s="29">
        <f>IF(AND(ISNUMBER(D435),ISNUMBER(E435)),D435*E435,"")</f>
        <v/>
      </c>
      <c r="G435" s="2" t="n"/>
      <c r="H435" s="1" t="n"/>
    </row>
    <row r="436">
      <c r="A436" s="1" t="n"/>
      <c r="B436" s="25" t="n"/>
      <c r="C436" s="26" t="n"/>
      <c r="D436" s="63" t="n"/>
      <c r="E436" s="64">
        <f>IF(C436="","",IFERROR(INDEX(Effectif!$E$7:$E$21,MATCH(C436,Effectif!$C$7:$C$21,0)),""))</f>
        <v/>
      </c>
      <c r="F436" s="29">
        <f>IF(AND(ISNUMBER(D436),ISNUMBER(E436)),D436*E436,"")</f>
        <v/>
      </c>
      <c r="G436" s="2" t="n"/>
      <c r="H436" s="1" t="n"/>
    </row>
    <row r="437">
      <c r="A437" s="1" t="n"/>
      <c r="B437" s="25" t="n"/>
      <c r="C437" s="26" t="n"/>
      <c r="D437" s="63" t="n"/>
      <c r="E437" s="64">
        <f>IF(C437="","",IFERROR(INDEX(Effectif!$E$7:$E$21,MATCH(C437,Effectif!$C$7:$C$21,0)),""))</f>
        <v/>
      </c>
      <c r="F437" s="29">
        <f>IF(AND(ISNUMBER(D437),ISNUMBER(E437)),D437*E437,"")</f>
        <v/>
      </c>
      <c r="G437" s="2" t="n"/>
      <c r="H437" s="1" t="n"/>
    </row>
    <row r="438">
      <c r="A438" s="1" t="n"/>
      <c r="B438" s="25" t="n"/>
      <c r="C438" s="26" t="n"/>
      <c r="D438" s="63" t="n"/>
      <c r="E438" s="64">
        <f>IF(C438="","",IFERROR(INDEX(Effectif!$E$7:$E$21,MATCH(C438,Effectif!$C$7:$C$21,0)),""))</f>
        <v/>
      </c>
      <c r="F438" s="29">
        <f>IF(AND(ISNUMBER(D438),ISNUMBER(E438)),D438*E438,"")</f>
        <v/>
      </c>
      <c r="G438" s="2" t="n"/>
      <c r="H438" s="1" t="n"/>
    </row>
    <row r="439">
      <c r="A439" s="1" t="n"/>
      <c r="B439" s="25" t="n"/>
      <c r="C439" s="26" t="n"/>
      <c r="D439" s="63" t="n"/>
      <c r="E439" s="64">
        <f>IF(C439="","",IFERROR(INDEX(Effectif!$E$7:$E$21,MATCH(C439,Effectif!$C$7:$C$21,0)),""))</f>
        <v/>
      </c>
      <c r="F439" s="29">
        <f>IF(AND(ISNUMBER(D439),ISNUMBER(E439)),D439*E439,"")</f>
        <v/>
      </c>
      <c r="G439" s="2" t="n"/>
      <c r="H439" s="1" t="n"/>
    </row>
    <row r="440">
      <c r="A440" s="1" t="n"/>
      <c r="B440" s="25" t="n"/>
      <c r="C440" s="26" t="n"/>
      <c r="D440" s="63" t="n"/>
      <c r="E440" s="64">
        <f>IF(C440="","",IFERROR(INDEX(Effectif!$E$7:$E$21,MATCH(C440,Effectif!$C$7:$C$21,0)),""))</f>
        <v/>
      </c>
      <c r="F440" s="29">
        <f>IF(AND(ISNUMBER(D440),ISNUMBER(E440)),D440*E440,"")</f>
        <v/>
      </c>
      <c r="G440" s="2" t="n"/>
      <c r="H440" s="1" t="n"/>
    </row>
    <row r="441">
      <c r="A441" s="1" t="n"/>
      <c r="B441" s="25" t="n"/>
      <c r="C441" s="26" t="n"/>
      <c r="D441" s="63" t="n"/>
      <c r="E441" s="64">
        <f>IF(C441="","",IFERROR(INDEX(Effectif!$E$7:$E$21,MATCH(C441,Effectif!$C$7:$C$21,0)),""))</f>
        <v/>
      </c>
      <c r="F441" s="29">
        <f>IF(AND(ISNUMBER(D441),ISNUMBER(E441)),D441*E441,"")</f>
        <v/>
      </c>
      <c r="G441" s="2" t="n"/>
      <c r="H441" s="1" t="n"/>
    </row>
    <row r="442">
      <c r="A442" s="1" t="n"/>
      <c r="B442" s="25" t="n"/>
      <c r="C442" s="26" t="n"/>
      <c r="D442" s="63" t="n"/>
      <c r="E442" s="64">
        <f>IF(C442="","",IFERROR(INDEX(Effectif!$E$7:$E$21,MATCH(C442,Effectif!$C$7:$C$21,0)),""))</f>
        <v/>
      </c>
      <c r="F442" s="29">
        <f>IF(AND(ISNUMBER(D442),ISNUMBER(E442)),D442*E442,"")</f>
        <v/>
      </c>
      <c r="G442" s="2" t="n"/>
      <c r="H442" s="1" t="n"/>
    </row>
    <row r="443">
      <c r="A443" s="1" t="n"/>
      <c r="B443" s="25" t="n"/>
      <c r="C443" s="26" t="n"/>
      <c r="D443" s="63" t="n"/>
      <c r="E443" s="64">
        <f>IF(C443="","",IFERROR(INDEX(Effectif!$E$7:$E$21,MATCH(C443,Effectif!$C$7:$C$21,0)),""))</f>
        <v/>
      </c>
      <c r="F443" s="29">
        <f>IF(AND(ISNUMBER(D443),ISNUMBER(E443)),D443*E443,"")</f>
        <v/>
      </c>
      <c r="G443" s="2" t="n"/>
      <c r="H443" s="1" t="n"/>
    </row>
    <row r="444">
      <c r="A444" s="1" t="n"/>
      <c r="B444" s="25" t="n"/>
      <c r="C444" s="26" t="n"/>
      <c r="D444" s="63" t="n"/>
      <c r="E444" s="64">
        <f>IF(C444="","",IFERROR(INDEX(Effectif!$E$7:$E$21,MATCH(C444,Effectif!$C$7:$C$21,0)),""))</f>
        <v/>
      </c>
      <c r="F444" s="29">
        <f>IF(AND(ISNUMBER(D444),ISNUMBER(E444)),D444*E444,"")</f>
        <v/>
      </c>
      <c r="G444" s="2" t="n"/>
      <c r="H444" s="1" t="n"/>
    </row>
    <row r="445">
      <c r="A445" s="1" t="n"/>
      <c r="B445" s="25" t="n"/>
      <c r="C445" s="26" t="n"/>
      <c r="D445" s="63" t="n"/>
      <c r="E445" s="64">
        <f>IF(C445="","",IFERROR(INDEX(Effectif!$E$7:$E$21,MATCH(C445,Effectif!$C$7:$C$21,0)),""))</f>
        <v/>
      </c>
      <c r="F445" s="29">
        <f>IF(AND(ISNUMBER(D445),ISNUMBER(E445)),D445*E445,"")</f>
        <v/>
      </c>
      <c r="G445" s="2" t="n"/>
      <c r="H445" s="1" t="n"/>
    </row>
    <row r="446">
      <c r="A446" s="1" t="n"/>
      <c r="B446" s="25" t="n"/>
      <c r="C446" s="26" t="n"/>
      <c r="D446" s="63" t="n"/>
      <c r="E446" s="64">
        <f>IF(C446="","",IFERROR(INDEX(Effectif!$E$7:$E$21,MATCH(C446,Effectif!$C$7:$C$21,0)),""))</f>
        <v/>
      </c>
      <c r="F446" s="29">
        <f>IF(AND(ISNUMBER(D446),ISNUMBER(E446)),D446*E446,"")</f>
        <v/>
      </c>
      <c r="G446" s="2" t="n"/>
      <c r="H446" s="1" t="n"/>
    </row>
    <row r="447">
      <c r="A447" s="1" t="n"/>
      <c r="B447" s="25" t="n"/>
      <c r="C447" s="26" t="n"/>
      <c r="D447" s="63" t="n"/>
      <c r="E447" s="64">
        <f>IF(C447="","",IFERROR(INDEX(Effectif!$E$7:$E$21,MATCH(C447,Effectif!$C$7:$C$21,0)),""))</f>
        <v/>
      </c>
      <c r="F447" s="29">
        <f>IF(AND(ISNUMBER(D447),ISNUMBER(E447)),D447*E447,"")</f>
        <v/>
      </c>
      <c r="G447" s="2" t="n"/>
      <c r="H447" s="1" t="n"/>
    </row>
    <row r="448">
      <c r="A448" s="1" t="n"/>
      <c r="B448" s="25" t="n"/>
      <c r="C448" s="26" t="n"/>
      <c r="D448" s="63" t="n"/>
      <c r="E448" s="64">
        <f>IF(C448="","",IFERROR(INDEX(Effectif!$E$7:$E$21,MATCH(C448,Effectif!$C$7:$C$21,0)),""))</f>
        <v/>
      </c>
      <c r="F448" s="29">
        <f>IF(AND(ISNUMBER(D448),ISNUMBER(E448)),D448*E448,"")</f>
        <v/>
      </c>
      <c r="G448" s="2" t="n"/>
      <c r="H448" s="1" t="n"/>
    </row>
    <row r="449">
      <c r="A449" s="1" t="n"/>
      <c r="B449" s="25" t="n"/>
      <c r="C449" s="26" t="n"/>
      <c r="D449" s="63" t="n"/>
      <c r="E449" s="64">
        <f>IF(C449="","",IFERROR(INDEX(Effectif!$E$7:$E$21,MATCH(C449,Effectif!$C$7:$C$21,0)),""))</f>
        <v/>
      </c>
      <c r="F449" s="29">
        <f>IF(AND(ISNUMBER(D449),ISNUMBER(E449)),D449*E449,"")</f>
        <v/>
      </c>
      <c r="G449" s="2" t="n"/>
      <c r="H449" s="1" t="n"/>
    </row>
    <row r="450">
      <c r="A450" s="1" t="n"/>
      <c r="B450" s="25" t="n"/>
      <c r="C450" s="26" t="n"/>
      <c r="D450" s="63" t="n"/>
      <c r="E450" s="64">
        <f>IF(C450="","",IFERROR(INDEX(Effectif!$E$7:$E$21,MATCH(C450,Effectif!$C$7:$C$21,0)),""))</f>
        <v/>
      </c>
      <c r="F450" s="29">
        <f>IF(AND(ISNUMBER(D450),ISNUMBER(E450)),D450*E450,"")</f>
        <v/>
      </c>
      <c r="G450" s="2" t="n"/>
      <c r="H450" s="1" t="n"/>
    </row>
    <row r="451">
      <c r="A451" s="1" t="n"/>
      <c r="B451" s="25" t="n"/>
      <c r="C451" s="26" t="n"/>
      <c r="D451" s="63" t="n"/>
      <c r="E451" s="64">
        <f>IF(C451="","",IFERROR(INDEX(Effectif!$E$7:$E$21,MATCH(C451,Effectif!$C$7:$C$21,0)),""))</f>
        <v/>
      </c>
      <c r="F451" s="29">
        <f>IF(AND(ISNUMBER(D451),ISNUMBER(E451)),D451*E451,"")</f>
        <v/>
      </c>
      <c r="G451" s="2" t="n"/>
      <c r="H451" s="1" t="n"/>
    </row>
    <row r="452">
      <c r="A452" s="1" t="n"/>
      <c r="B452" s="25" t="n"/>
      <c r="C452" s="26" t="n"/>
      <c r="D452" s="63" t="n"/>
      <c r="E452" s="64">
        <f>IF(C452="","",IFERROR(INDEX(Effectif!$E$7:$E$21,MATCH(C452,Effectif!$C$7:$C$21,0)),""))</f>
        <v/>
      </c>
      <c r="F452" s="29">
        <f>IF(AND(ISNUMBER(D452),ISNUMBER(E452)),D452*E452,"")</f>
        <v/>
      </c>
      <c r="G452" s="2" t="n"/>
      <c r="H452" s="1" t="n"/>
    </row>
    <row r="453">
      <c r="A453" s="1" t="n"/>
      <c r="B453" s="25" t="n"/>
      <c r="C453" s="26" t="n"/>
      <c r="D453" s="63" t="n"/>
      <c r="E453" s="64">
        <f>IF(C453="","",IFERROR(INDEX(Effectif!$E$7:$E$21,MATCH(C453,Effectif!$C$7:$C$21,0)),""))</f>
        <v/>
      </c>
      <c r="F453" s="29">
        <f>IF(AND(ISNUMBER(D453),ISNUMBER(E453)),D453*E453,"")</f>
        <v/>
      </c>
      <c r="G453" s="2" t="n"/>
      <c r="H453" s="1" t="n"/>
    </row>
    <row r="454">
      <c r="A454" s="1" t="n"/>
      <c r="B454" s="25" t="n"/>
      <c r="C454" s="26" t="n"/>
      <c r="D454" s="63" t="n"/>
      <c r="E454" s="64">
        <f>IF(C454="","",IFERROR(INDEX(Effectif!$E$7:$E$21,MATCH(C454,Effectif!$C$7:$C$21,0)),""))</f>
        <v/>
      </c>
      <c r="F454" s="29">
        <f>IF(AND(ISNUMBER(D454),ISNUMBER(E454)),D454*E454,"")</f>
        <v/>
      </c>
      <c r="G454" s="2" t="n"/>
      <c r="H454" s="1" t="n"/>
    </row>
    <row r="455">
      <c r="A455" s="1" t="n"/>
      <c r="B455" s="25" t="n"/>
      <c r="C455" s="26" t="n"/>
      <c r="D455" s="63" t="n"/>
      <c r="E455" s="64">
        <f>IF(C455="","",IFERROR(INDEX(Effectif!$E$7:$E$21,MATCH(C455,Effectif!$C$7:$C$21,0)),""))</f>
        <v/>
      </c>
      <c r="F455" s="29">
        <f>IF(AND(ISNUMBER(D455),ISNUMBER(E455)),D455*E455,"")</f>
        <v/>
      </c>
      <c r="G455" s="2" t="n"/>
      <c r="H455" s="1" t="n"/>
    </row>
    <row r="456">
      <c r="A456" s="1" t="n"/>
      <c r="B456" s="25" t="n"/>
      <c r="C456" s="26" t="n"/>
      <c r="D456" s="63" t="n"/>
      <c r="E456" s="64">
        <f>IF(C456="","",IFERROR(INDEX(Effectif!$E$7:$E$21,MATCH(C456,Effectif!$C$7:$C$21,0)),""))</f>
        <v/>
      </c>
      <c r="F456" s="29">
        <f>IF(AND(ISNUMBER(D456),ISNUMBER(E456)),D456*E456,"")</f>
        <v/>
      </c>
      <c r="G456" s="2" t="n"/>
      <c r="H456" s="1" t="n"/>
    </row>
    <row r="457">
      <c r="A457" s="1" t="n"/>
      <c r="B457" s="25" t="n"/>
      <c r="C457" s="26" t="n"/>
      <c r="D457" s="63" t="n"/>
      <c r="E457" s="64">
        <f>IF(C457="","",IFERROR(INDEX(Effectif!$E$7:$E$21,MATCH(C457,Effectif!$C$7:$C$21,0)),""))</f>
        <v/>
      </c>
      <c r="F457" s="29">
        <f>IF(AND(ISNUMBER(D457),ISNUMBER(E457)),D457*E457,"")</f>
        <v/>
      </c>
      <c r="G457" s="2" t="n"/>
      <c r="H457" s="1" t="n"/>
    </row>
    <row r="458">
      <c r="A458" s="1" t="n"/>
      <c r="B458" s="25" t="n"/>
      <c r="C458" s="26" t="n"/>
      <c r="D458" s="63" t="n"/>
      <c r="E458" s="64">
        <f>IF(C458="","",IFERROR(INDEX(Effectif!$E$7:$E$21,MATCH(C458,Effectif!$C$7:$C$21,0)),""))</f>
        <v/>
      </c>
      <c r="F458" s="29">
        <f>IF(AND(ISNUMBER(D458),ISNUMBER(E458)),D458*E458,"")</f>
        <v/>
      </c>
      <c r="G458" s="2" t="n"/>
      <c r="H458" s="1" t="n"/>
    </row>
    <row r="459">
      <c r="A459" s="1" t="n"/>
      <c r="B459" s="25" t="n"/>
      <c r="C459" s="26" t="n"/>
      <c r="D459" s="63" t="n"/>
      <c r="E459" s="64">
        <f>IF(C459="","",IFERROR(INDEX(Effectif!$E$7:$E$21,MATCH(C459,Effectif!$C$7:$C$21,0)),""))</f>
        <v/>
      </c>
      <c r="F459" s="29">
        <f>IF(AND(ISNUMBER(D459),ISNUMBER(E459)),D459*E459,"")</f>
        <v/>
      </c>
      <c r="G459" s="2" t="n"/>
      <c r="H459" s="1" t="n"/>
    </row>
    <row r="460">
      <c r="A460" s="1" t="n"/>
      <c r="B460" s="25" t="n"/>
      <c r="C460" s="26" t="n"/>
      <c r="D460" s="63" t="n"/>
      <c r="E460" s="64">
        <f>IF(C460="","",IFERROR(INDEX(Effectif!$E$7:$E$21,MATCH(C460,Effectif!$C$7:$C$21,0)),""))</f>
        <v/>
      </c>
      <c r="F460" s="29">
        <f>IF(AND(ISNUMBER(D460),ISNUMBER(E460)),D460*E460,"")</f>
        <v/>
      </c>
      <c r="G460" s="2" t="n"/>
      <c r="H460" s="1" t="n"/>
    </row>
    <row r="461">
      <c r="A461" s="1" t="n"/>
      <c r="B461" s="25" t="n"/>
      <c r="C461" s="26" t="n"/>
      <c r="D461" s="63" t="n"/>
      <c r="E461" s="64">
        <f>IF(C461="","",IFERROR(INDEX(Effectif!$E$7:$E$21,MATCH(C461,Effectif!$C$7:$C$21,0)),""))</f>
        <v/>
      </c>
      <c r="F461" s="29">
        <f>IF(AND(ISNUMBER(D461),ISNUMBER(E461)),D461*E461,"")</f>
        <v/>
      </c>
      <c r="G461" s="2" t="n"/>
      <c r="H461" s="1" t="n"/>
    </row>
    <row r="462">
      <c r="A462" s="1" t="n"/>
      <c r="B462" s="25" t="n"/>
      <c r="C462" s="26" t="n"/>
      <c r="D462" s="63" t="n"/>
      <c r="E462" s="64">
        <f>IF(C462="","",IFERROR(INDEX(Effectif!$E$7:$E$21,MATCH(C462,Effectif!$C$7:$C$21,0)),""))</f>
        <v/>
      </c>
      <c r="F462" s="29">
        <f>IF(AND(ISNUMBER(D462),ISNUMBER(E462)),D462*E462,"")</f>
        <v/>
      </c>
      <c r="G462" s="2" t="n"/>
      <c r="H462" s="1" t="n"/>
    </row>
    <row r="463">
      <c r="A463" s="1" t="n"/>
      <c r="B463" s="25" t="n"/>
      <c r="C463" s="26" t="n"/>
      <c r="D463" s="63" t="n"/>
      <c r="E463" s="64">
        <f>IF(C463="","",IFERROR(INDEX(Effectif!$E$7:$E$21,MATCH(C463,Effectif!$C$7:$C$21,0)),""))</f>
        <v/>
      </c>
      <c r="F463" s="29">
        <f>IF(AND(ISNUMBER(D463),ISNUMBER(E463)),D463*E463,"")</f>
        <v/>
      </c>
      <c r="G463" s="2" t="n"/>
      <c r="H463" s="1" t="n"/>
    </row>
    <row r="464">
      <c r="A464" s="1" t="n"/>
      <c r="B464" s="25" t="n"/>
      <c r="C464" s="26" t="n"/>
      <c r="D464" s="63" t="n"/>
      <c r="E464" s="64">
        <f>IF(C464="","",IFERROR(INDEX(Effectif!$E$7:$E$21,MATCH(C464,Effectif!$C$7:$C$21,0)),""))</f>
        <v/>
      </c>
      <c r="F464" s="29">
        <f>IF(AND(ISNUMBER(D464),ISNUMBER(E464)),D464*E464,"")</f>
        <v/>
      </c>
      <c r="G464" s="2" t="n"/>
      <c r="H464" s="1" t="n"/>
    </row>
    <row r="465">
      <c r="A465" s="1" t="n"/>
      <c r="B465" s="25" t="n"/>
      <c r="C465" s="26" t="n"/>
      <c r="D465" s="63" t="n"/>
      <c r="E465" s="64">
        <f>IF(C465="","",IFERROR(INDEX(Effectif!$E$7:$E$21,MATCH(C465,Effectif!$C$7:$C$21,0)),""))</f>
        <v/>
      </c>
      <c r="F465" s="29">
        <f>IF(AND(ISNUMBER(D465),ISNUMBER(E465)),D465*E465,"")</f>
        <v/>
      </c>
      <c r="G465" s="2" t="n"/>
      <c r="H465" s="1" t="n"/>
    </row>
    <row r="466">
      <c r="A466" s="1" t="n"/>
      <c r="B466" s="25" t="n"/>
      <c r="C466" s="26" t="n"/>
      <c r="D466" s="63" t="n"/>
      <c r="E466" s="64">
        <f>IF(C466="","",IFERROR(INDEX(Effectif!$E$7:$E$21,MATCH(C466,Effectif!$C$7:$C$21,0)),""))</f>
        <v/>
      </c>
      <c r="F466" s="29">
        <f>IF(AND(ISNUMBER(D466),ISNUMBER(E466)),D466*E466,"")</f>
        <v/>
      </c>
      <c r="G466" s="2" t="n"/>
      <c r="H466" s="1" t="n"/>
    </row>
    <row r="467">
      <c r="A467" s="1" t="n"/>
      <c r="B467" s="25" t="n"/>
      <c r="C467" s="26" t="n"/>
      <c r="D467" s="63" t="n"/>
      <c r="E467" s="64">
        <f>IF(C467="","",IFERROR(INDEX(Effectif!$E$7:$E$21,MATCH(C467,Effectif!$C$7:$C$21,0)),""))</f>
        <v/>
      </c>
      <c r="F467" s="29">
        <f>IF(AND(ISNUMBER(D467),ISNUMBER(E467)),D467*E467,"")</f>
        <v/>
      </c>
      <c r="G467" s="2" t="n"/>
      <c r="H467" s="1" t="n"/>
    </row>
    <row r="468">
      <c r="A468" s="1" t="n"/>
      <c r="B468" s="25" t="n"/>
      <c r="C468" s="26" t="n"/>
      <c r="D468" s="63" t="n"/>
      <c r="E468" s="64">
        <f>IF(C468="","",IFERROR(INDEX(Effectif!$E$7:$E$21,MATCH(C468,Effectif!$C$7:$C$21,0)),""))</f>
        <v/>
      </c>
      <c r="F468" s="29">
        <f>IF(AND(ISNUMBER(D468),ISNUMBER(E468)),D468*E468,"")</f>
        <v/>
      </c>
      <c r="G468" s="2" t="n"/>
      <c r="H468" s="1" t="n"/>
    </row>
    <row r="469">
      <c r="A469" s="1" t="n"/>
      <c r="B469" s="25" t="n"/>
      <c r="C469" s="26" t="n"/>
      <c r="D469" s="63" t="n"/>
      <c r="E469" s="64">
        <f>IF(C469="","",IFERROR(INDEX(Effectif!$E$7:$E$21,MATCH(C469,Effectif!$C$7:$C$21,0)),""))</f>
        <v/>
      </c>
      <c r="F469" s="29">
        <f>IF(AND(ISNUMBER(D469),ISNUMBER(E469)),D469*E469,"")</f>
        <v/>
      </c>
      <c r="G469" s="2" t="n"/>
      <c r="H469" s="1" t="n"/>
    </row>
    <row r="470">
      <c r="A470" s="1" t="n"/>
      <c r="B470" s="25" t="n"/>
      <c r="C470" s="26" t="n"/>
      <c r="D470" s="63" t="n"/>
      <c r="E470" s="64">
        <f>IF(C470="","",IFERROR(INDEX(Effectif!$E$7:$E$21,MATCH(C470,Effectif!$C$7:$C$21,0)),""))</f>
        <v/>
      </c>
      <c r="F470" s="29">
        <f>IF(AND(ISNUMBER(D470),ISNUMBER(E470)),D470*E470,"")</f>
        <v/>
      </c>
      <c r="G470" s="2" t="n"/>
      <c r="H470" s="1" t="n"/>
    </row>
    <row r="471">
      <c r="A471" s="1" t="n"/>
      <c r="B471" s="25" t="n"/>
      <c r="C471" s="26" t="n"/>
      <c r="D471" s="63" t="n"/>
      <c r="E471" s="64">
        <f>IF(C471="","",IFERROR(INDEX(Effectif!$E$7:$E$21,MATCH(C471,Effectif!$C$7:$C$21,0)),""))</f>
        <v/>
      </c>
      <c r="F471" s="29">
        <f>IF(AND(ISNUMBER(D471),ISNUMBER(E471)),D471*E471,"")</f>
        <v/>
      </c>
      <c r="G471" s="2" t="n"/>
      <c r="H471" s="1" t="n"/>
    </row>
    <row r="472">
      <c r="A472" s="1" t="n"/>
      <c r="B472" s="25" t="n"/>
      <c r="C472" s="26" t="n"/>
      <c r="D472" s="63" t="n"/>
      <c r="E472" s="64">
        <f>IF(C472="","",IFERROR(INDEX(Effectif!$E$7:$E$21,MATCH(C472,Effectif!$C$7:$C$21,0)),""))</f>
        <v/>
      </c>
      <c r="F472" s="29">
        <f>IF(AND(ISNUMBER(D472),ISNUMBER(E472)),D472*E472,"")</f>
        <v/>
      </c>
      <c r="G472" s="2" t="n"/>
      <c r="H472" s="1" t="n"/>
    </row>
    <row r="473">
      <c r="A473" s="1" t="n"/>
      <c r="B473" s="25" t="n"/>
      <c r="C473" s="26" t="n"/>
      <c r="D473" s="63" t="n"/>
      <c r="E473" s="64">
        <f>IF(C473="","",IFERROR(INDEX(Effectif!$E$7:$E$21,MATCH(C473,Effectif!$C$7:$C$21,0)),""))</f>
        <v/>
      </c>
      <c r="F473" s="29">
        <f>IF(AND(ISNUMBER(D473),ISNUMBER(E473)),D473*E473,"")</f>
        <v/>
      </c>
      <c r="G473" s="2" t="n"/>
      <c r="H473" s="1" t="n"/>
    </row>
    <row r="474">
      <c r="A474" s="1" t="n"/>
      <c r="B474" s="25" t="n"/>
      <c r="C474" s="26" t="n"/>
      <c r="D474" s="63" t="n"/>
      <c r="E474" s="64">
        <f>IF(C474="","",IFERROR(INDEX(Effectif!$E$7:$E$21,MATCH(C474,Effectif!$C$7:$C$21,0)),""))</f>
        <v/>
      </c>
      <c r="F474" s="29">
        <f>IF(AND(ISNUMBER(D474),ISNUMBER(E474)),D474*E474,"")</f>
        <v/>
      </c>
      <c r="G474" s="2" t="n"/>
      <c r="H474" s="1" t="n"/>
    </row>
    <row r="475">
      <c r="A475" s="1" t="n"/>
      <c r="B475" s="25" t="n"/>
      <c r="C475" s="26" t="n"/>
      <c r="D475" s="63" t="n"/>
      <c r="E475" s="64">
        <f>IF(C475="","",IFERROR(INDEX(Effectif!$E$7:$E$21,MATCH(C475,Effectif!$C$7:$C$21,0)),""))</f>
        <v/>
      </c>
      <c r="F475" s="29">
        <f>IF(AND(ISNUMBER(D475),ISNUMBER(E475)),D475*E475,"")</f>
        <v/>
      </c>
      <c r="G475" s="2" t="n"/>
      <c r="H475" s="1" t="n"/>
    </row>
    <row r="476">
      <c r="A476" s="1" t="n"/>
      <c r="B476" s="25" t="n"/>
      <c r="C476" s="26" t="n"/>
      <c r="D476" s="63" t="n"/>
      <c r="E476" s="64">
        <f>IF(C476="","",IFERROR(INDEX(Effectif!$E$7:$E$21,MATCH(C476,Effectif!$C$7:$C$21,0)),""))</f>
        <v/>
      </c>
      <c r="F476" s="29">
        <f>IF(AND(ISNUMBER(D476),ISNUMBER(E476)),D476*E476,"")</f>
        <v/>
      </c>
      <c r="G476" s="2" t="n"/>
      <c r="H476" s="1" t="n"/>
    </row>
    <row r="477">
      <c r="A477" s="1" t="n"/>
      <c r="B477" s="25" t="n"/>
      <c r="C477" s="26" t="n"/>
      <c r="D477" s="63" t="n"/>
      <c r="E477" s="64">
        <f>IF(C477="","",IFERROR(INDEX(Effectif!$E$7:$E$21,MATCH(C477,Effectif!$C$7:$C$21,0)),""))</f>
        <v/>
      </c>
      <c r="F477" s="29">
        <f>IF(AND(ISNUMBER(D477),ISNUMBER(E477)),D477*E477,"")</f>
        <v/>
      </c>
      <c r="G477" s="2" t="n"/>
      <c r="H477" s="1" t="n"/>
    </row>
    <row r="478">
      <c r="A478" s="1" t="n"/>
      <c r="B478" s="25" t="n"/>
      <c r="C478" s="26" t="n"/>
      <c r="D478" s="63" t="n"/>
      <c r="E478" s="64">
        <f>IF(C478="","",IFERROR(INDEX(Effectif!$E$7:$E$21,MATCH(C478,Effectif!$C$7:$C$21,0)),""))</f>
        <v/>
      </c>
      <c r="F478" s="29">
        <f>IF(AND(ISNUMBER(D478),ISNUMBER(E478)),D478*E478,"")</f>
        <v/>
      </c>
      <c r="G478" s="2" t="n"/>
      <c r="H478" s="1" t="n"/>
    </row>
    <row r="479">
      <c r="A479" s="1" t="n"/>
      <c r="B479" s="25" t="n"/>
      <c r="C479" s="26" t="n"/>
      <c r="D479" s="63" t="n"/>
      <c r="E479" s="64">
        <f>IF(C479="","",IFERROR(INDEX(Effectif!$E$7:$E$21,MATCH(C479,Effectif!$C$7:$C$21,0)),""))</f>
        <v/>
      </c>
      <c r="F479" s="29">
        <f>IF(AND(ISNUMBER(D479),ISNUMBER(E479)),D479*E479,"")</f>
        <v/>
      </c>
      <c r="G479" s="2" t="n"/>
      <c r="H479" s="1" t="n"/>
    </row>
    <row r="480">
      <c r="A480" s="1" t="n"/>
      <c r="B480" s="25" t="n"/>
      <c r="C480" s="26" t="n"/>
      <c r="D480" s="63" t="n"/>
      <c r="E480" s="64">
        <f>IF(C480="","",IFERROR(INDEX(Effectif!$E$7:$E$21,MATCH(C480,Effectif!$C$7:$C$21,0)),""))</f>
        <v/>
      </c>
      <c r="F480" s="29">
        <f>IF(AND(ISNUMBER(D480),ISNUMBER(E480)),D480*E480,"")</f>
        <v/>
      </c>
      <c r="G480" s="2" t="n"/>
      <c r="H480" s="1" t="n"/>
    </row>
    <row r="481">
      <c r="A481" s="1" t="n"/>
      <c r="B481" s="25" t="n"/>
      <c r="C481" s="26" t="n"/>
      <c r="D481" s="63" t="n"/>
      <c r="E481" s="64">
        <f>IF(C481="","",IFERROR(INDEX(Effectif!$E$7:$E$21,MATCH(C481,Effectif!$C$7:$C$21,0)),""))</f>
        <v/>
      </c>
      <c r="F481" s="29">
        <f>IF(AND(ISNUMBER(D481),ISNUMBER(E481)),D481*E481,"")</f>
        <v/>
      </c>
      <c r="G481" s="2" t="n"/>
      <c r="H481" s="1" t="n"/>
    </row>
    <row r="482">
      <c r="A482" s="1" t="n"/>
      <c r="B482" s="25" t="n"/>
      <c r="C482" s="26" t="n"/>
      <c r="D482" s="63" t="n"/>
      <c r="E482" s="64">
        <f>IF(C482="","",IFERROR(INDEX(Effectif!$E$7:$E$21,MATCH(C482,Effectif!$C$7:$C$21,0)),""))</f>
        <v/>
      </c>
      <c r="F482" s="29">
        <f>IF(AND(ISNUMBER(D482),ISNUMBER(E482)),D482*E482,"")</f>
        <v/>
      </c>
      <c r="G482" s="2" t="n"/>
      <c r="H482" s="1" t="n"/>
    </row>
    <row r="483">
      <c r="A483" s="1" t="n"/>
      <c r="B483" s="25" t="n"/>
      <c r="C483" s="26" t="n"/>
      <c r="D483" s="63" t="n"/>
      <c r="E483" s="64">
        <f>IF(C483="","",IFERROR(INDEX(Effectif!$E$7:$E$21,MATCH(C483,Effectif!$C$7:$C$21,0)),""))</f>
        <v/>
      </c>
      <c r="F483" s="29">
        <f>IF(AND(ISNUMBER(D483),ISNUMBER(E483)),D483*E483,"")</f>
        <v/>
      </c>
      <c r="G483" s="2" t="n"/>
      <c r="H483" s="1" t="n"/>
    </row>
    <row r="484">
      <c r="A484" s="1" t="n"/>
      <c r="B484" s="25" t="n"/>
      <c r="C484" s="26" t="n"/>
      <c r="D484" s="63" t="n"/>
      <c r="E484" s="64">
        <f>IF(C484="","",IFERROR(INDEX(Effectif!$E$7:$E$21,MATCH(C484,Effectif!$C$7:$C$21,0)),""))</f>
        <v/>
      </c>
      <c r="F484" s="29">
        <f>IF(AND(ISNUMBER(D484),ISNUMBER(E484)),D484*E484,"")</f>
        <v/>
      </c>
      <c r="G484" s="2" t="n"/>
      <c r="H484" s="1" t="n"/>
    </row>
    <row r="485">
      <c r="A485" s="1" t="n"/>
      <c r="B485" s="25" t="n"/>
      <c r="C485" s="26" t="n"/>
      <c r="D485" s="63" t="n"/>
      <c r="E485" s="64">
        <f>IF(C485="","",IFERROR(INDEX(Effectif!$E$7:$E$21,MATCH(C485,Effectif!$C$7:$C$21,0)),""))</f>
        <v/>
      </c>
      <c r="F485" s="29">
        <f>IF(AND(ISNUMBER(D485),ISNUMBER(E485)),D485*E485,"")</f>
        <v/>
      </c>
      <c r="G485" s="2" t="n"/>
      <c r="H485" s="1" t="n"/>
    </row>
    <row r="486">
      <c r="A486" s="1" t="n"/>
      <c r="B486" s="25" t="n"/>
      <c r="C486" s="26" t="n"/>
      <c r="D486" s="63" t="n"/>
      <c r="E486" s="64">
        <f>IF(C486="","",IFERROR(INDEX(Effectif!$E$7:$E$21,MATCH(C486,Effectif!$C$7:$C$21,0)),""))</f>
        <v/>
      </c>
      <c r="F486" s="29">
        <f>IF(AND(ISNUMBER(D486),ISNUMBER(E486)),D486*E486,"")</f>
        <v/>
      </c>
      <c r="G486" s="2" t="n"/>
      <c r="H486" s="1" t="n"/>
    </row>
    <row r="487">
      <c r="A487" s="1" t="n"/>
      <c r="B487" s="25" t="n"/>
      <c r="C487" s="26" t="n"/>
      <c r="D487" s="63" t="n"/>
      <c r="E487" s="64">
        <f>IF(C487="","",IFERROR(INDEX(Effectif!$E$7:$E$21,MATCH(C487,Effectif!$C$7:$C$21,0)),""))</f>
        <v/>
      </c>
      <c r="F487" s="29">
        <f>IF(AND(ISNUMBER(D487),ISNUMBER(E487)),D487*E487,"")</f>
        <v/>
      </c>
      <c r="G487" s="2" t="n"/>
      <c r="H487" s="1" t="n"/>
    </row>
    <row r="488">
      <c r="A488" s="1" t="n"/>
      <c r="B488" s="25" t="n"/>
      <c r="C488" s="26" t="n"/>
      <c r="D488" s="63" t="n"/>
      <c r="E488" s="64">
        <f>IF(C488="","",IFERROR(INDEX(Effectif!$E$7:$E$21,MATCH(C488,Effectif!$C$7:$C$21,0)),""))</f>
        <v/>
      </c>
      <c r="F488" s="29">
        <f>IF(AND(ISNUMBER(D488),ISNUMBER(E488)),D488*E488,"")</f>
        <v/>
      </c>
      <c r="G488" s="2" t="n"/>
      <c r="H488" s="1" t="n"/>
    </row>
    <row r="489">
      <c r="A489" s="1" t="n"/>
      <c r="B489" s="25" t="n"/>
      <c r="C489" s="26" t="n"/>
      <c r="D489" s="63" t="n"/>
      <c r="E489" s="64">
        <f>IF(C489="","",IFERROR(INDEX(Effectif!$E$7:$E$21,MATCH(C489,Effectif!$C$7:$C$21,0)),""))</f>
        <v/>
      </c>
      <c r="F489" s="29">
        <f>IF(AND(ISNUMBER(D489),ISNUMBER(E489)),D489*E489,"")</f>
        <v/>
      </c>
      <c r="G489" s="2" t="n"/>
      <c r="H489" s="1" t="n"/>
    </row>
    <row r="490">
      <c r="A490" s="1" t="n"/>
      <c r="B490" s="25" t="n"/>
      <c r="C490" s="26" t="n"/>
      <c r="D490" s="63" t="n"/>
      <c r="E490" s="64">
        <f>IF(C490="","",IFERROR(INDEX(Effectif!$E$7:$E$21,MATCH(C490,Effectif!$C$7:$C$21,0)),""))</f>
        <v/>
      </c>
      <c r="F490" s="29">
        <f>IF(AND(ISNUMBER(D490),ISNUMBER(E490)),D490*E490,"")</f>
        <v/>
      </c>
      <c r="G490" s="2" t="n"/>
      <c r="H490" s="1" t="n"/>
    </row>
    <row r="491">
      <c r="A491" s="1" t="n"/>
      <c r="B491" s="25" t="n"/>
      <c r="C491" s="26" t="n"/>
      <c r="D491" s="63" t="n"/>
      <c r="E491" s="64">
        <f>IF(C491="","",IFERROR(INDEX(Effectif!$E$7:$E$21,MATCH(C491,Effectif!$C$7:$C$21,0)),""))</f>
        <v/>
      </c>
      <c r="F491" s="29">
        <f>IF(AND(ISNUMBER(D491),ISNUMBER(E491)),D491*E491,"")</f>
        <v/>
      </c>
      <c r="G491" s="2" t="n"/>
      <c r="H491" s="1" t="n"/>
    </row>
    <row r="492">
      <c r="A492" s="1" t="n"/>
      <c r="B492" s="25" t="n"/>
      <c r="C492" s="26" t="n"/>
      <c r="D492" s="63" t="n"/>
      <c r="E492" s="64">
        <f>IF(C492="","",IFERROR(INDEX(Effectif!$E$7:$E$21,MATCH(C492,Effectif!$C$7:$C$21,0)),""))</f>
        <v/>
      </c>
      <c r="F492" s="29">
        <f>IF(AND(ISNUMBER(D492),ISNUMBER(E492)),D492*E492,"")</f>
        <v/>
      </c>
      <c r="G492" s="2" t="n"/>
      <c r="H492" s="1" t="n"/>
    </row>
    <row r="493">
      <c r="A493" s="1" t="n"/>
      <c r="B493" s="25" t="n"/>
      <c r="C493" s="26" t="n"/>
      <c r="D493" s="63" t="n"/>
      <c r="E493" s="64">
        <f>IF(C493="","",IFERROR(INDEX(Effectif!$E$7:$E$21,MATCH(C493,Effectif!$C$7:$C$21,0)),""))</f>
        <v/>
      </c>
      <c r="F493" s="29">
        <f>IF(AND(ISNUMBER(D493),ISNUMBER(E493)),D493*E493,"")</f>
        <v/>
      </c>
      <c r="G493" s="2" t="n"/>
      <c r="H493" s="1" t="n"/>
    </row>
    <row r="494">
      <c r="A494" s="1" t="n"/>
      <c r="B494" s="25" t="n"/>
      <c r="C494" s="26" t="n"/>
      <c r="D494" s="63" t="n"/>
      <c r="E494" s="64">
        <f>IF(C494="","",IFERROR(INDEX(Effectif!$E$7:$E$21,MATCH(C494,Effectif!$C$7:$C$21,0)),""))</f>
        <v/>
      </c>
      <c r="F494" s="29">
        <f>IF(AND(ISNUMBER(D494),ISNUMBER(E494)),D494*E494,"")</f>
        <v/>
      </c>
      <c r="G494" s="2" t="n"/>
      <c r="H494" s="1" t="n"/>
    </row>
    <row r="495">
      <c r="A495" s="1" t="n"/>
      <c r="B495" s="25" t="n"/>
      <c r="C495" s="26" t="n"/>
      <c r="D495" s="63" t="n"/>
      <c r="E495" s="64">
        <f>IF(C495="","",IFERROR(INDEX(Effectif!$E$7:$E$21,MATCH(C495,Effectif!$C$7:$C$21,0)),""))</f>
        <v/>
      </c>
      <c r="F495" s="29">
        <f>IF(AND(ISNUMBER(D495),ISNUMBER(E495)),D495*E495,"")</f>
        <v/>
      </c>
      <c r="G495" s="2" t="n"/>
      <c r="H495" s="1" t="n"/>
    </row>
    <row r="496">
      <c r="A496" s="1" t="n"/>
      <c r="B496" s="25" t="n"/>
      <c r="C496" s="26" t="n"/>
      <c r="D496" s="63" t="n"/>
      <c r="E496" s="64">
        <f>IF(C496="","",IFERROR(INDEX(Effectif!$E$7:$E$21,MATCH(C496,Effectif!$C$7:$C$21,0)),""))</f>
        <v/>
      </c>
      <c r="F496" s="29">
        <f>IF(AND(ISNUMBER(D496),ISNUMBER(E496)),D496*E496,"")</f>
        <v/>
      </c>
      <c r="G496" s="2" t="n"/>
      <c r="H496" s="1" t="n"/>
    </row>
    <row r="497">
      <c r="A497" s="1" t="n"/>
      <c r="B497" s="25" t="n"/>
      <c r="C497" s="26" t="n"/>
      <c r="D497" s="63" t="n"/>
      <c r="E497" s="64">
        <f>IF(C497="","",IFERROR(INDEX(Effectif!$E$7:$E$21,MATCH(C497,Effectif!$C$7:$C$21,0)),""))</f>
        <v/>
      </c>
      <c r="F497" s="29">
        <f>IF(AND(ISNUMBER(D497),ISNUMBER(E497)),D497*E497,"")</f>
        <v/>
      </c>
      <c r="G497" s="2" t="n"/>
      <c r="H497" s="1" t="n"/>
    </row>
    <row r="498">
      <c r="A498" s="1" t="n"/>
      <c r="B498" s="25" t="n"/>
      <c r="C498" s="26" t="n"/>
      <c r="D498" s="63" t="n"/>
      <c r="E498" s="64">
        <f>IF(C498="","",IFERROR(INDEX(Effectif!$E$7:$E$21,MATCH(C498,Effectif!$C$7:$C$21,0)),""))</f>
        <v/>
      </c>
      <c r="F498" s="29">
        <f>IF(AND(ISNUMBER(D498),ISNUMBER(E498)),D498*E498,"")</f>
        <v/>
      </c>
      <c r="G498" s="2" t="n"/>
      <c r="H498" s="1" t="n"/>
    </row>
    <row r="499">
      <c r="A499" s="1" t="n"/>
      <c r="B499" s="25" t="n"/>
      <c r="C499" s="26" t="n"/>
      <c r="D499" s="63" t="n"/>
      <c r="E499" s="64">
        <f>IF(C499="","",IFERROR(INDEX(Effectif!$E$7:$E$21,MATCH(C499,Effectif!$C$7:$C$21,0)),""))</f>
        <v/>
      </c>
      <c r="F499" s="29">
        <f>IF(AND(ISNUMBER(D499),ISNUMBER(E499)),D499*E499,"")</f>
        <v/>
      </c>
      <c r="G499" s="2" t="n"/>
      <c r="H499" s="1" t="n"/>
    </row>
    <row r="500">
      <c r="A500" s="1" t="n"/>
      <c r="B500" s="25" t="n"/>
      <c r="C500" s="26" t="n"/>
      <c r="D500" s="63" t="n"/>
      <c r="E500" s="64">
        <f>IF(C500="","",IFERROR(INDEX(Effectif!$E$7:$E$21,MATCH(C500,Effectif!$C$7:$C$21,0)),""))</f>
        <v/>
      </c>
      <c r="F500" s="29">
        <f>IF(AND(ISNUMBER(D500),ISNUMBER(E500)),D500*E500,"")</f>
        <v/>
      </c>
      <c r="G500" s="2" t="n"/>
      <c r="H500" s="1" t="n"/>
    </row>
    <row r="501">
      <c r="A501" s="1" t="n"/>
      <c r="B501" s="25" t="n"/>
      <c r="C501" s="26" t="n"/>
      <c r="D501" s="63" t="n"/>
      <c r="E501" s="64">
        <f>IF(C501="","",IFERROR(INDEX(Effectif!$E$7:$E$21,MATCH(C501,Effectif!$C$7:$C$21,0)),""))</f>
        <v/>
      </c>
      <c r="F501" s="29">
        <f>IF(AND(ISNUMBER(D501),ISNUMBER(E501)),D501*E501,"")</f>
        <v/>
      </c>
      <c r="G501" s="2" t="n"/>
      <c r="H501" s="1" t="n"/>
    </row>
    <row r="502">
      <c r="A502" s="1" t="n"/>
      <c r="B502" s="25" t="n"/>
      <c r="C502" s="26" t="n"/>
      <c r="D502" s="63" t="n"/>
      <c r="E502" s="64">
        <f>IF(C502="","",IFERROR(INDEX(Effectif!$E$7:$E$21,MATCH(C502,Effectif!$C$7:$C$21,0)),""))</f>
        <v/>
      </c>
      <c r="F502" s="29">
        <f>IF(AND(ISNUMBER(D502),ISNUMBER(E502)),D502*E502,"")</f>
        <v/>
      </c>
      <c r="G502" s="2" t="n"/>
      <c r="H502" s="1" t="n"/>
    </row>
    <row r="503">
      <c r="A503" s="1" t="n"/>
      <c r="B503" s="25" t="n"/>
      <c r="C503" s="26" t="n"/>
      <c r="D503" s="63" t="n"/>
      <c r="E503" s="64">
        <f>IF(C503="","",IFERROR(INDEX(Effectif!$E$7:$E$21,MATCH(C503,Effectif!$C$7:$C$21,0)),""))</f>
        <v/>
      </c>
      <c r="F503" s="29">
        <f>IF(AND(ISNUMBER(D503),ISNUMBER(E503)),D503*E503,"")</f>
        <v/>
      </c>
      <c r="G503" s="2" t="n"/>
      <c r="H503" s="1" t="n"/>
    </row>
    <row r="504">
      <c r="A504" s="1" t="n"/>
      <c r="B504" s="25" t="n"/>
      <c r="C504" s="26" t="n"/>
      <c r="D504" s="63" t="n"/>
      <c r="E504" s="64">
        <f>IF(C504="","",IFERROR(INDEX(Effectif!$E$7:$E$21,MATCH(C504,Effectif!$C$7:$C$21,0)),""))</f>
        <v/>
      </c>
      <c r="F504" s="29">
        <f>IF(AND(ISNUMBER(D504),ISNUMBER(E504)),D504*E504,"")</f>
        <v/>
      </c>
      <c r="G504" s="2" t="n"/>
      <c r="H504" s="1" t="n"/>
    </row>
    <row r="505">
      <c r="A505" s="1" t="n"/>
      <c r="B505" s="25" t="n"/>
      <c r="C505" s="26" t="n"/>
      <c r="D505" s="63" t="n"/>
      <c r="E505" s="64">
        <f>IF(C505="","",IFERROR(INDEX(Effectif!$E$7:$E$21,MATCH(C505,Effectif!$C$7:$C$21,0)),""))</f>
        <v/>
      </c>
      <c r="F505" s="29">
        <f>IF(AND(ISNUMBER(D505),ISNUMBER(E505)),D505*E505,"")</f>
        <v/>
      </c>
      <c r="G505" s="2" t="n"/>
      <c r="H505" s="1" t="n"/>
    </row>
    <row r="506">
      <c r="A506" s="1" t="n"/>
      <c r="B506" s="25" t="n"/>
      <c r="C506" s="26" t="n"/>
      <c r="D506" s="63" t="n"/>
      <c r="E506" s="64">
        <f>IF(C506="","",IFERROR(INDEX(Effectif!$E$7:$E$21,MATCH(C506,Effectif!$C$7:$C$21,0)),""))</f>
        <v/>
      </c>
      <c r="F506" s="29">
        <f>IF(AND(ISNUMBER(D506),ISNUMBER(E506)),D506*E506,"")</f>
        <v/>
      </c>
      <c r="G506" s="2" t="n"/>
      <c r="H506" s="1" t="n"/>
    </row>
    <row r="507">
      <c r="A507" s="1" t="n"/>
      <c r="B507" s="2" t="n"/>
      <c r="C507" s="2" t="n"/>
      <c r="D507" s="2" t="n"/>
      <c r="E507" s="2" t="n"/>
      <c r="F507" s="2" t="n"/>
      <c r="G507" s="2" t="n"/>
      <c r="H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</row>
  </sheetData>
  <mergeCells count="2">
    <mergeCell ref="B2:F2"/>
    <mergeCell ref="B4:F4"/>
  </mergeCells>
  <dataValidations count="1">
    <dataValidation sqref="C7:C506" showDropDown="0" showInputMessage="0" showErrorMessage="0" allowBlank="1" type="list">
      <formula1>=Effectif!$C$7:$C$21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Feuil7">
    <outlinePr summaryBelow="1" summaryRight="1"/>
    <pageSetUpPr/>
  </sheetPr>
  <dimension ref="A1:J508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3" customWidth="1" min="2" max="2"/>
    <col width="22" customWidth="1" min="3" max="3"/>
    <col width="22" customWidth="1" min="4" max="4"/>
    <col width="13" customWidth="1" min="5" max="5"/>
    <col width="15" customWidth="1" min="6" max="6"/>
    <col width="15" customWidth="1" min="7" max="7"/>
    <col width="24" customWidth="1" min="8" max="8"/>
    <col width="3" customWidth="1" min="9" max="9"/>
    <col width="3" customWidth="1" min="10" max="10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</row>
    <row r="2" ht="40" customHeight="1">
      <c r="A2" s="1" t="n"/>
      <c r="B2" s="9" t="inlineStr">
        <is>
          <t>PRODUCTION — crafts réalisés</t>
        </is>
      </c>
      <c r="I2" s="2" t="n"/>
      <c r="J2" s="1" t="n"/>
    </row>
    <row r="3">
      <c r="A3" s="1" t="n"/>
      <c r="B3" s="2" t="n"/>
      <c r="C3" s="2" t="n"/>
      <c r="D3" s="2" t="n"/>
      <c r="E3" s="2" t="n"/>
      <c r="F3" s="2" t="n"/>
      <c r="G3" s="2" t="n"/>
      <c r="H3" s="10" t="inlineStr">
        <is>
          <t>⬅ Accueil</t>
        </is>
      </c>
      <c r="I3" s="2" t="n"/>
      <c r="J3" s="1" t="n"/>
    </row>
    <row r="4">
      <c r="A4" s="1" t="n"/>
      <c r="B4" s="11" t="inlineStr">
        <is>
          <t>Une ligne = une production. Choisis le produit dans la liste et le nombre de crafts : les unités entrent dans le stock automatiquement.</t>
        </is>
      </c>
      <c r="I4" s="2" t="n"/>
      <c r="J4" s="1" t="n"/>
    </row>
    <row r="5">
      <c r="A5" s="1" t="n"/>
      <c r="B5" s="2" t="n"/>
      <c r="C5" s="2" t="n"/>
      <c r="D5" s="2" t="n"/>
      <c r="E5" s="2" t="n"/>
      <c r="F5" s="21" t="inlineStr">
        <is>
          <t>TOTAL →</t>
        </is>
      </c>
      <c r="G5" s="22">
        <f>SUM(G7:G506)</f>
        <v/>
      </c>
      <c r="H5" s="2" t="n"/>
      <c r="I5" s="2" t="n"/>
      <c r="J5" s="1" t="n"/>
    </row>
    <row r="6" ht="32" customHeight="1">
      <c r="A6" s="1" t="n"/>
      <c r="B6" s="23" t="inlineStr">
        <is>
          <t>Date</t>
        </is>
      </c>
      <c r="C6" s="23" t="inlineStr">
        <is>
          <t>Employé</t>
        </is>
      </c>
      <c r="D6" s="23" t="inlineStr">
        <is>
          <t>Produit</t>
        </is>
      </c>
      <c r="E6" s="23" t="inlineStr">
        <is>
          <t>Nombre de crafts</t>
        </is>
      </c>
      <c r="F6" s="23" t="inlineStr">
        <is>
          <t>Unités produites</t>
        </is>
      </c>
      <c r="G6" s="23" t="inlineStr">
        <is>
          <t>Coût matières</t>
        </is>
      </c>
      <c r="H6" s="23" t="inlineStr">
        <is>
          <t>Remarque</t>
        </is>
      </c>
      <c r="I6" s="2" t="n"/>
      <c r="J6" s="1" t="n"/>
    </row>
    <row r="7">
      <c r="A7" s="1" t="n"/>
      <c r="B7" s="25" t="n"/>
      <c r="C7" s="26" t="n"/>
      <c r="D7" s="26" t="n"/>
      <c r="E7" s="28" t="n"/>
      <c r="F7" s="65">
        <f>IF(OR(D7="",E7=""),"",IFERROR(E7*INDEX(Catalogue!$E$7:$E$19,MATCH(D7,Catalogue!$B$7:$B$19,0)),"#N/A"))</f>
        <v/>
      </c>
      <c r="G7" s="64">
        <f>IF(OR(D7="",E7=""),"",IFERROR(E7*INDEX(Catalogue!$D$7:$D$19,MATCH(D7,Catalogue!$B$7:$B$19,0)),"#N/A"))</f>
        <v/>
      </c>
      <c r="H7" s="26" t="n"/>
      <c r="I7" s="2" t="n"/>
      <c r="J7" s="1" t="n"/>
    </row>
    <row r="8">
      <c r="A8" s="1" t="n"/>
      <c r="B8" s="25" t="n"/>
      <c r="C8" s="26" t="n"/>
      <c r="D8" s="26" t="n"/>
      <c r="E8" s="28" t="n"/>
      <c r="F8" s="65">
        <f>IF(OR(D8="",E8=""),"",IFERROR(E8*INDEX(Catalogue!$E$7:$E$19,MATCH(D8,Catalogue!$B$7:$B$19,0)),"#N/A"))</f>
        <v/>
      </c>
      <c r="G8" s="64">
        <f>IF(OR(D8="",E8=""),"",IFERROR(E8*INDEX(Catalogue!$D$7:$D$19,MATCH(D8,Catalogue!$B$7:$B$19,0)),"#N/A"))</f>
        <v/>
      </c>
      <c r="H8" s="26" t="n"/>
      <c r="I8" s="2" t="n"/>
      <c r="J8" s="1" t="n"/>
    </row>
    <row r="9">
      <c r="A9" s="1" t="n"/>
      <c r="B9" s="25" t="n"/>
      <c r="C9" s="26" t="n"/>
      <c r="D9" s="26" t="n"/>
      <c r="E9" s="28" t="n"/>
      <c r="F9" s="65">
        <f>IF(OR(D9="",E9=""),"",IFERROR(E9*INDEX(Catalogue!$E$7:$E$19,MATCH(D9,Catalogue!$B$7:$B$19,0)),"#N/A"))</f>
        <v/>
      </c>
      <c r="G9" s="64">
        <f>IF(OR(D9="",E9=""),"",IFERROR(E9*INDEX(Catalogue!$D$7:$D$19,MATCH(D9,Catalogue!$B$7:$B$19,0)),"#N/A"))</f>
        <v/>
      </c>
      <c r="H9" s="26" t="n"/>
      <c r="I9" s="2" t="n"/>
      <c r="J9" s="1" t="n"/>
    </row>
    <row r="10">
      <c r="A10" s="1" t="n"/>
      <c r="B10" s="25" t="n"/>
      <c r="C10" s="26" t="n"/>
      <c r="D10" s="26" t="n"/>
      <c r="E10" s="28" t="n"/>
      <c r="F10" s="65">
        <f>IF(OR(D10="",E10=""),"",IFERROR(E10*INDEX(Catalogue!$E$7:$E$19,MATCH(D10,Catalogue!$B$7:$B$19,0)),"#N/A"))</f>
        <v/>
      </c>
      <c r="G10" s="64">
        <f>IF(OR(D10="",E10=""),"",IFERROR(E10*INDEX(Catalogue!$D$7:$D$19,MATCH(D10,Catalogue!$B$7:$B$19,0)),"#N/A"))</f>
        <v/>
      </c>
      <c r="H10" s="26" t="n"/>
      <c r="I10" s="2" t="n"/>
      <c r="J10" s="1" t="n"/>
    </row>
    <row r="11">
      <c r="A11" s="1" t="n"/>
      <c r="B11" s="25" t="n"/>
      <c r="C11" s="26" t="n"/>
      <c r="D11" s="26" t="n"/>
      <c r="E11" s="28" t="n"/>
      <c r="F11" s="65">
        <f>IF(OR(D11="",E11=""),"",IFERROR(E11*INDEX(Catalogue!$E$7:$E$19,MATCH(D11,Catalogue!$B$7:$B$19,0)),"#N/A"))</f>
        <v/>
      </c>
      <c r="G11" s="64">
        <f>IF(OR(D11="",E11=""),"",IFERROR(E11*INDEX(Catalogue!$D$7:$D$19,MATCH(D11,Catalogue!$B$7:$B$19,0)),"#N/A"))</f>
        <v/>
      </c>
      <c r="H11" s="26" t="n"/>
      <c r="I11" s="2" t="n"/>
      <c r="J11" s="1" t="n"/>
    </row>
    <row r="12">
      <c r="A12" s="1" t="n"/>
      <c r="B12" s="25" t="n"/>
      <c r="C12" s="26" t="n"/>
      <c r="D12" s="26" t="n"/>
      <c r="E12" s="28" t="n"/>
      <c r="F12" s="65">
        <f>IF(OR(D12="",E12=""),"",IFERROR(E12*INDEX(Catalogue!$E$7:$E$19,MATCH(D12,Catalogue!$B$7:$B$19,0)),"#N/A"))</f>
        <v/>
      </c>
      <c r="G12" s="64">
        <f>IF(OR(D12="",E12=""),"",IFERROR(E12*INDEX(Catalogue!$D$7:$D$19,MATCH(D12,Catalogue!$B$7:$B$19,0)),"#N/A"))</f>
        <v/>
      </c>
      <c r="H12" s="26" t="n"/>
      <c r="I12" s="2" t="n"/>
      <c r="J12" s="1" t="n"/>
    </row>
    <row r="13">
      <c r="A13" s="1" t="n"/>
      <c r="B13" s="25" t="n"/>
      <c r="C13" s="26" t="n"/>
      <c r="D13" s="26" t="n"/>
      <c r="E13" s="28" t="n"/>
      <c r="F13" s="65">
        <f>IF(OR(D13="",E13=""),"",IFERROR(E13*INDEX(Catalogue!$E$7:$E$19,MATCH(D13,Catalogue!$B$7:$B$19,0)),"#N/A"))</f>
        <v/>
      </c>
      <c r="G13" s="64">
        <f>IF(OR(D13="",E13=""),"",IFERROR(E13*INDEX(Catalogue!$D$7:$D$19,MATCH(D13,Catalogue!$B$7:$B$19,0)),"#N/A"))</f>
        <v/>
      </c>
      <c r="H13" s="26" t="n"/>
      <c r="I13" s="2" t="n"/>
      <c r="J13" s="1" t="n"/>
    </row>
    <row r="14">
      <c r="A14" s="1" t="n"/>
      <c r="B14" s="25" t="n"/>
      <c r="C14" s="26" t="n"/>
      <c r="D14" s="26" t="n"/>
      <c r="E14" s="28" t="n"/>
      <c r="F14" s="65">
        <f>IF(OR(D14="",E14=""),"",IFERROR(E14*INDEX(Catalogue!$E$7:$E$19,MATCH(D14,Catalogue!$B$7:$B$19,0)),"#N/A"))</f>
        <v/>
      </c>
      <c r="G14" s="64">
        <f>IF(OR(D14="",E14=""),"",IFERROR(E14*INDEX(Catalogue!$D$7:$D$19,MATCH(D14,Catalogue!$B$7:$B$19,0)),"#N/A"))</f>
        <v/>
      </c>
      <c r="H14" s="26" t="n"/>
      <c r="I14" s="2" t="n"/>
      <c r="J14" s="1" t="n"/>
    </row>
    <row r="15">
      <c r="A15" s="1" t="n"/>
      <c r="B15" s="25" t="n"/>
      <c r="C15" s="26" t="n"/>
      <c r="D15" s="26" t="n"/>
      <c r="E15" s="28" t="n"/>
      <c r="F15" s="65">
        <f>IF(OR(D15="",E15=""),"",IFERROR(E15*INDEX(Catalogue!$E$7:$E$19,MATCH(D15,Catalogue!$B$7:$B$19,0)),"#N/A"))</f>
        <v/>
      </c>
      <c r="G15" s="64">
        <f>IF(OR(D15="",E15=""),"",IFERROR(E15*INDEX(Catalogue!$D$7:$D$19,MATCH(D15,Catalogue!$B$7:$B$19,0)),"#N/A"))</f>
        <v/>
      </c>
      <c r="H15" s="26" t="n"/>
      <c r="I15" s="2" t="n"/>
      <c r="J15" s="1" t="n"/>
    </row>
    <row r="16">
      <c r="A16" s="1" t="n"/>
      <c r="B16" s="25" t="n"/>
      <c r="C16" s="26" t="n"/>
      <c r="D16" s="26" t="n"/>
      <c r="E16" s="28" t="n"/>
      <c r="F16" s="65">
        <f>IF(OR(D16="",E16=""),"",IFERROR(E16*INDEX(Catalogue!$E$7:$E$19,MATCH(D16,Catalogue!$B$7:$B$19,0)),"#N/A"))</f>
        <v/>
      </c>
      <c r="G16" s="64">
        <f>IF(OR(D16="",E16=""),"",IFERROR(E16*INDEX(Catalogue!$D$7:$D$19,MATCH(D16,Catalogue!$B$7:$B$19,0)),"#N/A"))</f>
        <v/>
      </c>
      <c r="H16" s="26" t="n"/>
      <c r="I16" s="2" t="n"/>
      <c r="J16" s="1" t="n"/>
    </row>
    <row r="17">
      <c r="A17" s="1" t="n"/>
      <c r="B17" s="25" t="n"/>
      <c r="C17" s="26" t="n"/>
      <c r="D17" s="26" t="n"/>
      <c r="E17" s="28" t="n"/>
      <c r="F17" s="65">
        <f>IF(OR(D17="",E17=""),"",IFERROR(E17*INDEX(Catalogue!$E$7:$E$19,MATCH(D17,Catalogue!$B$7:$B$19,0)),"#N/A"))</f>
        <v/>
      </c>
      <c r="G17" s="64">
        <f>IF(OR(D17="",E17=""),"",IFERROR(E17*INDEX(Catalogue!$D$7:$D$19,MATCH(D17,Catalogue!$B$7:$B$19,0)),"#N/A"))</f>
        <v/>
      </c>
      <c r="H17" s="26" t="n"/>
      <c r="I17" s="2" t="n"/>
      <c r="J17" s="1" t="n"/>
    </row>
    <row r="18">
      <c r="A18" s="1" t="n"/>
      <c r="B18" s="25" t="n"/>
      <c r="C18" s="26" t="n"/>
      <c r="D18" s="26" t="n"/>
      <c r="E18" s="28" t="n"/>
      <c r="F18" s="65">
        <f>IF(OR(D18="",E18=""),"",IFERROR(E18*INDEX(Catalogue!$E$7:$E$19,MATCH(D18,Catalogue!$B$7:$B$19,0)),"#N/A"))</f>
        <v/>
      </c>
      <c r="G18" s="64">
        <f>IF(OR(D18="",E18=""),"",IFERROR(E18*INDEX(Catalogue!$D$7:$D$19,MATCH(D18,Catalogue!$B$7:$B$19,0)),"#N/A"))</f>
        <v/>
      </c>
      <c r="H18" s="26" t="n"/>
      <c r="I18" s="2" t="n"/>
      <c r="J18" s="1" t="n"/>
    </row>
    <row r="19">
      <c r="A19" s="1" t="n"/>
      <c r="B19" s="25" t="n"/>
      <c r="C19" s="26" t="n"/>
      <c r="D19" s="26" t="n"/>
      <c r="E19" s="28" t="n"/>
      <c r="F19" s="65">
        <f>IF(OR(D19="",E19=""),"",IFERROR(E19*INDEX(Catalogue!$E$7:$E$19,MATCH(D19,Catalogue!$B$7:$B$19,0)),"#N/A"))</f>
        <v/>
      </c>
      <c r="G19" s="64">
        <f>IF(OR(D19="",E19=""),"",IFERROR(E19*INDEX(Catalogue!$D$7:$D$19,MATCH(D19,Catalogue!$B$7:$B$19,0)),"#N/A"))</f>
        <v/>
      </c>
      <c r="H19" s="26" t="n"/>
      <c r="I19" s="2" t="n"/>
      <c r="J19" s="1" t="n"/>
    </row>
    <row r="20">
      <c r="A20" s="1" t="n"/>
      <c r="B20" s="25" t="n"/>
      <c r="C20" s="26" t="n"/>
      <c r="D20" s="26" t="n"/>
      <c r="E20" s="28" t="n"/>
      <c r="F20" s="65">
        <f>IF(OR(D20="",E20=""),"",IFERROR(E20*INDEX(Catalogue!$E$7:$E$19,MATCH(D20,Catalogue!$B$7:$B$19,0)),"#N/A"))</f>
        <v/>
      </c>
      <c r="G20" s="64">
        <f>IF(OR(D20="",E20=""),"",IFERROR(E20*INDEX(Catalogue!$D$7:$D$19,MATCH(D20,Catalogue!$B$7:$B$19,0)),"#N/A"))</f>
        <v/>
      </c>
      <c r="H20" s="26" t="n"/>
      <c r="I20" s="2" t="n"/>
      <c r="J20" s="1" t="n"/>
    </row>
    <row r="21">
      <c r="A21" s="1" t="n"/>
      <c r="B21" s="25" t="n"/>
      <c r="C21" s="26" t="n"/>
      <c r="D21" s="26" t="n"/>
      <c r="E21" s="28" t="n"/>
      <c r="F21" s="65">
        <f>IF(OR(D21="",E21=""),"",IFERROR(E21*INDEX(Catalogue!$E$7:$E$19,MATCH(D21,Catalogue!$B$7:$B$19,0)),"#N/A"))</f>
        <v/>
      </c>
      <c r="G21" s="64">
        <f>IF(OR(D21="",E21=""),"",IFERROR(E21*INDEX(Catalogue!$D$7:$D$19,MATCH(D21,Catalogue!$B$7:$B$19,0)),"#N/A"))</f>
        <v/>
      </c>
      <c r="H21" s="26" t="n"/>
      <c r="I21" s="2" t="n"/>
      <c r="J21" s="1" t="n"/>
    </row>
    <row r="22">
      <c r="A22" s="1" t="n"/>
      <c r="B22" s="25" t="n"/>
      <c r="C22" s="26" t="n"/>
      <c r="D22" s="26" t="n"/>
      <c r="E22" s="28" t="n"/>
      <c r="F22" s="65">
        <f>IF(OR(D22="",E22=""),"",IFERROR(E22*INDEX(Catalogue!$E$7:$E$19,MATCH(D22,Catalogue!$B$7:$B$19,0)),"#N/A"))</f>
        <v/>
      </c>
      <c r="G22" s="64">
        <f>IF(OR(D22="",E22=""),"",IFERROR(E22*INDEX(Catalogue!$D$7:$D$19,MATCH(D22,Catalogue!$B$7:$B$19,0)),"#N/A"))</f>
        <v/>
      </c>
      <c r="H22" s="26" t="n"/>
      <c r="I22" s="2" t="n"/>
      <c r="J22" s="1" t="n"/>
    </row>
    <row r="23">
      <c r="A23" s="1" t="n"/>
      <c r="B23" s="25" t="n"/>
      <c r="C23" s="26" t="n"/>
      <c r="D23" s="26" t="n"/>
      <c r="E23" s="28" t="n"/>
      <c r="F23" s="65">
        <f>IF(OR(D23="",E23=""),"",IFERROR(E23*INDEX(Catalogue!$E$7:$E$19,MATCH(D23,Catalogue!$B$7:$B$19,0)),"#N/A"))</f>
        <v/>
      </c>
      <c r="G23" s="64">
        <f>IF(OR(D23="",E23=""),"",IFERROR(E23*INDEX(Catalogue!$D$7:$D$19,MATCH(D23,Catalogue!$B$7:$B$19,0)),"#N/A"))</f>
        <v/>
      </c>
      <c r="H23" s="26" t="n"/>
      <c r="I23" s="2" t="n"/>
      <c r="J23" s="1" t="n"/>
    </row>
    <row r="24">
      <c r="A24" s="1" t="n"/>
      <c r="B24" s="25" t="n"/>
      <c r="C24" s="26" t="n"/>
      <c r="D24" s="26" t="n"/>
      <c r="E24" s="28" t="n"/>
      <c r="F24" s="65">
        <f>IF(OR(D24="",E24=""),"",IFERROR(E24*INDEX(Catalogue!$E$7:$E$19,MATCH(D24,Catalogue!$B$7:$B$19,0)),"#N/A"))</f>
        <v/>
      </c>
      <c r="G24" s="64">
        <f>IF(OR(D24="",E24=""),"",IFERROR(E24*INDEX(Catalogue!$D$7:$D$19,MATCH(D24,Catalogue!$B$7:$B$19,0)),"#N/A"))</f>
        <v/>
      </c>
      <c r="H24" s="26" t="n"/>
      <c r="I24" s="2" t="n"/>
      <c r="J24" s="1" t="n"/>
    </row>
    <row r="25">
      <c r="A25" s="1" t="n"/>
      <c r="B25" s="25" t="n"/>
      <c r="C25" s="26" t="n"/>
      <c r="D25" s="26" t="n"/>
      <c r="E25" s="28" t="n"/>
      <c r="F25" s="65">
        <f>IF(OR(D25="",E25=""),"",IFERROR(E25*INDEX(Catalogue!$E$7:$E$19,MATCH(D25,Catalogue!$B$7:$B$19,0)),"#N/A"))</f>
        <v/>
      </c>
      <c r="G25" s="64">
        <f>IF(OR(D25="",E25=""),"",IFERROR(E25*INDEX(Catalogue!$D$7:$D$19,MATCH(D25,Catalogue!$B$7:$B$19,0)),"#N/A"))</f>
        <v/>
      </c>
      <c r="H25" s="26" t="n"/>
      <c r="I25" s="2" t="n"/>
      <c r="J25" s="1" t="n"/>
    </row>
    <row r="26">
      <c r="A26" s="1" t="n"/>
      <c r="B26" s="25" t="n"/>
      <c r="C26" s="26" t="n"/>
      <c r="D26" s="26" t="n"/>
      <c r="E26" s="28" t="n"/>
      <c r="F26" s="65">
        <f>IF(OR(D26="",E26=""),"",IFERROR(E26*INDEX(Catalogue!$E$7:$E$19,MATCH(D26,Catalogue!$B$7:$B$19,0)),"#N/A"))</f>
        <v/>
      </c>
      <c r="G26" s="64">
        <f>IF(OR(D26="",E26=""),"",IFERROR(E26*INDEX(Catalogue!$D$7:$D$19,MATCH(D26,Catalogue!$B$7:$B$19,0)),"#N/A"))</f>
        <v/>
      </c>
      <c r="H26" s="26" t="n"/>
      <c r="I26" s="2" t="n"/>
      <c r="J26" s="1" t="n"/>
    </row>
    <row r="27">
      <c r="A27" s="1" t="n"/>
      <c r="B27" s="25" t="n"/>
      <c r="C27" s="26" t="n"/>
      <c r="D27" s="26" t="n"/>
      <c r="E27" s="28" t="n"/>
      <c r="F27" s="65">
        <f>IF(OR(D27="",E27=""),"",IFERROR(E27*INDEX(Catalogue!$E$7:$E$19,MATCH(D27,Catalogue!$B$7:$B$19,0)),"#N/A"))</f>
        <v/>
      </c>
      <c r="G27" s="64">
        <f>IF(OR(D27="",E27=""),"",IFERROR(E27*INDEX(Catalogue!$D$7:$D$19,MATCH(D27,Catalogue!$B$7:$B$19,0)),"#N/A"))</f>
        <v/>
      </c>
      <c r="H27" s="26" t="n"/>
      <c r="I27" s="2" t="n"/>
      <c r="J27" s="1" t="n"/>
    </row>
    <row r="28">
      <c r="A28" s="1" t="n"/>
      <c r="B28" s="25" t="n"/>
      <c r="C28" s="26" t="n"/>
      <c r="D28" s="26" t="n"/>
      <c r="E28" s="28" t="n"/>
      <c r="F28" s="65">
        <f>IF(OR(D28="",E28=""),"",IFERROR(E28*INDEX(Catalogue!$E$7:$E$19,MATCH(D28,Catalogue!$B$7:$B$19,0)),"#N/A"))</f>
        <v/>
      </c>
      <c r="G28" s="64">
        <f>IF(OR(D28="",E28=""),"",IFERROR(E28*INDEX(Catalogue!$D$7:$D$19,MATCH(D28,Catalogue!$B$7:$B$19,0)),"#N/A"))</f>
        <v/>
      </c>
      <c r="H28" s="26" t="n"/>
      <c r="I28" s="2" t="n"/>
      <c r="J28" s="1" t="n"/>
    </row>
    <row r="29">
      <c r="A29" s="1" t="n"/>
      <c r="B29" s="25" t="n"/>
      <c r="C29" s="26" t="n"/>
      <c r="D29" s="26" t="n"/>
      <c r="E29" s="28" t="n"/>
      <c r="F29" s="65">
        <f>IF(OR(D29="",E29=""),"",IFERROR(E29*INDEX(Catalogue!$E$7:$E$19,MATCH(D29,Catalogue!$B$7:$B$19,0)),"#N/A"))</f>
        <v/>
      </c>
      <c r="G29" s="64">
        <f>IF(OR(D29="",E29=""),"",IFERROR(E29*INDEX(Catalogue!$D$7:$D$19,MATCH(D29,Catalogue!$B$7:$B$19,0)),"#N/A"))</f>
        <v/>
      </c>
      <c r="H29" s="26" t="n"/>
      <c r="I29" s="2" t="n"/>
      <c r="J29" s="1" t="n"/>
    </row>
    <row r="30">
      <c r="A30" s="1" t="n"/>
      <c r="B30" s="25" t="n"/>
      <c r="C30" s="26" t="n"/>
      <c r="D30" s="26" t="n"/>
      <c r="E30" s="28" t="n"/>
      <c r="F30" s="65">
        <f>IF(OR(D30="",E30=""),"",IFERROR(E30*INDEX(Catalogue!$E$7:$E$19,MATCH(D30,Catalogue!$B$7:$B$19,0)),"#N/A"))</f>
        <v/>
      </c>
      <c r="G30" s="64">
        <f>IF(OR(D30="",E30=""),"",IFERROR(E30*INDEX(Catalogue!$D$7:$D$19,MATCH(D30,Catalogue!$B$7:$B$19,0)),"#N/A"))</f>
        <v/>
      </c>
      <c r="H30" s="26" t="n"/>
      <c r="I30" s="2" t="n"/>
      <c r="J30" s="1" t="n"/>
    </row>
    <row r="31">
      <c r="A31" s="1" t="n"/>
      <c r="B31" s="25" t="n"/>
      <c r="C31" s="26" t="n"/>
      <c r="D31" s="26" t="n"/>
      <c r="E31" s="28" t="n"/>
      <c r="F31" s="65">
        <f>IF(OR(D31="",E31=""),"",IFERROR(E31*INDEX(Catalogue!$E$7:$E$19,MATCH(D31,Catalogue!$B$7:$B$19,0)),"#N/A"))</f>
        <v/>
      </c>
      <c r="G31" s="64">
        <f>IF(OR(D31="",E31=""),"",IFERROR(E31*INDEX(Catalogue!$D$7:$D$19,MATCH(D31,Catalogue!$B$7:$B$19,0)),"#N/A"))</f>
        <v/>
      </c>
      <c r="H31" s="26" t="n"/>
      <c r="I31" s="2" t="n"/>
      <c r="J31" s="1" t="n"/>
    </row>
    <row r="32">
      <c r="A32" s="1" t="n"/>
      <c r="B32" s="25" t="n"/>
      <c r="C32" s="26" t="n"/>
      <c r="D32" s="26" t="n"/>
      <c r="E32" s="28" t="n"/>
      <c r="F32" s="65">
        <f>IF(OR(D32="",E32=""),"",IFERROR(E32*INDEX(Catalogue!$E$7:$E$19,MATCH(D32,Catalogue!$B$7:$B$19,0)),"#N/A"))</f>
        <v/>
      </c>
      <c r="G32" s="64">
        <f>IF(OR(D32="",E32=""),"",IFERROR(E32*INDEX(Catalogue!$D$7:$D$19,MATCH(D32,Catalogue!$B$7:$B$19,0)),"#N/A"))</f>
        <v/>
      </c>
      <c r="H32" s="26" t="n"/>
      <c r="I32" s="2" t="n"/>
      <c r="J32" s="1" t="n"/>
    </row>
    <row r="33">
      <c r="A33" s="1" t="n"/>
      <c r="B33" s="25" t="n"/>
      <c r="C33" s="26" t="n"/>
      <c r="D33" s="26" t="n"/>
      <c r="E33" s="28" t="n"/>
      <c r="F33" s="65">
        <f>IF(OR(D33="",E33=""),"",IFERROR(E33*INDEX(Catalogue!$E$7:$E$19,MATCH(D33,Catalogue!$B$7:$B$19,0)),"#N/A"))</f>
        <v/>
      </c>
      <c r="G33" s="64">
        <f>IF(OR(D33="",E33=""),"",IFERROR(E33*INDEX(Catalogue!$D$7:$D$19,MATCH(D33,Catalogue!$B$7:$B$19,0)),"#N/A"))</f>
        <v/>
      </c>
      <c r="H33" s="26" t="n"/>
      <c r="I33" s="2" t="n"/>
      <c r="J33" s="1" t="n"/>
    </row>
    <row r="34">
      <c r="A34" s="1" t="n"/>
      <c r="B34" s="25" t="n"/>
      <c r="C34" s="26" t="n"/>
      <c r="D34" s="26" t="n"/>
      <c r="E34" s="28" t="n"/>
      <c r="F34" s="65">
        <f>IF(OR(D34="",E34=""),"",IFERROR(E34*INDEX(Catalogue!$E$7:$E$19,MATCH(D34,Catalogue!$B$7:$B$19,0)),"#N/A"))</f>
        <v/>
      </c>
      <c r="G34" s="64">
        <f>IF(OR(D34="",E34=""),"",IFERROR(E34*INDEX(Catalogue!$D$7:$D$19,MATCH(D34,Catalogue!$B$7:$B$19,0)),"#N/A"))</f>
        <v/>
      </c>
      <c r="H34" s="26" t="n"/>
      <c r="I34" s="2" t="n"/>
      <c r="J34" s="1" t="n"/>
    </row>
    <row r="35">
      <c r="A35" s="1" t="n"/>
      <c r="B35" s="25" t="n"/>
      <c r="C35" s="26" t="n"/>
      <c r="D35" s="26" t="n"/>
      <c r="E35" s="28" t="n"/>
      <c r="F35" s="65">
        <f>IF(OR(D35="",E35=""),"",IFERROR(E35*INDEX(Catalogue!$E$7:$E$19,MATCH(D35,Catalogue!$B$7:$B$19,0)),"#N/A"))</f>
        <v/>
      </c>
      <c r="G35" s="64">
        <f>IF(OR(D35="",E35=""),"",IFERROR(E35*INDEX(Catalogue!$D$7:$D$19,MATCH(D35,Catalogue!$B$7:$B$19,0)),"#N/A"))</f>
        <v/>
      </c>
      <c r="H35" s="26" t="n"/>
      <c r="I35" s="2" t="n"/>
      <c r="J35" s="1" t="n"/>
    </row>
    <row r="36">
      <c r="A36" s="1" t="n"/>
      <c r="B36" s="25" t="n"/>
      <c r="C36" s="26" t="n"/>
      <c r="D36" s="26" t="n"/>
      <c r="E36" s="28" t="n"/>
      <c r="F36" s="65">
        <f>IF(OR(D36="",E36=""),"",IFERROR(E36*INDEX(Catalogue!$E$7:$E$19,MATCH(D36,Catalogue!$B$7:$B$19,0)),"#N/A"))</f>
        <v/>
      </c>
      <c r="G36" s="64">
        <f>IF(OR(D36="",E36=""),"",IFERROR(E36*INDEX(Catalogue!$D$7:$D$19,MATCH(D36,Catalogue!$B$7:$B$19,0)),"#N/A"))</f>
        <v/>
      </c>
      <c r="H36" s="26" t="n"/>
      <c r="I36" s="2" t="n"/>
      <c r="J36" s="1" t="n"/>
    </row>
    <row r="37">
      <c r="A37" s="1" t="n"/>
      <c r="B37" s="25" t="n"/>
      <c r="C37" s="26" t="n"/>
      <c r="D37" s="26" t="n"/>
      <c r="E37" s="28" t="n"/>
      <c r="F37" s="65">
        <f>IF(OR(D37="",E37=""),"",IFERROR(E37*INDEX(Catalogue!$E$7:$E$19,MATCH(D37,Catalogue!$B$7:$B$19,0)),"#N/A"))</f>
        <v/>
      </c>
      <c r="G37" s="64">
        <f>IF(OR(D37="",E37=""),"",IFERROR(E37*INDEX(Catalogue!$D$7:$D$19,MATCH(D37,Catalogue!$B$7:$B$19,0)),"#N/A"))</f>
        <v/>
      </c>
      <c r="H37" s="26" t="n"/>
      <c r="I37" s="2" t="n"/>
      <c r="J37" s="1" t="n"/>
    </row>
    <row r="38">
      <c r="A38" s="1" t="n"/>
      <c r="B38" s="25" t="n"/>
      <c r="C38" s="26" t="n"/>
      <c r="D38" s="26" t="n"/>
      <c r="E38" s="28" t="n"/>
      <c r="F38" s="65">
        <f>IF(OR(D38="",E38=""),"",IFERROR(E38*INDEX(Catalogue!$E$7:$E$19,MATCH(D38,Catalogue!$B$7:$B$19,0)),"#N/A"))</f>
        <v/>
      </c>
      <c r="G38" s="64">
        <f>IF(OR(D38="",E38=""),"",IFERROR(E38*INDEX(Catalogue!$D$7:$D$19,MATCH(D38,Catalogue!$B$7:$B$19,0)),"#N/A"))</f>
        <v/>
      </c>
      <c r="H38" s="26" t="n"/>
      <c r="I38" s="2" t="n"/>
      <c r="J38" s="1" t="n"/>
    </row>
    <row r="39">
      <c r="A39" s="1" t="n"/>
      <c r="B39" s="25" t="n"/>
      <c r="C39" s="26" t="n"/>
      <c r="D39" s="26" t="n"/>
      <c r="E39" s="28" t="n"/>
      <c r="F39" s="65">
        <f>IF(OR(D39="",E39=""),"",IFERROR(E39*INDEX(Catalogue!$E$7:$E$19,MATCH(D39,Catalogue!$B$7:$B$19,0)),"#N/A"))</f>
        <v/>
      </c>
      <c r="G39" s="64">
        <f>IF(OR(D39="",E39=""),"",IFERROR(E39*INDEX(Catalogue!$D$7:$D$19,MATCH(D39,Catalogue!$B$7:$B$19,0)),"#N/A"))</f>
        <v/>
      </c>
      <c r="H39" s="26" t="n"/>
      <c r="I39" s="2" t="n"/>
      <c r="J39" s="1" t="n"/>
    </row>
    <row r="40">
      <c r="A40" s="1" t="n"/>
      <c r="B40" s="25" t="n"/>
      <c r="C40" s="26" t="n"/>
      <c r="D40" s="26" t="n"/>
      <c r="E40" s="28" t="n"/>
      <c r="F40" s="65">
        <f>IF(OR(D40="",E40=""),"",IFERROR(E40*INDEX(Catalogue!$E$7:$E$19,MATCH(D40,Catalogue!$B$7:$B$19,0)),"#N/A"))</f>
        <v/>
      </c>
      <c r="G40" s="64">
        <f>IF(OR(D40="",E40=""),"",IFERROR(E40*INDEX(Catalogue!$D$7:$D$19,MATCH(D40,Catalogue!$B$7:$B$19,0)),"#N/A"))</f>
        <v/>
      </c>
      <c r="H40" s="26" t="n"/>
      <c r="I40" s="2" t="n"/>
      <c r="J40" s="1" t="n"/>
    </row>
    <row r="41">
      <c r="A41" s="1" t="n"/>
      <c r="B41" s="25" t="n"/>
      <c r="C41" s="26" t="n"/>
      <c r="D41" s="26" t="n"/>
      <c r="E41" s="28" t="n"/>
      <c r="F41" s="65">
        <f>IF(OR(D41="",E41=""),"",IFERROR(E41*INDEX(Catalogue!$E$7:$E$19,MATCH(D41,Catalogue!$B$7:$B$19,0)),"#N/A"))</f>
        <v/>
      </c>
      <c r="G41" s="64">
        <f>IF(OR(D41="",E41=""),"",IFERROR(E41*INDEX(Catalogue!$D$7:$D$19,MATCH(D41,Catalogue!$B$7:$B$19,0)),"#N/A"))</f>
        <v/>
      </c>
      <c r="H41" s="26" t="n"/>
      <c r="I41" s="2" t="n"/>
      <c r="J41" s="1" t="n"/>
    </row>
    <row r="42">
      <c r="A42" s="1" t="n"/>
      <c r="B42" s="25" t="n"/>
      <c r="C42" s="26" t="n"/>
      <c r="D42" s="26" t="n"/>
      <c r="E42" s="28" t="n"/>
      <c r="F42" s="65">
        <f>IF(OR(D42="",E42=""),"",IFERROR(E42*INDEX(Catalogue!$E$7:$E$19,MATCH(D42,Catalogue!$B$7:$B$19,0)),"#N/A"))</f>
        <v/>
      </c>
      <c r="G42" s="64">
        <f>IF(OR(D42="",E42=""),"",IFERROR(E42*INDEX(Catalogue!$D$7:$D$19,MATCH(D42,Catalogue!$B$7:$B$19,0)),"#N/A"))</f>
        <v/>
      </c>
      <c r="H42" s="26" t="n"/>
      <c r="I42" s="2" t="n"/>
      <c r="J42" s="1" t="n"/>
    </row>
    <row r="43">
      <c r="A43" s="1" t="n"/>
      <c r="B43" s="25" t="n"/>
      <c r="C43" s="26" t="n"/>
      <c r="D43" s="26" t="n"/>
      <c r="E43" s="28" t="n"/>
      <c r="F43" s="65">
        <f>IF(OR(D43="",E43=""),"",IFERROR(E43*INDEX(Catalogue!$E$7:$E$19,MATCH(D43,Catalogue!$B$7:$B$19,0)),"#N/A"))</f>
        <v/>
      </c>
      <c r="G43" s="64">
        <f>IF(OR(D43="",E43=""),"",IFERROR(E43*INDEX(Catalogue!$D$7:$D$19,MATCH(D43,Catalogue!$B$7:$B$19,0)),"#N/A"))</f>
        <v/>
      </c>
      <c r="H43" s="26" t="n"/>
      <c r="I43" s="2" t="n"/>
      <c r="J43" s="1" t="n"/>
    </row>
    <row r="44">
      <c r="A44" s="1" t="n"/>
      <c r="B44" s="25" t="n"/>
      <c r="C44" s="26" t="n"/>
      <c r="D44" s="26" t="n"/>
      <c r="E44" s="28" t="n"/>
      <c r="F44" s="65">
        <f>IF(OR(D44="",E44=""),"",IFERROR(E44*INDEX(Catalogue!$E$7:$E$19,MATCH(D44,Catalogue!$B$7:$B$19,0)),"#N/A"))</f>
        <v/>
      </c>
      <c r="G44" s="64">
        <f>IF(OR(D44="",E44=""),"",IFERROR(E44*INDEX(Catalogue!$D$7:$D$19,MATCH(D44,Catalogue!$B$7:$B$19,0)),"#N/A"))</f>
        <v/>
      </c>
      <c r="H44" s="26" t="n"/>
      <c r="I44" s="2" t="n"/>
      <c r="J44" s="1" t="n"/>
    </row>
    <row r="45">
      <c r="A45" s="1" t="n"/>
      <c r="B45" s="25" t="n"/>
      <c r="C45" s="26" t="n"/>
      <c r="D45" s="26" t="n"/>
      <c r="E45" s="28" t="n"/>
      <c r="F45" s="65">
        <f>IF(OR(D45="",E45=""),"",IFERROR(E45*INDEX(Catalogue!$E$7:$E$19,MATCH(D45,Catalogue!$B$7:$B$19,0)),"#N/A"))</f>
        <v/>
      </c>
      <c r="G45" s="64">
        <f>IF(OR(D45="",E45=""),"",IFERROR(E45*INDEX(Catalogue!$D$7:$D$19,MATCH(D45,Catalogue!$B$7:$B$19,0)),"#N/A"))</f>
        <v/>
      </c>
      <c r="H45" s="26" t="n"/>
      <c r="I45" s="2" t="n"/>
      <c r="J45" s="1" t="n"/>
    </row>
    <row r="46">
      <c r="A46" s="1" t="n"/>
      <c r="B46" s="25" t="n"/>
      <c r="C46" s="26" t="n"/>
      <c r="D46" s="26" t="n"/>
      <c r="E46" s="28" t="n"/>
      <c r="F46" s="65">
        <f>IF(OR(D46="",E46=""),"",IFERROR(E46*INDEX(Catalogue!$E$7:$E$19,MATCH(D46,Catalogue!$B$7:$B$19,0)),"#N/A"))</f>
        <v/>
      </c>
      <c r="G46" s="64">
        <f>IF(OR(D46="",E46=""),"",IFERROR(E46*INDEX(Catalogue!$D$7:$D$19,MATCH(D46,Catalogue!$B$7:$B$19,0)),"#N/A"))</f>
        <v/>
      </c>
      <c r="H46" s="26" t="n"/>
      <c r="I46" s="2" t="n"/>
      <c r="J46" s="1" t="n"/>
    </row>
    <row r="47">
      <c r="A47" s="1" t="n"/>
      <c r="B47" s="25" t="n"/>
      <c r="C47" s="26" t="n"/>
      <c r="D47" s="26" t="n"/>
      <c r="E47" s="28" t="n"/>
      <c r="F47" s="65">
        <f>IF(OR(D47="",E47=""),"",IFERROR(E47*INDEX(Catalogue!$E$7:$E$19,MATCH(D47,Catalogue!$B$7:$B$19,0)),"#N/A"))</f>
        <v/>
      </c>
      <c r="G47" s="64">
        <f>IF(OR(D47="",E47=""),"",IFERROR(E47*INDEX(Catalogue!$D$7:$D$19,MATCH(D47,Catalogue!$B$7:$B$19,0)),"#N/A"))</f>
        <v/>
      </c>
      <c r="H47" s="26" t="n"/>
      <c r="I47" s="2" t="n"/>
      <c r="J47" s="1" t="n"/>
    </row>
    <row r="48">
      <c r="A48" s="1" t="n"/>
      <c r="B48" s="25" t="n"/>
      <c r="C48" s="26" t="n"/>
      <c r="D48" s="26" t="n"/>
      <c r="E48" s="28" t="n"/>
      <c r="F48" s="65">
        <f>IF(OR(D48="",E48=""),"",IFERROR(E48*INDEX(Catalogue!$E$7:$E$19,MATCH(D48,Catalogue!$B$7:$B$19,0)),"#N/A"))</f>
        <v/>
      </c>
      <c r="G48" s="64">
        <f>IF(OR(D48="",E48=""),"",IFERROR(E48*INDEX(Catalogue!$D$7:$D$19,MATCH(D48,Catalogue!$B$7:$B$19,0)),"#N/A"))</f>
        <v/>
      </c>
      <c r="H48" s="26" t="n"/>
      <c r="I48" s="2" t="n"/>
      <c r="J48" s="1" t="n"/>
    </row>
    <row r="49">
      <c r="A49" s="1" t="n"/>
      <c r="B49" s="25" t="n"/>
      <c r="C49" s="26" t="n"/>
      <c r="D49" s="26" t="n"/>
      <c r="E49" s="28" t="n"/>
      <c r="F49" s="65">
        <f>IF(OR(D49="",E49=""),"",IFERROR(E49*INDEX(Catalogue!$E$7:$E$19,MATCH(D49,Catalogue!$B$7:$B$19,0)),"#N/A"))</f>
        <v/>
      </c>
      <c r="G49" s="64">
        <f>IF(OR(D49="",E49=""),"",IFERROR(E49*INDEX(Catalogue!$D$7:$D$19,MATCH(D49,Catalogue!$B$7:$B$19,0)),"#N/A"))</f>
        <v/>
      </c>
      <c r="H49" s="26" t="n"/>
      <c r="I49" s="2" t="n"/>
      <c r="J49" s="1" t="n"/>
    </row>
    <row r="50">
      <c r="A50" s="1" t="n"/>
      <c r="B50" s="25" t="n"/>
      <c r="C50" s="26" t="n"/>
      <c r="D50" s="26" t="n"/>
      <c r="E50" s="28" t="n"/>
      <c r="F50" s="65">
        <f>IF(OR(D50="",E50=""),"",IFERROR(E50*INDEX(Catalogue!$E$7:$E$19,MATCH(D50,Catalogue!$B$7:$B$19,0)),"#N/A"))</f>
        <v/>
      </c>
      <c r="G50" s="64">
        <f>IF(OR(D50="",E50=""),"",IFERROR(E50*INDEX(Catalogue!$D$7:$D$19,MATCH(D50,Catalogue!$B$7:$B$19,0)),"#N/A"))</f>
        <v/>
      </c>
      <c r="H50" s="26" t="n"/>
      <c r="I50" s="2" t="n"/>
      <c r="J50" s="1" t="n"/>
    </row>
    <row r="51">
      <c r="A51" s="1" t="n"/>
      <c r="B51" s="25" t="n"/>
      <c r="C51" s="26" t="n"/>
      <c r="D51" s="26" t="n"/>
      <c r="E51" s="28" t="n"/>
      <c r="F51" s="65">
        <f>IF(OR(D51="",E51=""),"",IFERROR(E51*INDEX(Catalogue!$E$7:$E$19,MATCH(D51,Catalogue!$B$7:$B$19,0)),"#N/A"))</f>
        <v/>
      </c>
      <c r="G51" s="64">
        <f>IF(OR(D51="",E51=""),"",IFERROR(E51*INDEX(Catalogue!$D$7:$D$19,MATCH(D51,Catalogue!$B$7:$B$19,0)),"#N/A"))</f>
        <v/>
      </c>
      <c r="H51" s="26" t="n"/>
      <c r="I51" s="2" t="n"/>
      <c r="J51" s="1" t="n"/>
    </row>
    <row r="52">
      <c r="A52" s="1" t="n"/>
      <c r="B52" s="25" t="n"/>
      <c r="C52" s="26" t="n"/>
      <c r="D52" s="26" t="n"/>
      <c r="E52" s="28" t="n"/>
      <c r="F52" s="65">
        <f>IF(OR(D52="",E52=""),"",IFERROR(E52*INDEX(Catalogue!$E$7:$E$19,MATCH(D52,Catalogue!$B$7:$B$19,0)),"#N/A"))</f>
        <v/>
      </c>
      <c r="G52" s="64">
        <f>IF(OR(D52="",E52=""),"",IFERROR(E52*INDEX(Catalogue!$D$7:$D$19,MATCH(D52,Catalogue!$B$7:$B$19,0)),"#N/A"))</f>
        <v/>
      </c>
      <c r="H52" s="26" t="n"/>
      <c r="I52" s="2" t="n"/>
      <c r="J52" s="1" t="n"/>
    </row>
    <row r="53">
      <c r="A53" s="1" t="n"/>
      <c r="B53" s="25" t="n"/>
      <c r="C53" s="26" t="n"/>
      <c r="D53" s="26" t="n"/>
      <c r="E53" s="28" t="n"/>
      <c r="F53" s="65">
        <f>IF(OR(D53="",E53=""),"",IFERROR(E53*INDEX(Catalogue!$E$7:$E$19,MATCH(D53,Catalogue!$B$7:$B$19,0)),"#N/A"))</f>
        <v/>
      </c>
      <c r="G53" s="64">
        <f>IF(OR(D53="",E53=""),"",IFERROR(E53*INDEX(Catalogue!$D$7:$D$19,MATCH(D53,Catalogue!$B$7:$B$19,0)),"#N/A"))</f>
        <v/>
      </c>
      <c r="H53" s="26" t="n"/>
      <c r="I53" s="2" t="n"/>
      <c r="J53" s="1" t="n"/>
    </row>
    <row r="54">
      <c r="A54" s="1" t="n"/>
      <c r="B54" s="25" t="n"/>
      <c r="C54" s="26" t="n"/>
      <c r="D54" s="26" t="n"/>
      <c r="E54" s="28" t="n"/>
      <c r="F54" s="65">
        <f>IF(OR(D54="",E54=""),"",IFERROR(E54*INDEX(Catalogue!$E$7:$E$19,MATCH(D54,Catalogue!$B$7:$B$19,0)),"#N/A"))</f>
        <v/>
      </c>
      <c r="G54" s="64">
        <f>IF(OR(D54="",E54=""),"",IFERROR(E54*INDEX(Catalogue!$D$7:$D$19,MATCH(D54,Catalogue!$B$7:$B$19,0)),"#N/A"))</f>
        <v/>
      </c>
      <c r="H54" s="26" t="n"/>
      <c r="I54" s="2" t="n"/>
      <c r="J54" s="1" t="n"/>
    </row>
    <row r="55">
      <c r="A55" s="1" t="n"/>
      <c r="B55" s="25" t="n"/>
      <c r="C55" s="26" t="n"/>
      <c r="D55" s="26" t="n"/>
      <c r="E55" s="28" t="n"/>
      <c r="F55" s="65">
        <f>IF(OR(D55="",E55=""),"",IFERROR(E55*INDEX(Catalogue!$E$7:$E$19,MATCH(D55,Catalogue!$B$7:$B$19,0)),"#N/A"))</f>
        <v/>
      </c>
      <c r="G55" s="64">
        <f>IF(OR(D55="",E55=""),"",IFERROR(E55*INDEX(Catalogue!$D$7:$D$19,MATCH(D55,Catalogue!$B$7:$B$19,0)),"#N/A"))</f>
        <v/>
      </c>
      <c r="H55" s="26" t="n"/>
      <c r="I55" s="2" t="n"/>
      <c r="J55" s="1" t="n"/>
    </row>
    <row r="56">
      <c r="A56" s="1" t="n"/>
      <c r="B56" s="25" t="n"/>
      <c r="C56" s="26" t="n"/>
      <c r="D56" s="26" t="n"/>
      <c r="E56" s="28" t="n"/>
      <c r="F56" s="65">
        <f>IF(OR(D56="",E56=""),"",IFERROR(E56*INDEX(Catalogue!$E$7:$E$19,MATCH(D56,Catalogue!$B$7:$B$19,0)),"#N/A"))</f>
        <v/>
      </c>
      <c r="G56" s="64">
        <f>IF(OR(D56="",E56=""),"",IFERROR(E56*INDEX(Catalogue!$D$7:$D$19,MATCH(D56,Catalogue!$B$7:$B$19,0)),"#N/A"))</f>
        <v/>
      </c>
      <c r="H56" s="26" t="n"/>
      <c r="I56" s="2" t="n"/>
      <c r="J56" s="1" t="n"/>
    </row>
    <row r="57">
      <c r="A57" s="1" t="n"/>
      <c r="B57" s="25" t="n"/>
      <c r="C57" s="26" t="n"/>
      <c r="D57" s="26" t="n"/>
      <c r="E57" s="28" t="n"/>
      <c r="F57" s="65">
        <f>IF(OR(D57="",E57=""),"",IFERROR(E57*INDEX(Catalogue!$E$7:$E$19,MATCH(D57,Catalogue!$B$7:$B$19,0)),"#N/A"))</f>
        <v/>
      </c>
      <c r="G57" s="64">
        <f>IF(OR(D57="",E57=""),"",IFERROR(E57*INDEX(Catalogue!$D$7:$D$19,MATCH(D57,Catalogue!$B$7:$B$19,0)),"#N/A"))</f>
        <v/>
      </c>
      <c r="H57" s="26" t="n"/>
      <c r="I57" s="2" t="n"/>
      <c r="J57" s="1" t="n"/>
    </row>
    <row r="58">
      <c r="A58" s="1" t="n"/>
      <c r="B58" s="25" t="n"/>
      <c r="C58" s="26" t="n"/>
      <c r="D58" s="26" t="n"/>
      <c r="E58" s="28" t="n"/>
      <c r="F58" s="65">
        <f>IF(OR(D58="",E58=""),"",IFERROR(E58*INDEX(Catalogue!$E$7:$E$19,MATCH(D58,Catalogue!$B$7:$B$19,0)),"#N/A"))</f>
        <v/>
      </c>
      <c r="G58" s="64">
        <f>IF(OR(D58="",E58=""),"",IFERROR(E58*INDEX(Catalogue!$D$7:$D$19,MATCH(D58,Catalogue!$B$7:$B$19,0)),"#N/A"))</f>
        <v/>
      </c>
      <c r="H58" s="26" t="n"/>
      <c r="I58" s="2" t="n"/>
      <c r="J58" s="1" t="n"/>
    </row>
    <row r="59">
      <c r="A59" s="1" t="n"/>
      <c r="B59" s="25" t="n"/>
      <c r="C59" s="26" t="n"/>
      <c r="D59" s="26" t="n"/>
      <c r="E59" s="28" t="n"/>
      <c r="F59" s="65">
        <f>IF(OR(D59="",E59=""),"",IFERROR(E59*INDEX(Catalogue!$E$7:$E$19,MATCH(D59,Catalogue!$B$7:$B$19,0)),"#N/A"))</f>
        <v/>
      </c>
      <c r="G59" s="64">
        <f>IF(OR(D59="",E59=""),"",IFERROR(E59*INDEX(Catalogue!$D$7:$D$19,MATCH(D59,Catalogue!$B$7:$B$19,0)),"#N/A"))</f>
        <v/>
      </c>
      <c r="H59" s="26" t="n"/>
      <c r="I59" s="2" t="n"/>
      <c r="J59" s="1" t="n"/>
    </row>
    <row r="60">
      <c r="A60" s="1" t="n"/>
      <c r="B60" s="25" t="n"/>
      <c r="C60" s="26" t="n"/>
      <c r="D60" s="26" t="n"/>
      <c r="E60" s="28" t="n"/>
      <c r="F60" s="65">
        <f>IF(OR(D60="",E60=""),"",IFERROR(E60*INDEX(Catalogue!$E$7:$E$19,MATCH(D60,Catalogue!$B$7:$B$19,0)),"#N/A"))</f>
        <v/>
      </c>
      <c r="G60" s="64">
        <f>IF(OR(D60="",E60=""),"",IFERROR(E60*INDEX(Catalogue!$D$7:$D$19,MATCH(D60,Catalogue!$B$7:$B$19,0)),"#N/A"))</f>
        <v/>
      </c>
      <c r="H60" s="26" t="n"/>
      <c r="I60" s="2" t="n"/>
      <c r="J60" s="1" t="n"/>
    </row>
    <row r="61">
      <c r="A61" s="1" t="n"/>
      <c r="B61" s="25" t="n"/>
      <c r="C61" s="26" t="n"/>
      <c r="D61" s="26" t="n"/>
      <c r="E61" s="28" t="n"/>
      <c r="F61" s="65">
        <f>IF(OR(D61="",E61=""),"",IFERROR(E61*INDEX(Catalogue!$E$7:$E$19,MATCH(D61,Catalogue!$B$7:$B$19,0)),"#N/A"))</f>
        <v/>
      </c>
      <c r="G61" s="64">
        <f>IF(OR(D61="",E61=""),"",IFERROR(E61*INDEX(Catalogue!$D$7:$D$19,MATCH(D61,Catalogue!$B$7:$B$19,0)),"#N/A"))</f>
        <v/>
      </c>
      <c r="H61" s="26" t="n"/>
      <c r="I61" s="2" t="n"/>
      <c r="J61" s="1" t="n"/>
    </row>
    <row r="62">
      <c r="A62" s="1" t="n"/>
      <c r="B62" s="25" t="n"/>
      <c r="C62" s="26" t="n"/>
      <c r="D62" s="26" t="n"/>
      <c r="E62" s="28" t="n"/>
      <c r="F62" s="65">
        <f>IF(OR(D62="",E62=""),"",IFERROR(E62*INDEX(Catalogue!$E$7:$E$19,MATCH(D62,Catalogue!$B$7:$B$19,0)),"#N/A"))</f>
        <v/>
      </c>
      <c r="G62" s="64">
        <f>IF(OR(D62="",E62=""),"",IFERROR(E62*INDEX(Catalogue!$D$7:$D$19,MATCH(D62,Catalogue!$B$7:$B$19,0)),"#N/A"))</f>
        <v/>
      </c>
      <c r="H62" s="26" t="n"/>
      <c r="I62" s="2" t="n"/>
      <c r="J62" s="1" t="n"/>
    </row>
    <row r="63">
      <c r="A63" s="1" t="n"/>
      <c r="B63" s="25" t="n"/>
      <c r="C63" s="26" t="n"/>
      <c r="D63" s="26" t="n"/>
      <c r="E63" s="28" t="n"/>
      <c r="F63" s="65">
        <f>IF(OR(D63="",E63=""),"",IFERROR(E63*INDEX(Catalogue!$E$7:$E$19,MATCH(D63,Catalogue!$B$7:$B$19,0)),"#N/A"))</f>
        <v/>
      </c>
      <c r="G63" s="64">
        <f>IF(OR(D63="",E63=""),"",IFERROR(E63*INDEX(Catalogue!$D$7:$D$19,MATCH(D63,Catalogue!$B$7:$B$19,0)),"#N/A"))</f>
        <v/>
      </c>
      <c r="H63" s="26" t="n"/>
      <c r="I63" s="2" t="n"/>
      <c r="J63" s="1" t="n"/>
    </row>
    <row r="64">
      <c r="A64" s="1" t="n"/>
      <c r="B64" s="25" t="n"/>
      <c r="C64" s="26" t="n"/>
      <c r="D64" s="26" t="n"/>
      <c r="E64" s="28" t="n"/>
      <c r="F64" s="65">
        <f>IF(OR(D64="",E64=""),"",IFERROR(E64*INDEX(Catalogue!$E$7:$E$19,MATCH(D64,Catalogue!$B$7:$B$19,0)),"#N/A"))</f>
        <v/>
      </c>
      <c r="G64" s="64">
        <f>IF(OR(D64="",E64=""),"",IFERROR(E64*INDEX(Catalogue!$D$7:$D$19,MATCH(D64,Catalogue!$B$7:$B$19,0)),"#N/A"))</f>
        <v/>
      </c>
      <c r="H64" s="26" t="n"/>
      <c r="I64" s="2" t="n"/>
      <c r="J64" s="1" t="n"/>
    </row>
    <row r="65">
      <c r="A65" s="1" t="n"/>
      <c r="B65" s="25" t="n"/>
      <c r="C65" s="26" t="n"/>
      <c r="D65" s="26" t="n"/>
      <c r="E65" s="28" t="n"/>
      <c r="F65" s="65">
        <f>IF(OR(D65="",E65=""),"",IFERROR(E65*INDEX(Catalogue!$E$7:$E$19,MATCH(D65,Catalogue!$B$7:$B$19,0)),"#N/A"))</f>
        <v/>
      </c>
      <c r="G65" s="64">
        <f>IF(OR(D65="",E65=""),"",IFERROR(E65*INDEX(Catalogue!$D$7:$D$19,MATCH(D65,Catalogue!$B$7:$B$19,0)),"#N/A"))</f>
        <v/>
      </c>
      <c r="H65" s="26" t="n"/>
      <c r="I65" s="2" t="n"/>
      <c r="J65" s="1" t="n"/>
    </row>
    <row r="66">
      <c r="A66" s="1" t="n"/>
      <c r="B66" s="25" t="n"/>
      <c r="C66" s="26" t="n"/>
      <c r="D66" s="26" t="n"/>
      <c r="E66" s="28" t="n"/>
      <c r="F66" s="65">
        <f>IF(OR(D66="",E66=""),"",IFERROR(E66*INDEX(Catalogue!$E$7:$E$19,MATCH(D66,Catalogue!$B$7:$B$19,0)),"#N/A"))</f>
        <v/>
      </c>
      <c r="G66" s="64">
        <f>IF(OR(D66="",E66=""),"",IFERROR(E66*INDEX(Catalogue!$D$7:$D$19,MATCH(D66,Catalogue!$B$7:$B$19,0)),"#N/A"))</f>
        <v/>
      </c>
      <c r="H66" s="26" t="n"/>
      <c r="I66" s="2" t="n"/>
      <c r="J66" s="1" t="n"/>
    </row>
    <row r="67">
      <c r="A67" s="1" t="n"/>
      <c r="B67" s="25" t="n"/>
      <c r="C67" s="26" t="n"/>
      <c r="D67" s="26" t="n"/>
      <c r="E67" s="28" t="n"/>
      <c r="F67" s="65">
        <f>IF(OR(D67="",E67=""),"",IFERROR(E67*INDEX(Catalogue!$E$7:$E$19,MATCH(D67,Catalogue!$B$7:$B$19,0)),"#N/A"))</f>
        <v/>
      </c>
      <c r="G67" s="64">
        <f>IF(OR(D67="",E67=""),"",IFERROR(E67*INDEX(Catalogue!$D$7:$D$19,MATCH(D67,Catalogue!$B$7:$B$19,0)),"#N/A"))</f>
        <v/>
      </c>
      <c r="H67" s="26" t="n"/>
      <c r="I67" s="2" t="n"/>
      <c r="J67" s="1" t="n"/>
    </row>
    <row r="68">
      <c r="A68" s="1" t="n"/>
      <c r="B68" s="25" t="n"/>
      <c r="C68" s="26" t="n"/>
      <c r="D68" s="26" t="n"/>
      <c r="E68" s="28" t="n"/>
      <c r="F68" s="65">
        <f>IF(OR(D68="",E68=""),"",IFERROR(E68*INDEX(Catalogue!$E$7:$E$19,MATCH(D68,Catalogue!$B$7:$B$19,0)),"#N/A"))</f>
        <v/>
      </c>
      <c r="G68" s="64">
        <f>IF(OR(D68="",E68=""),"",IFERROR(E68*INDEX(Catalogue!$D$7:$D$19,MATCH(D68,Catalogue!$B$7:$B$19,0)),"#N/A"))</f>
        <v/>
      </c>
      <c r="H68" s="26" t="n"/>
      <c r="I68" s="2" t="n"/>
      <c r="J68" s="1" t="n"/>
    </row>
    <row r="69">
      <c r="A69" s="1" t="n"/>
      <c r="B69" s="25" t="n"/>
      <c r="C69" s="26" t="n"/>
      <c r="D69" s="26" t="n"/>
      <c r="E69" s="28" t="n"/>
      <c r="F69" s="65">
        <f>IF(OR(D69="",E69=""),"",IFERROR(E69*INDEX(Catalogue!$E$7:$E$19,MATCH(D69,Catalogue!$B$7:$B$19,0)),"#N/A"))</f>
        <v/>
      </c>
      <c r="G69" s="64">
        <f>IF(OR(D69="",E69=""),"",IFERROR(E69*INDEX(Catalogue!$D$7:$D$19,MATCH(D69,Catalogue!$B$7:$B$19,0)),"#N/A"))</f>
        <v/>
      </c>
      <c r="H69" s="26" t="n"/>
      <c r="I69" s="2" t="n"/>
      <c r="J69" s="1" t="n"/>
    </row>
    <row r="70">
      <c r="A70" s="1" t="n"/>
      <c r="B70" s="25" t="n"/>
      <c r="C70" s="26" t="n"/>
      <c r="D70" s="26" t="n"/>
      <c r="E70" s="28" t="n"/>
      <c r="F70" s="65">
        <f>IF(OR(D70="",E70=""),"",IFERROR(E70*INDEX(Catalogue!$E$7:$E$19,MATCH(D70,Catalogue!$B$7:$B$19,0)),"#N/A"))</f>
        <v/>
      </c>
      <c r="G70" s="64">
        <f>IF(OR(D70="",E70=""),"",IFERROR(E70*INDEX(Catalogue!$D$7:$D$19,MATCH(D70,Catalogue!$B$7:$B$19,0)),"#N/A"))</f>
        <v/>
      </c>
      <c r="H70" s="26" t="n"/>
      <c r="I70" s="2" t="n"/>
      <c r="J70" s="1" t="n"/>
    </row>
    <row r="71">
      <c r="A71" s="1" t="n"/>
      <c r="B71" s="25" t="n"/>
      <c r="C71" s="26" t="n"/>
      <c r="D71" s="26" t="n"/>
      <c r="E71" s="28" t="n"/>
      <c r="F71" s="65">
        <f>IF(OR(D71="",E71=""),"",IFERROR(E71*INDEX(Catalogue!$E$7:$E$19,MATCH(D71,Catalogue!$B$7:$B$19,0)),"#N/A"))</f>
        <v/>
      </c>
      <c r="G71" s="64">
        <f>IF(OR(D71="",E71=""),"",IFERROR(E71*INDEX(Catalogue!$D$7:$D$19,MATCH(D71,Catalogue!$B$7:$B$19,0)),"#N/A"))</f>
        <v/>
      </c>
      <c r="H71" s="26" t="n"/>
      <c r="I71" s="2" t="n"/>
      <c r="J71" s="1" t="n"/>
    </row>
    <row r="72">
      <c r="A72" s="1" t="n"/>
      <c r="B72" s="25" t="n"/>
      <c r="C72" s="26" t="n"/>
      <c r="D72" s="26" t="n"/>
      <c r="E72" s="28" t="n"/>
      <c r="F72" s="65">
        <f>IF(OR(D72="",E72=""),"",IFERROR(E72*INDEX(Catalogue!$E$7:$E$19,MATCH(D72,Catalogue!$B$7:$B$19,0)),"#N/A"))</f>
        <v/>
      </c>
      <c r="G72" s="64">
        <f>IF(OR(D72="",E72=""),"",IFERROR(E72*INDEX(Catalogue!$D$7:$D$19,MATCH(D72,Catalogue!$B$7:$B$19,0)),"#N/A"))</f>
        <v/>
      </c>
      <c r="H72" s="26" t="n"/>
      <c r="I72" s="2" t="n"/>
      <c r="J72" s="1" t="n"/>
    </row>
    <row r="73">
      <c r="A73" s="1" t="n"/>
      <c r="B73" s="25" t="n"/>
      <c r="C73" s="26" t="n"/>
      <c r="D73" s="26" t="n"/>
      <c r="E73" s="28" t="n"/>
      <c r="F73" s="65">
        <f>IF(OR(D73="",E73=""),"",IFERROR(E73*INDEX(Catalogue!$E$7:$E$19,MATCH(D73,Catalogue!$B$7:$B$19,0)),"#N/A"))</f>
        <v/>
      </c>
      <c r="G73" s="64">
        <f>IF(OR(D73="",E73=""),"",IFERROR(E73*INDEX(Catalogue!$D$7:$D$19,MATCH(D73,Catalogue!$B$7:$B$19,0)),"#N/A"))</f>
        <v/>
      </c>
      <c r="H73" s="26" t="n"/>
      <c r="I73" s="2" t="n"/>
      <c r="J73" s="1" t="n"/>
    </row>
    <row r="74">
      <c r="A74" s="1" t="n"/>
      <c r="B74" s="25" t="n"/>
      <c r="C74" s="26" t="n"/>
      <c r="D74" s="26" t="n"/>
      <c r="E74" s="28" t="n"/>
      <c r="F74" s="65">
        <f>IF(OR(D74="",E74=""),"",IFERROR(E74*INDEX(Catalogue!$E$7:$E$19,MATCH(D74,Catalogue!$B$7:$B$19,0)),"#N/A"))</f>
        <v/>
      </c>
      <c r="G74" s="64">
        <f>IF(OR(D74="",E74=""),"",IFERROR(E74*INDEX(Catalogue!$D$7:$D$19,MATCH(D74,Catalogue!$B$7:$B$19,0)),"#N/A"))</f>
        <v/>
      </c>
      <c r="H74" s="26" t="n"/>
      <c r="I74" s="2" t="n"/>
      <c r="J74" s="1" t="n"/>
    </row>
    <row r="75">
      <c r="A75" s="1" t="n"/>
      <c r="B75" s="25" t="n"/>
      <c r="C75" s="26" t="n"/>
      <c r="D75" s="26" t="n"/>
      <c r="E75" s="28" t="n"/>
      <c r="F75" s="65">
        <f>IF(OR(D75="",E75=""),"",IFERROR(E75*INDEX(Catalogue!$E$7:$E$19,MATCH(D75,Catalogue!$B$7:$B$19,0)),"#N/A"))</f>
        <v/>
      </c>
      <c r="G75" s="64">
        <f>IF(OR(D75="",E75=""),"",IFERROR(E75*INDEX(Catalogue!$D$7:$D$19,MATCH(D75,Catalogue!$B$7:$B$19,0)),"#N/A"))</f>
        <v/>
      </c>
      <c r="H75" s="26" t="n"/>
      <c r="I75" s="2" t="n"/>
      <c r="J75" s="1" t="n"/>
    </row>
    <row r="76">
      <c r="A76" s="1" t="n"/>
      <c r="B76" s="25" t="n"/>
      <c r="C76" s="26" t="n"/>
      <c r="D76" s="26" t="n"/>
      <c r="E76" s="28" t="n"/>
      <c r="F76" s="65">
        <f>IF(OR(D76="",E76=""),"",IFERROR(E76*INDEX(Catalogue!$E$7:$E$19,MATCH(D76,Catalogue!$B$7:$B$19,0)),"#N/A"))</f>
        <v/>
      </c>
      <c r="G76" s="64">
        <f>IF(OR(D76="",E76=""),"",IFERROR(E76*INDEX(Catalogue!$D$7:$D$19,MATCH(D76,Catalogue!$B$7:$B$19,0)),"#N/A"))</f>
        <v/>
      </c>
      <c r="H76" s="26" t="n"/>
      <c r="I76" s="2" t="n"/>
      <c r="J76" s="1" t="n"/>
    </row>
    <row r="77">
      <c r="A77" s="1" t="n"/>
      <c r="B77" s="25" t="n"/>
      <c r="C77" s="26" t="n"/>
      <c r="D77" s="26" t="n"/>
      <c r="E77" s="28" t="n"/>
      <c r="F77" s="65">
        <f>IF(OR(D77="",E77=""),"",IFERROR(E77*INDEX(Catalogue!$E$7:$E$19,MATCH(D77,Catalogue!$B$7:$B$19,0)),"#N/A"))</f>
        <v/>
      </c>
      <c r="G77" s="64">
        <f>IF(OR(D77="",E77=""),"",IFERROR(E77*INDEX(Catalogue!$D$7:$D$19,MATCH(D77,Catalogue!$B$7:$B$19,0)),"#N/A"))</f>
        <v/>
      </c>
      <c r="H77" s="26" t="n"/>
      <c r="I77" s="2" t="n"/>
      <c r="J77" s="1" t="n"/>
    </row>
    <row r="78">
      <c r="A78" s="1" t="n"/>
      <c r="B78" s="25" t="n"/>
      <c r="C78" s="26" t="n"/>
      <c r="D78" s="26" t="n"/>
      <c r="E78" s="28" t="n"/>
      <c r="F78" s="65">
        <f>IF(OR(D78="",E78=""),"",IFERROR(E78*INDEX(Catalogue!$E$7:$E$19,MATCH(D78,Catalogue!$B$7:$B$19,0)),"#N/A"))</f>
        <v/>
      </c>
      <c r="G78" s="64">
        <f>IF(OR(D78="",E78=""),"",IFERROR(E78*INDEX(Catalogue!$D$7:$D$19,MATCH(D78,Catalogue!$B$7:$B$19,0)),"#N/A"))</f>
        <v/>
      </c>
      <c r="H78" s="26" t="n"/>
      <c r="I78" s="2" t="n"/>
      <c r="J78" s="1" t="n"/>
    </row>
    <row r="79">
      <c r="A79" s="1" t="n"/>
      <c r="B79" s="25" t="n"/>
      <c r="C79" s="26" t="n"/>
      <c r="D79" s="26" t="n"/>
      <c r="E79" s="28" t="n"/>
      <c r="F79" s="65">
        <f>IF(OR(D79="",E79=""),"",IFERROR(E79*INDEX(Catalogue!$E$7:$E$19,MATCH(D79,Catalogue!$B$7:$B$19,0)),"#N/A"))</f>
        <v/>
      </c>
      <c r="G79" s="64">
        <f>IF(OR(D79="",E79=""),"",IFERROR(E79*INDEX(Catalogue!$D$7:$D$19,MATCH(D79,Catalogue!$B$7:$B$19,0)),"#N/A"))</f>
        <v/>
      </c>
      <c r="H79" s="26" t="n"/>
      <c r="I79" s="2" t="n"/>
      <c r="J79" s="1" t="n"/>
    </row>
    <row r="80">
      <c r="A80" s="1" t="n"/>
      <c r="B80" s="25" t="n"/>
      <c r="C80" s="26" t="n"/>
      <c r="D80" s="26" t="n"/>
      <c r="E80" s="28" t="n"/>
      <c r="F80" s="65">
        <f>IF(OR(D80="",E80=""),"",IFERROR(E80*INDEX(Catalogue!$E$7:$E$19,MATCH(D80,Catalogue!$B$7:$B$19,0)),"#N/A"))</f>
        <v/>
      </c>
      <c r="G80" s="64">
        <f>IF(OR(D80="",E80=""),"",IFERROR(E80*INDEX(Catalogue!$D$7:$D$19,MATCH(D80,Catalogue!$B$7:$B$19,0)),"#N/A"))</f>
        <v/>
      </c>
      <c r="H80" s="26" t="n"/>
      <c r="I80" s="2" t="n"/>
      <c r="J80" s="1" t="n"/>
    </row>
    <row r="81">
      <c r="A81" s="1" t="n"/>
      <c r="B81" s="25" t="n"/>
      <c r="C81" s="26" t="n"/>
      <c r="D81" s="26" t="n"/>
      <c r="E81" s="28" t="n"/>
      <c r="F81" s="65">
        <f>IF(OR(D81="",E81=""),"",IFERROR(E81*INDEX(Catalogue!$E$7:$E$19,MATCH(D81,Catalogue!$B$7:$B$19,0)),"#N/A"))</f>
        <v/>
      </c>
      <c r="G81" s="64">
        <f>IF(OR(D81="",E81=""),"",IFERROR(E81*INDEX(Catalogue!$D$7:$D$19,MATCH(D81,Catalogue!$B$7:$B$19,0)),"#N/A"))</f>
        <v/>
      </c>
      <c r="H81" s="26" t="n"/>
      <c r="I81" s="2" t="n"/>
      <c r="J81" s="1" t="n"/>
    </row>
    <row r="82">
      <c r="A82" s="1" t="n"/>
      <c r="B82" s="25" t="n"/>
      <c r="C82" s="26" t="n"/>
      <c r="D82" s="26" t="n"/>
      <c r="E82" s="28" t="n"/>
      <c r="F82" s="65">
        <f>IF(OR(D82="",E82=""),"",IFERROR(E82*INDEX(Catalogue!$E$7:$E$19,MATCH(D82,Catalogue!$B$7:$B$19,0)),"#N/A"))</f>
        <v/>
      </c>
      <c r="G82" s="64">
        <f>IF(OR(D82="",E82=""),"",IFERROR(E82*INDEX(Catalogue!$D$7:$D$19,MATCH(D82,Catalogue!$B$7:$B$19,0)),"#N/A"))</f>
        <v/>
      </c>
      <c r="H82" s="26" t="n"/>
      <c r="I82" s="2" t="n"/>
      <c r="J82" s="1" t="n"/>
    </row>
    <row r="83">
      <c r="A83" s="1" t="n"/>
      <c r="B83" s="25" t="n"/>
      <c r="C83" s="26" t="n"/>
      <c r="D83" s="26" t="n"/>
      <c r="E83" s="28" t="n"/>
      <c r="F83" s="65">
        <f>IF(OR(D83="",E83=""),"",IFERROR(E83*INDEX(Catalogue!$E$7:$E$19,MATCH(D83,Catalogue!$B$7:$B$19,0)),"#N/A"))</f>
        <v/>
      </c>
      <c r="G83" s="64">
        <f>IF(OR(D83="",E83=""),"",IFERROR(E83*INDEX(Catalogue!$D$7:$D$19,MATCH(D83,Catalogue!$B$7:$B$19,0)),"#N/A"))</f>
        <v/>
      </c>
      <c r="H83" s="26" t="n"/>
      <c r="I83" s="2" t="n"/>
      <c r="J83" s="1" t="n"/>
    </row>
    <row r="84">
      <c r="A84" s="1" t="n"/>
      <c r="B84" s="25" t="n"/>
      <c r="C84" s="26" t="n"/>
      <c r="D84" s="26" t="n"/>
      <c r="E84" s="28" t="n"/>
      <c r="F84" s="65">
        <f>IF(OR(D84="",E84=""),"",IFERROR(E84*INDEX(Catalogue!$E$7:$E$19,MATCH(D84,Catalogue!$B$7:$B$19,0)),"#N/A"))</f>
        <v/>
      </c>
      <c r="G84" s="64">
        <f>IF(OR(D84="",E84=""),"",IFERROR(E84*INDEX(Catalogue!$D$7:$D$19,MATCH(D84,Catalogue!$B$7:$B$19,0)),"#N/A"))</f>
        <v/>
      </c>
      <c r="H84" s="26" t="n"/>
      <c r="I84" s="2" t="n"/>
      <c r="J84" s="1" t="n"/>
    </row>
    <row r="85">
      <c r="A85" s="1" t="n"/>
      <c r="B85" s="25" t="n"/>
      <c r="C85" s="26" t="n"/>
      <c r="D85" s="26" t="n"/>
      <c r="E85" s="28" t="n"/>
      <c r="F85" s="65">
        <f>IF(OR(D85="",E85=""),"",IFERROR(E85*INDEX(Catalogue!$E$7:$E$19,MATCH(D85,Catalogue!$B$7:$B$19,0)),"#N/A"))</f>
        <v/>
      </c>
      <c r="G85" s="64">
        <f>IF(OR(D85="",E85=""),"",IFERROR(E85*INDEX(Catalogue!$D$7:$D$19,MATCH(D85,Catalogue!$B$7:$B$19,0)),"#N/A"))</f>
        <v/>
      </c>
      <c r="H85" s="26" t="n"/>
      <c r="I85" s="2" t="n"/>
      <c r="J85" s="1" t="n"/>
    </row>
    <row r="86">
      <c r="A86" s="1" t="n"/>
      <c r="B86" s="25" t="n"/>
      <c r="C86" s="26" t="n"/>
      <c r="D86" s="26" t="n"/>
      <c r="E86" s="28" t="n"/>
      <c r="F86" s="65">
        <f>IF(OR(D86="",E86=""),"",IFERROR(E86*INDEX(Catalogue!$E$7:$E$19,MATCH(D86,Catalogue!$B$7:$B$19,0)),"#N/A"))</f>
        <v/>
      </c>
      <c r="G86" s="64">
        <f>IF(OR(D86="",E86=""),"",IFERROR(E86*INDEX(Catalogue!$D$7:$D$19,MATCH(D86,Catalogue!$B$7:$B$19,0)),"#N/A"))</f>
        <v/>
      </c>
      <c r="H86" s="26" t="n"/>
      <c r="I86" s="2" t="n"/>
      <c r="J86" s="1" t="n"/>
    </row>
    <row r="87">
      <c r="A87" s="1" t="n"/>
      <c r="B87" s="25" t="n"/>
      <c r="C87" s="26" t="n"/>
      <c r="D87" s="26" t="n"/>
      <c r="E87" s="28" t="n"/>
      <c r="F87" s="65">
        <f>IF(OR(D87="",E87=""),"",IFERROR(E87*INDEX(Catalogue!$E$7:$E$19,MATCH(D87,Catalogue!$B$7:$B$19,0)),"#N/A"))</f>
        <v/>
      </c>
      <c r="G87" s="64">
        <f>IF(OR(D87="",E87=""),"",IFERROR(E87*INDEX(Catalogue!$D$7:$D$19,MATCH(D87,Catalogue!$B$7:$B$19,0)),"#N/A"))</f>
        <v/>
      </c>
      <c r="H87" s="26" t="n"/>
      <c r="I87" s="2" t="n"/>
      <c r="J87" s="1" t="n"/>
    </row>
    <row r="88">
      <c r="A88" s="1" t="n"/>
      <c r="B88" s="25" t="n"/>
      <c r="C88" s="26" t="n"/>
      <c r="D88" s="26" t="n"/>
      <c r="E88" s="28" t="n"/>
      <c r="F88" s="65">
        <f>IF(OR(D88="",E88=""),"",IFERROR(E88*INDEX(Catalogue!$E$7:$E$19,MATCH(D88,Catalogue!$B$7:$B$19,0)),"#N/A"))</f>
        <v/>
      </c>
      <c r="G88" s="64">
        <f>IF(OR(D88="",E88=""),"",IFERROR(E88*INDEX(Catalogue!$D$7:$D$19,MATCH(D88,Catalogue!$B$7:$B$19,0)),"#N/A"))</f>
        <v/>
      </c>
      <c r="H88" s="26" t="n"/>
      <c r="I88" s="2" t="n"/>
      <c r="J88" s="1" t="n"/>
    </row>
    <row r="89">
      <c r="A89" s="1" t="n"/>
      <c r="B89" s="25" t="n"/>
      <c r="C89" s="26" t="n"/>
      <c r="D89" s="26" t="n"/>
      <c r="E89" s="28" t="n"/>
      <c r="F89" s="65">
        <f>IF(OR(D89="",E89=""),"",IFERROR(E89*INDEX(Catalogue!$E$7:$E$19,MATCH(D89,Catalogue!$B$7:$B$19,0)),"#N/A"))</f>
        <v/>
      </c>
      <c r="G89" s="64">
        <f>IF(OR(D89="",E89=""),"",IFERROR(E89*INDEX(Catalogue!$D$7:$D$19,MATCH(D89,Catalogue!$B$7:$B$19,0)),"#N/A"))</f>
        <v/>
      </c>
      <c r="H89" s="26" t="n"/>
      <c r="I89" s="2" t="n"/>
      <c r="J89" s="1" t="n"/>
    </row>
    <row r="90">
      <c r="A90" s="1" t="n"/>
      <c r="B90" s="25" t="n"/>
      <c r="C90" s="26" t="n"/>
      <c r="D90" s="26" t="n"/>
      <c r="E90" s="28" t="n"/>
      <c r="F90" s="65">
        <f>IF(OR(D90="",E90=""),"",IFERROR(E90*INDEX(Catalogue!$E$7:$E$19,MATCH(D90,Catalogue!$B$7:$B$19,0)),"#N/A"))</f>
        <v/>
      </c>
      <c r="G90" s="64">
        <f>IF(OR(D90="",E90=""),"",IFERROR(E90*INDEX(Catalogue!$D$7:$D$19,MATCH(D90,Catalogue!$B$7:$B$19,0)),"#N/A"))</f>
        <v/>
      </c>
      <c r="H90" s="26" t="n"/>
      <c r="I90" s="2" t="n"/>
      <c r="J90" s="1" t="n"/>
    </row>
    <row r="91">
      <c r="A91" s="1" t="n"/>
      <c r="B91" s="25" t="n"/>
      <c r="C91" s="26" t="n"/>
      <c r="D91" s="26" t="n"/>
      <c r="E91" s="28" t="n"/>
      <c r="F91" s="65">
        <f>IF(OR(D91="",E91=""),"",IFERROR(E91*INDEX(Catalogue!$E$7:$E$19,MATCH(D91,Catalogue!$B$7:$B$19,0)),"#N/A"))</f>
        <v/>
      </c>
      <c r="G91" s="64">
        <f>IF(OR(D91="",E91=""),"",IFERROR(E91*INDEX(Catalogue!$D$7:$D$19,MATCH(D91,Catalogue!$B$7:$B$19,0)),"#N/A"))</f>
        <v/>
      </c>
      <c r="H91" s="26" t="n"/>
      <c r="I91" s="2" t="n"/>
      <c r="J91" s="1" t="n"/>
    </row>
    <row r="92">
      <c r="A92" s="1" t="n"/>
      <c r="B92" s="25" t="n"/>
      <c r="C92" s="26" t="n"/>
      <c r="D92" s="26" t="n"/>
      <c r="E92" s="28" t="n"/>
      <c r="F92" s="65">
        <f>IF(OR(D92="",E92=""),"",IFERROR(E92*INDEX(Catalogue!$E$7:$E$19,MATCH(D92,Catalogue!$B$7:$B$19,0)),"#N/A"))</f>
        <v/>
      </c>
      <c r="G92" s="64">
        <f>IF(OR(D92="",E92=""),"",IFERROR(E92*INDEX(Catalogue!$D$7:$D$19,MATCH(D92,Catalogue!$B$7:$B$19,0)),"#N/A"))</f>
        <v/>
      </c>
      <c r="H92" s="26" t="n"/>
      <c r="I92" s="2" t="n"/>
      <c r="J92" s="1" t="n"/>
    </row>
    <row r="93">
      <c r="A93" s="1" t="n"/>
      <c r="B93" s="25" t="n"/>
      <c r="C93" s="26" t="n"/>
      <c r="D93" s="26" t="n"/>
      <c r="E93" s="28" t="n"/>
      <c r="F93" s="65">
        <f>IF(OR(D93="",E93=""),"",IFERROR(E93*INDEX(Catalogue!$E$7:$E$19,MATCH(D93,Catalogue!$B$7:$B$19,0)),"#N/A"))</f>
        <v/>
      </c>
      <c r="G93" s="64">
        <f>IF(OR(D93="",E93=""),"",IFERROR(E93*INDEX(Catalogue!$D$7:$D$19,MATCH(D93,Catalogue!$B$7:$B$19,0)),"#N/A"))</f>
        <v/>
      </c>
      <c r="H93" s="26" t="n"/>
      <c r="I93" s="2" t="n"/>
      <c r="J93" s="1" t="n"/>
    </row>
    <row r="94">
      <c r="A94" s="1" t="n"/>
      <c r="B94" s="25" t="n"/>
      <c r="C94" s="26" t="n"/>
      <c r="D94" s="26" t="n"/>
      <c r="E94" s="28" t="n"/>
      <c r="F94" s="65">
        <f>IF(OR(D94="",E94=""),"",IFERROR(E94*INDEX(Catalogue!$E$7:$E$19,MATCH(D94,Catalogue!$B$7:$B$19,0)),"#N/A"))</f>
        <v/>
      </c>
      <c r="G94" s="64">
        <f>IF(OR(D94="",E94=""),"",IFERROR(E94*INDEX(Catalogue!$D$7:$D$19,MATCH(D94,Catalogue!$B$7:$B$19,0)),"#N/A"))</f>
        <v/>
      </c>
      <c r="H94" s="26" t="n"/>
      <c r="I94" s="2" t="n"/>
      <c r="J94" s="1" t="n"/>
    </row>
    <row r="95">
      <c r="A95" s="1" t="n"/>
      <c r="B95" s="25" t="n"/>
      <c r="C95" s="26" t="n"/>
      <c r="D95" s="26" t="n"/>
      <c r="E95" s="28" t="n"/>
      <c r="F95" s="65">
        <f>IF(OR(D95="",E95=""),"",IFERROR(E95*INDEX(Catalogue!$E$7:$E$19,MATCH(D95,Catalogue!$B$7:$B$19,0)),"#N/A"))</f>
        <v/>
      </c>
      <c r="G95" s="64">
        <f>IF(OR(D95="",E95=""),"",IFERROR(E95*INDEX(Catalogue!$D$7:$D$19,MATCH(D95,Catalogue!$B$7:$B$19,0)),"#N/A"))</f>
        <v/>
      </c>
      <c r="H95" s="26" t="n"/>
      <c r="I95" s="2" t="n"/>
      <c r="J95" s="1" t="n"/>
    </row>
    <row r="96">
      <c r="A96" s="1" t="n"/>
      <c r="B96" s="25" t="n"/>
      <c r="C96" s="26" t="n"/>
      <c r="D96" s="26" t="n"/>
      <c r="E96" s="28" t="n"/>
      <c r="F96" s="65">
        <f>IF(OR(D96="",E96=""),"",IFERROR(E96*INDEX(Catalogue!$E$7:$E$19,MATCH(D96,Catalogue!$B$7:$B$19,0)),"#N/A"))</f>
        <v/>
      </c>
      <c r="G96" s="64">
        <f>IF(OR(D96="",E96=""),"",IFERROR(E96*INDEX(Catalogue!$D$7:$D$19,MATCH(D96,Catalogue!$B$7:$B$19,0)),"#N/A"))</f>
        <v/>
      </c>
      <c r="H96" s="26" t="n"/>
      <c r="I96" s="2" t="n"/>
      <c r="J96" s="1" t="n"/>
    </row>
    <row r="97">
      <c r="A97" s="1" t="n"/>
      <c r="B97" s="25" t="n"/>
      <c r="C97" s="26" t="n"/>
      <c r="D97" s="26" t="n"/>
      <c r="E97" s="28" t="n"/>
      <c r="F97" s="65">
        <f>IF(OR(D97="",E97=""),"",IFERROR(E97*INDEX(Catalogue!$E$7:$E$19,MATCH(D97,Catalogue!$B$7:$B$19,0)),"#N/A"))</f>
        <v/>
      </c>
      <c r="G97" s="64">
        <f>IF(OR(D97="",E97=""),"",IFERROR(E97*INDEX(Catalogue!$D$7:$D$19,MATCH(D97,Catalogue!$B$7:$B$19,0)),"#N/A"))</f>
        <v/>
      </c>
      <c r="H97" s="26" t="n"/>
      <c r="I97" s="2" t="n"/>
      <c r="J97" s="1" t="n"/>
    </row>
    <row r="98">
      <c r="A98" s="1" t="n"/>
      <c r="B98" s="25" t="n"/>
      <c r="C98" s="26" t="n"/>
      <c r="D98" s="26" t="n"/>
      <c r="E98" s="28" t="n"/>
      <c r="F98" s="65">
        <f>IF(OR(D98="",E98=""),"",IFERROR(E98*INDEX(Catalogue!$E$7:$E$19,MATCH(D98,Catalogue!$B$7:$B$19,0)),"#N/A"))</f>
        <v/>
      </c>
      <c r="G98" s="64">
        <f>IF(OR(D98="",E98=""),"",IFERROR(E98*INDEX(Catalogue!$D$7:$D$19,MATCH(D98,Catalogue!$B$7:$B$19,0)),"#N/A"))</f>
        <v/>
      </c>
      <c r="H98" s="26" t="n"/>
      <c r="I98" s="2" t="n"/>
      <c r="J98" s="1" t="n"/>
    </row>
    <row r="99">
      <c r="A99" s="1" t="n"/>
      <c r="B99" s="25" t="n"/>
      <c r="C99" s="26" t="n"/>
      <c r="D99" s="26" t="n"/>
      <c r="E99" s="28" t="n"/>
      <c r="F99" s="65">
        <f>IF(OR(D99="",E99=""),"",IFERROR(E99*INDEX(Catalogue!$E$7:$E$19,MATCH(D99,Catalogue!$B$7:$B$19,0)),"#N/A"))</f>
        <v/>
      </c>
      <c r="G99" s="64">
        <f>IF(OR(D99="",E99=""),"",IFERROR(E99*INDEX(Catalogue!$D$7:$D$19,MATCH(D99,Catalogue!$B$7:$B$19,0)),"#N/A"))</f>
        <v/>
      </c>
      <c r="H99" s="26" t="n"/>
      <c r="I99" s="2" t="n"/>
      <c r="J99" s="1" t="n"/>
    </row>
    <row r="100">
      <c r="A100" s="1" t="n"/>
      <c r="B100" s="25" t="n"/>
      <c r="C100" s="26" t="n"/>
      <c r="D100" s="26" t="n"/>
      <c r="E100" s="28" t="n"/>
      <c r="F100" s="65">
        <f>IF(OR(D100="",E100=""),"",IFERROR(E100*INDEX(Catalogue!$E$7:$E$19,MATCH(D100,Catalogue!$B$7:$B$19,0)),"#N/A"))</f>
        <v/>
      </c>
      <c r="G100" s="64">
        <f>IF(OR(D100="",E100=""),"",IFERROR(E100*INDEX(Catalogue!$D$7:$D$19,MATCH(D100,Catalogue!$B$7:$B$19,0)),"#N/A"))</f>
        <v/>
      </c>
      <c r="H100" s="26" t="n"/>
      <c r="I100" s="2" t="n"/>
      <c r="J100" s="1" t="n"/>
    </row>
    <row r="101">
      <c r="A101" s="1" t="n"/>
      <c r="B101" s="25" t="n"/>
      <c r="C101" s="26" t="n"/>
      <c r="D101" s="26" t="n"/>
      <c r="E101" s="28" t="n"/>
      <c r="F101" s="65">
        <f>IF(OR(D101="",E101=""),"",IFERROR(E101*INDEX(Catalogue!$E$7:$E$19,MATCH(D101,Catalogue!$B$7:$B$19,0)),"#N/A"))</f>
        <v/>
      </c>
      <c r="G101" s="64">
        <f>IF(OR(D101="",E101=""),"",IFERROR(E101*INDEX(Catalogue!$D$7:$D$19,MATCH(D101,Catalogue!$B$7:$B$19,0)),"#N/A"))</f>
        <v/>
      </c>
      <c r="H101" s="26" t="n"/>
      <c r="I101" s="2" t="n"/>
      <c r="J101" s="1" t="n"/>
    </row>
    <row r="102">
      <c r="A102" s="1" t="n"/>
      <c r="B102" s="25" t="n"/>
      <c r="C102" s="26" t="n"/>
      <c r="D102" s="26" t="n"/>
      <c r="E102" s="28" t="n"/>
      <c r="F102" s="65">
        <f>IF(OR(D102="",E102=""),"",IFERROR(E102*INDEX(Catalogue!$E$7:$E$19,MATCH(D102,Catalogue!$B$7:$B$19,0)),"#N/A"))</f>
        <v/>
      </c>
      <c r="G102" s="64">
        <f>IF(OR(D102="",E102=""),"",IFERROR(E102*INDEX(Catalogue!$D$7:$D$19,MATCH(D102,Catalogue!$B$7:$B$19,0)),"#N/A"))</f>
        <v/>
      </c>
      <c r="H102" s="26" t="n"/>
      <c r="I102" s="2" t="n"/>
      <c r="J102" s="1" t="n"/>
    </row>
    <row r="103">
      <c r="A103" s="1" t="n"/>
      <c r="B103" s="25" t="n"/>
      <c r="C103" s="26" t="n"/>
      <c r="D103" s="26" t="n"/>
      <c r="E103" s="28" t="n"/>
      <c r="F103" s="65">
        <f>IF(OR(D103="",E103=""),"",IFERROR(E103*INDEX(Catalogue!$E$7:$E$19,MATCH(D103,Catalogue!$B$7:$B$19,0)),"#N/A"))</f>
        <v/>
      </c>
      <c r="G103" s="64">
        <f>IF(OR(D103="",E103=""),"",IFERROR(E103*INDEX(Catalogue!$D$7:$D$19,MATCH(D103,Catalogue!$B$7:$B$19,0)),"#N/A"))</f>
        <v/>
      </c>
      <c r="H103" s="26" t="n"/>
      <c r="I103" s="2" t="n"/>
      <c r="J103" s="1" t="n"/>
    </row>
    <row r="104">
      <c r="A104" s="1" t="n"/>
      <c r="B104" s="25" t="n"/>
      <c r="C104" s="26" t="n"/>
      <c r="D104" s="26" t="n"/>
      <c r="E104" s="28" t="n"/>
      <c r="F104" s="65">
        <f>IF(OR(D104="",E104=""),"",IFERROR(E104*INDEX(Catalogue!$E$7:$E$19,MATCH(D104,Catalogue!$B$7:$B$19,0)),"#N/A"))</f>
        <v/>
      </c>
      <c r="G104" s="64">
        <f>IF(OR(D104="",E104=""),"",IFERROR(E104*INDEX(Catalogue!$D$7:$D$19,MATCH(D104,Catalogue!$B$7:$B$19,0)),"#N/A"))</f>
        <v/>
      </c>
      <c r="H104" s="26" t="n"/>
      <c r="I104" s="2" t="n"/>
      <c r="J104" s="1" t="n"/>
    </row>
    <row r="105">
      <c r="A105" s="1" t="n"/>
      <c r="B105" s="25" t="n"/>
      <c r="C105" s="26" t="n"/>
      <c r="D105" s="26" t="n"/>
      <c r="E105" s="28" t="n"/>
      <c r="F105" s="65">
        <f>IF(OR(D105="",E105=""),"",IFERROR(E105*INDEX(Catalogue!$E$7:$E$19,MATCH(D105,Catalogue!$B$7:$B$19,0)),"#N/A"))</f>
        <v/>
      </c>
      <c r="G105" s="64">
        <f>IF(OR(D105="",E105=""),"",IFERROR(E105*INDEX(Catalogue!$D$7:$D$19,MATCH(D105,Catalogue!$B$7:$B$19,0)),"#N/A"))</f>
        <v/>
      </c>
      <c r="H105" s="26" t="n"/>
      <c r="I105" s="2" t="n"/>
      <c r="J105" s="1" t="n"/>
    </row>
    <row r="106">
      <c r="A106" s="1" t="n"/>
      <c r="B106" s="25" t="n"/>
      <c r="C106" s="26" t="n"/>
      <c r="D106" s="26" t="n"/>
      <c r="E106" s="28" t="n"/>
      <c r="F106" s="65">
        <f>IF(OR(D106="",E106=""),"",IFERROR(E106*INDEX(Catalogue!$E$7:$E$19,MATCH(D106,Catalogue!$B$7:$B$19,0)),"#N/A"))</f>
        <v/>
      </c>
      <c r="G106" s="64">
        <f>IF(OR(D106="",E106=""),"",IFERROR(E106*INDEX(Catalogue!$D$7:$D$19,MATCH(D106,Catalogue!$B$7:$B$19,0)),"#N/A"))</f>
        <v/>
      </c>
      <c r="H106" s="26" t="n"/>
      <c r="I106" s="2" t="n"/>
      <c r="J106" s="1" t="n"/>
    </row>
    <row r="107">
      <c r="A107" s="1" t="n"/>
      <c r="B107" s="25" t="n"/>
      <c r="C107" s="26" t="n"/>
      <c r="D107" s="26" t="n"/>
      <c r="E107" s="28" t="n"/>
      <c r="F107" s="65">
        <f>IF(OR(D107="",E107=""),"",IFERROR(E107*INDEX(Catalogue!$E$7:$E$19,MATCH(D107,Catalogue!$B$7:$B$19,0)),"#N/A"))</f>
        <v/>
      </c>
      <c r="G107" s="64">
        <f>IF(OR(D107="",E107=""),"",IFERROR(E107*INDEX(Catalogue!$D$7:$D$19,MATCH(D107,Catalogue!$B$7:$B$19,0)),"#N/A"))</f>
        <v/>
      </c>
      <c r="H107" s="26" t="n"/>
      <c r="I107" s="2" t="n"/>
      <c r="J107" s="1" t="n"/>
    </row>
    <row r="108">
      <c r="A108" s="1" t="n"/>
      <c r="B108" s="25" t="n"/>
      <c r="C108" s="26" t="n"/>
      <c r="D108" s="26" t="n"/>
      <c r="E108" s="28" t="n"/>
      <c r="F108" s="65">
        <f>IF(OR(D108="",E108=""),"",IFERROR(E108*INDEX(Catalogue!$E$7:$E$19,MATCH(D108,Catalogue!$B$7:$B$19,0)),"#N/A"))</f>
        <v/>
      </c>
      <c r="G108" s="64">
        <f>IF(OR(D108="",E108=""),"",IFERROR(E108*INDEX(Catalogue!$D$7:$D$19,MATCH(D108,Catalogue!$B$7:$B$19,0)),"#N/A"))</f>
        <v/>
      </c>
      <c r="H108" s="26" t="n"/>
      <c r="I108" s="2" t="n"/>
      <c r="J108" s="1" t="n"/>
    </row>
    <row r="109">
      <c r="A109" s="1" t="n"/>
      <c r="B109" s="25" t="n"/>
      <c r="C109" s="26" t="n"/>
      <c r="D109" s="26" t="n"/>
      <c r="E109" s="28" t="n"/>
      <c r="F109" s="65">
        <f>IF(OR(D109="",E109=""),"",IFERROR(E109*INDEX(Catalogue!$E$7:$E$19,MATCH(D109,Catalogue!$B$7:$B$19,0)),"#N/A"))</f>
        <v/>
      </c>
      <c r="G109" s="64">
        <f>IF(OR(D109="",E109=""),"",IFERROR(E109*INDEX(Catalogue!$D$7:$D$19,MATCH(D109,Catalogue!$B$7:$B$19,0)),"#N/A"))</f>
        <v/>
      </c>
      <c r="H109" s="26" t="n"/>
      <c r="I109" s="2" t="n"/>
      <c r="J109" s="1" t="n"/>
    </row>
    <row r="110">
      <c r="A110" s="1" t="n"/>
      <c r="B110" s="25" t="n"/>
      <c r="C110" s="26" t="n"/>
      <c r="D110" s="26" t="n"/>
      <c r="E110" s="28" t="n"/>
      <c r="F110" s="65">
        <f>IF(OR(D110="",E110=""),"",IFERROR(E110*INDEX(Catalogue!$E$7:$E$19,MATCH(D110,Catalogue!$B$7:$B$19,0)),"#N/A"))</f>
        <v/>
      </c>
      <c r="G110" s="64">
        <f>IF(OR(D110="",E110=""),"",IFERROR(E110*INDEX(Catalogue!$D$7:$D$19,MATCH(D110,Catalogue!$B$7:$B$19,0)),"#N/A"))</f>
        <v/>
      </c>
      <c r="H110" s="26" t="n"/>
      <c r="I110" s="2" t="n"/>
      <c r="J110" s="1" t="n"/>
    </row>
    <row r="111">
      <c r="A111" s="1" t="n"/>
      <c r="B111" s="25" t="n"/>
      <c r="C111" s="26" t="n"/>
      <c r="D111" s="26" t="n"/>
      <c r="E111" s="28" t="n"/>
      <c r="F111" s="65">
        <f>IF(OR(D111="",E111=""),"",IFERROR(E111*INDEX(Catalogue!$E$7:$E$19,MATCH(D111,Catalogue!$B$7:$B$19,0)),"#N/A"))</f>
        <v/>
      </c>
      <c r="G111" s="64">
        <f>IF(OR(D111="",E111=""),"",IFERROR(E111*INDEX(Catalogue!$D$7:$D$19,MATCH(D111,Catalogue!$B$7:$B$19,0)),"#N/A"))</f>
        <v/>
      </c>
      <c r="H111" s="26" t="n"/>
      <c r="I111" s="2" t="n"/>
      <c r="J111" s="1" t="n"/>
    </row>
    <row r="112">
      <c r="A112" s="1" t="n"/>
      <c r="B112" s="25" t="n"/>
      <c r="C112" s="26" t="n"/>
      <c r="D112" s="26" t="n"/>
      <c r="E112" s="28" t="n"/>
      <c r="F112" s="65">
        <f>IF(OR(D112="",E112=""),"",IFERROR(E112*INDEX(Catalogue!$E$7:$E$19,MATCH(D112,Catalogue!$B$7:$B$19,0)),"#N/A"))</f>
        <v/>
      </c>
      <c r="G112" s="64">
        <f>IF(OR(D112="",E112=""),"",IFERROR(E112*INDEX(Catalogue!$D$7:$D$19,MATCH(D112,Catalogue!$B$7:$B$19,0)),"#N/A"))</f>
        <v/>
      </c>
      <c r="H112" s="26" t="n"/>
      <c r="I112" s="2" t="n"/>
      <c r="J112" s="1" t="n"/>
    </row>
    <row r="113">
      <c r="A113" s="1" t="n"/>
      <c r="B113" s="25" t="n"/>
      <c r="C113" s="26" t="n"/>
      <c r="D113" s="26" t="n"/>
      <c r="E113" s="28" t="n"/>
      <c r="F113" s="65">
        <f>IF(OR(D113="",E113=""),"",IFERROR(E113*INDEX(Catalogue!$E$7:$E$19,MATCH(D113,Catalogue!$B$7:$B$19,0)),"#N/A"))</f>
        <v/>
      </c>
      <c r="G113" s="64">
        <f>IF(OR(D113="",E113=""),"",IFERROR(E113*INDEX(Catalogue!$D$7:$D$19,MATCH(D113,Catalogue!$B$7:$B$19,0)),"#N/A"))</f>
        <v/>
      </c>
      <c r="H113" s="26" t="n"/>
      <c r="I113" s="2" t="n"/>
      <c r="J113" s="1" t="n"/>
    </row>
    <row r="114">
      <c r="A114" s="1" t="n"/>
      <c r="B114" s="25" t="n"/>
      <c r="C114" s="26" t="n"/>
      <c r="D114" s="26" t="n"/>
      <c r="E114" s="28" t="n"/>
      <c r="F114" s="65">
        <f>IF(OR(D114="",E114=""),"",IFERROR(E114*INDEX(Catalogue!$E$7:$E$19,MATCH(D114,Catalogue!$B$7:$B$19,0)),"#N/A"))</f>
        <v/>
      </c>
      <c r="G114" s="64">
        <f>IF(OR(D114="",E114=""),"",IFERROR(E114*INDEX(Catalogue!$D$7:$D$19,MATCH(D114,Catalogue!$B$7:$B$19,0)),"#N/A"))</f>
        <v/>
      </c>
      <c r="H114" s="26" t="n"/>
      <c r="I114" s="2" t="n"/>
      <c r="J114" s="1" t="n"/>
    </row>
    <row r="115">
      <c r="A115" s="1" t="n"/>
      <c r="B115" s="25" t="n"/>
      <c r="C115" s="26" t="n"/>
      <c r="D115" s="26" t="n"/>
      <c r="E115" s="28" t="n"/>
      <c r="F115" s="65">
        <f>IF(OR(D115="",E115=""),"",IFERROR(E115*INDEX(Catalogue!$E$7:$E$19,MATCH(D115,Catalogue!$B$7:$B$19,0)),"#N/A"))</f>
        <v/>
      </c>
      <c r="G115" s="64">
        <f>IF(OR(D115="",E115=""),"",IFERROR(E115*INDEX(Catalogue!$D$7:$D$19,MATCH(D115,Catalogue!$B$7:$B$19,0)),"#N/A"))</f>
        <v/>
      </c>
      <c r="H115" s="26" t="n"/>
      <c r="I115" s="2" t="n"/>
      <c r="J115" s="1" t="n"/>
    </row>
    <row r="116">
      <c r="A116" s="1" t="n"/>
      <c r="B116" s="25" t="n"/>
      <c r="C116" s="26" t="n"/>
      <c r="D116" s="26" t="n"/>
      <c r="E116" s="28" t="n"/>
      <c r="F116" s="65">
        <f>IF(OR(D116="",E116=""),"",IFERROR(E116*INDEX(Catalogue!$E$7:$E$19,MATCH(D116,Catalogue!$B$7:$B$19,0)),"#N/A"))</f>
        <v/>
      </c>
      <c r="G116" s="64">
        <f>IF(OR(D116="",E116=""),"",IFERROR(E116*INDEX(Catalogue!$D$7:$D$19,MATCH(D116,Catalogue!$B$7:$B$19,0)),"#N/A"))</f>
        <v/>
      </c>
      <c r="H116" s="26" t="n"/>
      <c r="I116" s="2" t="n"/>
      <c r="J116" s="1" t="n"/>
    </row>
    <row r="117">
      <c r="A117" s="1" t="n"/>
      <c r="B117" s="25" t="n"/>
      <c r="C117" s="26" t="n"/>
      <c r="D117" s="26" t="n"/>
      <c r="E117" s="28" t="n"/>
      <c r="F117" s="65">
        <f>IF(OR(D117="",E117=""),"",IFERROR(E117*INDEX(Catalogue!$E$7:$E$19,MATCH(D117,Catalogue!$B$7:$B$19,0)),"#N/A"))</f>
        <v/>
      </c>
      <c r="G117" s="64">
        <f>IF(OR(D117="",E117=""),"",IFERROR(E117*INDEX(Catalogue!$D$7:$D$19,MATCH(D117,Catalogue!$B$7:$B$19,0)),"#N/A"))</f>
        <v/>
      </c>
      <c r="H117" s="26" t="n"/>
      <c r="I117" s="2" t="n"/>
      <c r="J117" s="1" t="n"/>
    </row>
    <row r="118">
      <c r="A118" s="1" t="n"/>
      <c r="B118" s="25" t="n"/>
      <c r="C118" s="26" t="n"/>
      <c r="D118" s="26" t="n"/>
      <c r="E118" s="28" t="n"/>
      <c r="F118" s="65">
        <f>IF(OR(D118="",E118=""),"",IFERROR(E118*INDEX(Catalogue!$E$7:$E$19,MATCH(D118,Catalogue!$B$7:$B$19,0)),"#N/A"))</f>
        <v/>
      </c>
      <c r="G118" s="64">
        <f>IF(OR(D118="",E118=""),"",IFERROR(E118*INDEX(Catalogue!$D$7:$D$19,MATCH(D118,Catalogue!$B$7:$B$19,0)),"#N/A"))</f>
        <v/>
      </c>
      <c r="H118" s="26" t="n"/>
      <c r="I118" s="2" t="n"/>
      <c r="J118" s="1" t="n"/>
    </row>
    <row r="119">
      <c r="A119" s="1" t="n"/>
      <c r="B119" s="25" t="n"/>
      <c r="C119" s="26" t="n"/>
      <c r="D119" s="26" t="n"/>
      <c r="E119" s="28" t="n"/>
      <c r="F119" s="65">
        <f>IF(OR(D119="",E119=""),"",IFERROR(E119*INDEX(Catalogue!$E$7:$E$19,MATCH(D119,Catalogue!$B$7:$B$19,0)),"#N/A"))</f>
        <v/>
      </c>
      <c r="G119" s="64">
        <f>IF(OR(D119="",E119=""),"",IFERROR(E119*INDEX(Catalogue!$D$7:$D$19,MATCH(D119,Catalogue!$B$7:$B$19,0)),"#N/A"))</f>
        <v/>
      </c>
      <c r="H119" s="26" t="n"/>
      <c r="I119" s="2" t="n"/>
      <c r="J119" s="1" t="n"/>
    </row>
    <row r="120">
      <c r="A120" s="1" t="n"/>
      <c r="B120" s="25" t="n"/>
      <c r="C120" s="26" t="n"/>
      <c r="D120" s="26" t="n"/>
      <c r="E120" s="28" t="n"/>
      <c r="F120" s="65">
        <f>IF(OR(D120="",E120=""),"",IFERROR(E120*INDEX(Catalogue!$E$7:$E$19,MATCH(D120,Catalogue!$B$7:$B$19,0)),"#N/A"))</f>
        <v/>
      </c>
      <c r="G120" s="64">
        <f>IF(OR(D120="",E120=""),"",IFERROR(E120*INDEX(Catalogue!$D$7:$D$19,MATCH(D120,Catalogue!$B$7:$B$19,0)),"#N/A"))</f>
        <v/>
      </c>
      <c r="H120" s="26" t="n"/>
      <c r="I120" s="2" t="n"/>
      <c r="J120" s="1" t="n"/>
    </row>
    <row r="121">
      <c r="A121" s="1" t="n"/>
      <c r="B121" s="25" t="n"/>
      <c r="C121" s="26" t="n"/>
      <c r="D121" s="26" t="n"/>
      <c r="E121" s="28" t="n"/>
      <c r="F121" s="65">
        <f>IF(OR(D121="",E121=""),"",IFERROR(E121*INDEX(Catalogue!$E$7:$E$19,MATCH(D121,Catalogue!$B$7:$B$19,0)),"#N/A"))</f>
        <v/>
      </c>
      <c r="G121" s="64">
        <f>IF(OR(D121="",E121=""),"",IFERROR(E121*INDEX(Catalogue!$D$7:$D$19,MATCH(D121,Catalogue!$B$7:$B$19,0)),"#N/A"))</f>
        <v/>
      </c>
      <c r="H121" s="26" t="n"/>
      <c r="I121" s="2" t="n"/>
      <c r="J121" s="1" t="n"/>
    </row>
    <row r="122">
      <c r="A122" s="1" t="n"/>
      <c r="B122" s="25" t="n"/>
      <c r="C122" s="26" t="n"/>
      <c r="D122" s="26" t="n"/>
      <c r="E122" s="28" t="n"/>
      <c r="F122" s="65">
        <f>IF(OR(D122="",E122=""),"",IFERROR(E122*INDEX(Catalogue!$E$7:$E$19,MATCH(D122,Catalogue!$B$7:$B$19,0)),"#N/A"))</f>
        <v/>
      </c>
      <c r="G122" s="64">
        <f>IF(OR(D122="",E122=""),"",IFERROR(E122*INDEX(Catalogue!$D$7:$D$19,MATCH(D122,Catalogue!$B$7:$B$19,0)),"#N/A"))</f>
        <v/>
      </c>
      <c r="H122" s="26" t="n"/>
      <c r="I122" s="2" t="n"/>
      <c r="J122" s="1" t="n"/>
    </row>
    <row r="123">
      <c r="A123" s="1" t="n"/>
      <c r="B123" s="25" t="n"/>
      <c r="C123" s="26" t="n"/>
      <c r="D123" s="26" t="n"/>
      <c r="E123" s="28" t="n"/>
      <c r="F123" s="65">
        <f>IF(OR(D123="",E123=""),"",IFERROR(E123*INDEX(Catalogue!$E$7:$E$19,MATCH(D123,Catalogue!$B$7:$B$19,0)),"#N/A"))</f>
        <v/>
      </c>
      <c r="G123" s="64">
        <f>IF(OR(D123="",E123=""),"",IFERROR(E123*INDEX(Catalogue!$D$7:$D$19,MATCH(D123,Catalogue!$B$7:$B$19,0)),"#N/A"))</f>
        <v/>
      </c>
      <c r="H123" s="26" t="n"/>
      <c r="I123" s="2" t="n"/>
      <c r="J123" s="1" t="n"/>
    </row>
    <row r="124">
      <c r="A124" s="1" t="n"/>
      <c r="B124" s="25" t="n"/>
      <c r="C124" s="26" t="n"/>
      <c r="D124" s="26" t="n"/>
      <c r="E124" s="28" t="n"/>
      <c r="F124" s="65">
        <f>IF(OR(D124="",E124=""),"",IFERROR(E124*INDEX(Catalogue!$E$7:$E$19,MATCH(D124,Catalogue!$B$7:$B$19,0)),"#N/A"))</f>
        <v/>
      </c>
      <c r="G124" s="64">
        <f>IF(OR(D124="",E124=""),"",IFERROR(E124*INDEX(Catalogue!$D$7:$D$19,MATCH(D124,Catalogue!$B$7:$B$19,0)),"#N/A"))</f>
        <v/>
      </c>
      <c r="H124" s="26" t="n"/>
      <c r="I124" s="2" t="n"/>
      <c r="J124" s="1" t="n"/>
    </row>
    <row r="125">
      <c r="A125" s="1" t="n"/>
      <c r="B125" s="25" t="n"/>
      <c r="C125" s="26" t="n"/>
      <c r="D125" s="26" t="n"/>
      <c r="E125" s="28" t="n"/>
      <c r="F125" s="65">
        <f>IF(OR(D125="",E125=""),"",IFERROR(E125*INDEX(Catalogue!$E$7:$E$19,MATCH(D125,Catalogue!$B$7:$B$19,0)),"#N/A"))</f>
        <v/>
      </c>
      <c r="G125" s="64">
        <f>IF(OR(D125="",E125=""),"",IFERROR(E125*INDEX(Catalogue!$D$7:$D$19,MATCH(D125,Catalogue!$B$7:$B$19,0)),"#N/A"))</f>
        <v/>
      </c>
      <c r="H125" s="26" t="n"/>
      <c r="I125" s="2" t="n"/>
      <c r="J125" s="1" t="n"/>
    </row>
    <row r="126">
      <c r="A126" s="1" t="n"/>
      <c r="B126" s="25" t="n"/>
      <c r="C126" s="26" t="n"/>
      <c r="D126" s="26" t="n"/>
      <c r="E126" s="28" t="n"/>
      <c r="F126" s="65">
        <f>IF(OR(D126="",E126=""),"",IFERROR(E126*INDEX(Catalogue!$E$7:$E$19,MATCH(D126,Catalogue!$B$7:$B$19,0)),"#N/A"))</f>
        <v/>
      </c>
      <c r="G126" s="64">
        <f>IF(OR(D126="",E126=""),"",IFERROR(E126*INDEX(Catalogue!$D$7:$D$19,MATCH(D126,Catalogue!$B$7:$B$19,0)),"#N/A"))</f>
        <v/>
      </c>
      <c r="H126" s="26" t="n"/>
      <c r="I126" s="2" t="n"/>
      <c r="J126" s="1" t="n"/>
    </row>
    <row r="127">
      <c r="A127" s="1" t="n"/>
      <c r="B127" s="25" t="n"/>
      <c r="C127" s="26" t="n"/>
      <c r="D127" s="26" t="n"/>
      <c r="E127" s="28" t="n"/>
      <c r="F127" s="65">
        <f>IF(OR(D127="",E127=""),"",IFERROR(E127*INDEX(Catalogue!$E$7:$E$19,MATCH(D127,Catalogue!$B$7:$B$19,0)),"#N/A"))</f>
        <v/>
      </c>
      <c r="G127" s="64">
        <f>IF(OR(D127="",E127=""),"",IFERROR(E127*INDEX(Catalogue!$D$7:$D$19,MATCH(D127,Catalogue!$B$7:$B$19,0)),"#N/A"))</f>
        <v/>
      </c>
      <c r="H127" s="26" t="n"/>
      <c r="I127" s="2" t="n"/>
      <c r="J127" s="1" t="n"/>
    </row>
    <row r="128">
      <c r="A128" s="1" t="n"/>
      <c r="B128" s="25" t="n"/>
      <c r="C128" s="26" t="n"/>
      <c r="D128" s="26" t="n"/>
      <c r="E128" s="28" t="n"/>
      <c r="F128" s="65">
        <f>IF(OR(D128="",E128=""),"",IFERROR(E128*INDEX(Catalogue!$E$7:$E$19,MATCH(D128,Catalogue!$B$7:$B$19,0)),"#N/A"))</f>
        <v/>
      </c>
      <c r="G128" s="64">
        <f>IF(OR(D128="",E128=""),"",IFERROR(E128*INDEX(Catalogue!$D$7:$D$19,MATCH(D128,Catalogue!$B$7:$B$19,0)),"#N/A"))</f>
        <v/>
      </c>
      <c r="H128" s="26" t="n"/>
      <c r="I128" s="2" t="n"/>
      <c r="J128" s="1" t="n"/>
    </row>
    <row r="129">
      <c r="A129" s="1" t="n"/>
      <c r="B129" s="25" t="n"/>
      <c r="C129" s="26" t="n"/>
      <c r="D129" s="26" t="n"/>
      <c r="E129" s="28" t="n"/>
      <c r="F129" s="65">
        <f>IF(OR(D129="",E129=""),"",IFERROR(E129*INDEX(Catalogue!$E$7:$E$19,MATCH(D129,Catalogue!$B$7:$B$19,0)),"#N/A"))</f>
        <v/>
      </c>
      <c r="G129" s="64">
        <f>IF(OR(D129="",E129=""),"",IFERROR(E129*INDEX(Catalogue!$D$7:$D$19,MATCH(D129,Catalogue!$B$7:$B$19,0)),"#N/A"))</f>
        <v/>
      </c>
      <c r="H129" s="26" t="n"/>
      <c r="I129" s="2" t="n"/>
      <c r="J129" s="1" t="n"/>
    </row>
    <row r="130">
      <c r="A130" s="1" t="n"/>
      <c r="B130" s="25" t="n"/>
      <c r="C130" s="26" t="n"/>
      <c r="D130" s="26" t="n"/>
      <c r="E130" s="28" t="n"/>
      <c r="F130" s="65">
        <f>IF(OR(D130="",E130=""),"",IFERROR(E130*INDEX(Catalogue!$E$7:$E$19,MATCH(D130,Catalogue!$B$7:$B$19,0)),"#N/A"))</f>
        <v/>
      </c>
      <c r="G130" s="64">
        <f>IF(OR(D130="",E130=""),"",IFERROR(E130*INDEX(Catalogue!$D$7:$D$19,MATCH(D130,Catalogue!$B$7:$B$19,0)),"#N/A"))</f>
        <v/>
      </c>
      <c r="H130" s="26" t="n"/>
      <c r="I130" s="2" t="n"/>
      <c r="J130" s="1" t="n"/>
    </row>
    <row r="131">
      <c r="A131" s="1" t="n"/>
      <c r="B131" s="25" t="n"/>
      <c r="C131" s="26" t="n"/>
      <c r="D131" s="26" t="n"/>
      <c r="E131" s="28" t="n"/>
      <c r="F131" s="65">
        <f>IF(OR(D131="",E131=""),"",IFERROR(E131*INDEX(Catalogue!$E$7:$E$19,MATCH(D131,Catalogue!$B$7:$B$19,0)),"#N/A"))</f>
        <v/>
      </c>
      <c r="G131" s="64">
        <f>IF(OR(D131="",E131=""),"",IFERROR(E131*INDEX(Catalogue!$D$7:$D$19,MATCH(D131,Catalogue!$B$7:$B$19,0)),"#N/A"))</f>
        <v/>
      </c>
      <c r="H131" s="26" t="n"/>
      <c r="I131" s="2" t="n"/>
      <c r="J131" s="1" t="n"/>
    </row>
    <row r="132">
      <c r="A132" s="1" t="n"/>
      <c r="B132" s="25" t="n"/>
      <c r="C132" s="26" t="n"/>
      <c r="D132" s="26" t="n"/>
      <c r="E132" s="28" t="n"/>
      <c r="F132" s="65">
        <f>IF(OR(D132="",E132=""),"",IFERROR(E132*INDEX(Catalogue!$E$7:$E$19,MATCH(D132,Catalogue!$B$7:$B$19,0)),"#N/A"))</f>
        <v/>
      </c>
      <c r="G132" s="64">
        <f>IF(OR(D132="",E132=""),"",IFERROR(E132*INDEX(Catalogue!$D$7:$D$19,MATCH(D132,Catalogue!$B$7:$B$19,0)),"#N/A"))</f>
        <v/>
      </c>
      <c r="H132" s="26" t="n"/>
      <c r="I132" s="2" t="n"/>
      <c r="J132" s="1" t="n"/>
    </row>
    <row r="133">
      <c r="A133" s="1" t="n"/>
      <c r="B133" s="25" t="n"/>
      <c r="C133" s="26" t="n"/>
      <c r="D133" s="26" t="n"/>
      <c r="E133" s="28" t="n"/>
      <c r="F133" s="65">
        <f>IF(OR(D133="",E133=""),"",IFERROR(E133*INDEX(Catalogue!$E$7:$E$19,MATCH(D133,Catalogue!$B$7:$B$19,0)),"#N/A"))</f>
        <v/>
      </c>
      <c r="G133" s="64">
        <f>IF(OR(D133="",E133=""),"",IFERROR(E133*INDEX(Catalogue!$D$7:$D$19,MATCH(D133,Catalogue!$B$7:$B$19,0)),"#N/A"))</f>
        <v/>
      </c>
      <c r="H133" s="26" t="n"/>
      <c r="I133" s="2" t="n"/>
      <c r="J133" s="1" t="n"/>
    </row>
    <row r="134">
      <c r="A134" s="1" t="n"/>
      <c r="B134" s="25" t="n"/>
      <c r="C134" s="26" t="n"/>
      <c r="D134" s="26" t="n"/>
      <c r="E134" s="28" t="n"/>
      <c r="F134" s="65">
        <f>IF(OR(D134="",E134=""),"",IFERROR(E134*INDEX(Catalogue!$E$7:$E$19,MATCH(D134,Catalogue!$B$7:$B$19,0)),"#N/A"))</f>
        <v/>
      </c>
      <c r="G134" s="64">
        <f>IF(OR(D134="",E134=""),"",IFERROR(E134*INDEX(Catalogue!$D$7:$D$19,MATCH(D134,Catalogue!$B$7:$B$19,0)),"#N/A"))</f>
        <v/>
      </c>
      <c r="H134" s="26" t="n"/>
      <c r="I134" s="2" t="n"/>
      <c r="J134" s="1" t="n"/>
    </row>
    <row r="135">
      <c r="A135" s="1" t="n"/>
      <c r="B135" s="25" t="n"/>
      <c r="C135" s="26" t="n"/>
      <c r="D135" s="26" t="n"/>
      <c r="E135" s="28" t="n"/>
      <c r="F135" s="65">
        <f>IF(OR(D135="",E135=""),"",IFERROR(E135*INDEX(Catalogue!$E$7:$E$19,MATCH(D135,Catalogue!$B$7:$B$19,0)),"#N/A"))</f>
        <v/>
      </c>
      <c r="G135" s="64">
        <f>IF(OR(D135="",E135=""),"",IFERROR(E135*INDEX(Catalogue!$D$7:$D$19,MATCH(D135,Catalogue!$B$7:$B$19,0)),"#N/A"))</f>
        <v/>
      </c>
      <c r="H135" s="26" t="n"/>
      <c r="I135" s="2" t="n"/>
      <c r="J135" s="1" t="n"/>
    </row>
    <row r="136">
      <c r="A136" s="1" t="n"/>
      <c r="B136" s="25" t="n"/>
      <c r="C136" s="26" t="n"/>
      <c r="D136" s="26" t="n"/>
      <c r="E136" s="28" t="n"/>
      <c r="F136" s="65">
        <f>IF(OR(D136="",E136=""),"",IFERROR(E136*INDEX(Catalogue!$E$7:$E$19,MATCH(D136,Catalogue!$B$7:$B$19,0)),"#N/A"))</f>
        <v/>
      </c>
      <c r="G136" s="64">
        <f>IF(OR(D136="",E136=""),"",IFERROR(E136*INDEX(Catalogue!$D$7:$D$19,MATCH(D136,Catalogue!$B$7:$B$19,0)),"#N/A"))</f>
        <v/>
      </c>
      <c r="H136" s="26" t="n"/>
      <c r="I136" s="2" t="n"/>
      <c r="J136" s="1" t="n"/>
    </row>
    <row r="137">
      <c r="A137" s="1" t="n"/>
      <c r="B137" s="25" t="n"/>
      <c r="C137" s="26" t="n"/>
      <c r="D137" s="26" t="n"/>
      <c r="E137" s="28" t="n"/>
      <c r="F137" s="65">
        <f>IF(OR(D137="",E137=""),"",IFERROR(E137*INDEX(Catalogue!$E$7:$E$19,MATCH(D137,Catalogue!$B$7:$B$19,0)),"#N/A"))</f>
        <v/>
      </c>
      <c r="G137" s="64">
        <f>IF(OR(D137="",E137=""),"",IFERROR(E137*INDEX(Catalogue!$D$7:$D$19,MATCH(D137,Catalogue!$B$7:$B$19,0)),"#N/A"))</f>
        <v/>
      </c>
      <c r="H137" s="26" t="n"/>
      <c r="I137" s="2" t="n"/>
      <c r="J137" s="1" t="n"/>
    </row>
    <row r="138">
      <c r="A138" s="1" t="n"/>
      <c r="B138" s="25" t="n"/>
      <c r="C138" s="26" t="n"/>
      <c r="D138" s="26" t="n"/>
      <c r="E138" s="28" t="n"/>
      <c r="F138" s="65">
        <f>IF(OR(D138="",E138=""),"",IFERROR(E138*INDEX(Catalogue!$E$7:$E$19,MATCH(D138,Catalogue!$B$7:$B$19,0)),"#N/A"))</f>
        <v/>
      </c>
      <c r="G138" s="64">
        <f>IF(OR(D138="",E138=""),"",IFERROR(E138*INDEX(Catalogue!$D$7:$D$19,MATCH(D138,Catalogue!$B$7:$B$19,0)),"#N/A"))</f>
        <v/>
      </c>
      <c r="H138" s="26" t="n"/>
      <c r="I138" s="2" t="n"/>
      <c r="J138" s="1" t="n"/>
    </row>
    <row r="139">
      <c r="A139" s="1" t="n"/>
      <c r="B139" s="25" t="n"/>
      <c r="C139" s="26" t="n"/>
      <c r="D139" s="26" t="n"/>
      <c r="E139" s="28" t="n"/>
      <c r="F139" s="65">
        <f>IF(OR(D139="",E139=""),"",IFERROR(E139*INDEX(Catalogue!$E$7:$E$19,MATCH(D139,Catalogue!$B$7:$B$19,0)),"#N/A"))</f>
        <v/>
      </c>
      <c r="G139" s="64">
        <f>IF(OR(D139="",E139=""),"",IFERROR(E139*INDEX(Catalogue!$D$7:$D$19,MATCH(D139,Catalogue!$B$7:$B$19,0)),"#N/A"))</f>
        <v/>
      </c>
      <c r="H139" s="26" t="n"/>
      <c r="I139" s="2" t="n"/>
      <c r="J139" s="1" t="n"/>
    </row>
    <row r="140">
      <c r="A140" s="1" t="n"/>
      <c r="B140" s="25" t="n"/>
      <c r="C140" s="26" t="n"/>
      <c r="D140" s="26" t="n"/>
      <c r="E140" s="28" t="n"/>
      <c r="F140" s="65">
        <f>IF(OR(D140="",E140=""),"",IFERROR(E140*INDEX(Catalogue!$E$7:$E$19,MATCH(D140,Catalogue!$B$7:$B$19,0)),"#N/A"))</f>
        <v/>
      </c>
      <c r="G140" s="64">
        <f>IF(OR(D140="",E140=""),"",IFERROR(E140*INDEX(Catalogue!$D$7:$D$19,MATCH(D140,Catalogue!$B$7:$B$19,0)),"#N/A"))</f>
        <v/>
      </c>
      <c r="H140" s="26" t="n"/>
      <c r="I140" s="2" t="n"/>
      <c r="J140" s="1" t="n"/>
    </row>
    <row r="141">
      <c r="A141" s="1" t="n"/>
      <c r="B141" s="25" t="n"/>
      <c r="C141" s="26" t="n"/>
      <c r="D141" s="26" t="n"/>
      <c r="E141" s="28" t="n"/>
      <c r="F141" s="65">
        <f>IF(OR(D141="",E141=""),"",IFERROR(E141*INDEX(Catalogue!$E$7:$E$19,MATCH(D141,Catalogue!$B$7:$B$19,0)),"#N/A"))</f>
        <v/>
      </c>
      <c r="G141" s="64">
        <f>IF(OR(D141="",E141=""),"",IFERROR(E141*INDEX(Catalogue!$D$7:$D$19,MATCH(D141,Catalogue!$B$7:$B$19,0)),"#N/A"))</f>
        <v/>
      </c>
      <c r="H141" s="26" t="n"/>
      <c r="I141" s="2" t="n"/>
      <c r="J141" s="1" t="n"/>
    </row>
    <row r="142">
      <c r="A142" s="1" t="n"/>
      <c r="B142" s="25" t="n"/>
      <c r="C142" s="26" t="n"/>
      <c r="D142" s="26" t="n"/>
      <c r="E142" s="28" t="n"/>
      <c r="F142" s="65">
        <f>IF(OR(D142="",E142=""),"",IFERROR(E142*INDEX(Catalogue!$E$7:$E$19,MATCH(D142,Catalogue!$B$7:$B$19,0)),"#N/A"))</f>
        <v/>
      </c>
      <c r="G142" s="64">
        <f>IF(OR(D142="",E142=""),"",IFERROR(E142*INDEX(Catalogue!$D$7:$D$19,MATCH(D142,Catalogue!$B$7:$B$19,0)),"#N/A"))</f>
        <v/>
      </c>
      <c r="H142" s="26" t="n"/>
      <c r="I142" s="2" t="n"/>
      <c r="J142" s="1" t="n"/>
    </row>
    <row r="143">
      <c r="A143" s="1" t="n"/>
      <c r="B143" s="25" t="n"/>
      <c r="C143" s="26" t="n"/>
      <c r="D143" s="26" t="n"/>
      <c r="E143" s="28" t="n"/>
      <c r="F143" s="65">
        <f>IF(OR(D143="",E143=""),"",IFERROR(E143*INDEX(Catalogue!$E$7:$E$19,MATCH(D143,Catalogue!$B$7:$B$19,0)),"#N/A"))</f>
        <v/>
      </c>
      <c r="G143" s="64">
        <f>IF(OR(D143="",E143=""),"",IFERROR(E143*INDEX(Catalogue!$D$7:$D$19,MATCH(D143,Catalogue!$B$7:$B$19,0)),"#N/A"))</f>
        <v/>
      </c>
      <c r="H143" s="26" t="n"/>
      <c r="I143" s="2" t="n"/>
      <c r="J143" s="1" t="n"/>
    </row>
    <row r="144">
      <c r="A144" s="1" t="n"/>
      <c r="B144" s="25" t="n"/>
      <c r="C144" s="26" t="n"/>
      <c r="D144" s="26" t="n"/>
      <c r="E144" s="28" t="n"/>
      <c r="F144" s="65">
        <f>IF(OR(D144="",E144=""),"",IFERROR(E144*INDEX(Catalogue!$E$7:$E$19,MATCH(D144,Catalogue!$B$7:$B$19,0)),"#N/A"))</f>
        <v/>
      </c>
      <c r="G144" s="64">
        <f>IF(OR(D144="",E144=""),"",IFERROR(E144*INDEX(Catalogue!$D$7:$D$19,MATCH(D144,Catalogue!$B$7:$B$19,0)),"#N/A"))</f>
        <v/>
      </c>
      <c r="H144" s="26" t="n"/>
      <c r="I144" s="2" t="n"/>
      <c r="J144" s="1" t="n"/>
    </row>
    <row r="145">
      <c r="A145" s="1" t="n"/>
      <c r="B145" s="25" t="n"/>
      <c r="C145" s="26" t="n"/>
      <c r="D145" s="26" t="n"/>
      <c r="E145" s="28" t="n"/>
      <c r="F145" s="65">
        <f>IF(OR(D145="",E145=""),"",IFERROR(E145*INDEX(Catalogue!$E$7:$E$19,MATCH(D145,Catalogue!$B$7:$B$19,0)),"#N/A"))</f>
        <v/>
      </c>
      <c r="G145" s="64">
        <f>IF(OR(D145="",E145=""),"",IFERROR(E145*INDEX(Catalogue!$D$7:$D$19,MATCH(D145,Catalogue!$B$7:$B$19,0)),"#N/A"))</f>
        <v/>
      </c>
      <c r="H145" s="26" t="n"/>
      <c r="I145" s="2" t="n"/>
      <c r="J145" s="1" t="n"/>
    </row>
    <row r="146">
      <c r="A146" s="1" t="n"/>
      <c r="B146" s="25" t="n"/>
      <c r="C146" s="26" t="n"/>
      <c r="D146" s="26" t="n"/>
      <c r="E146" s="28" t="n"/>
      <c r="F146" s="65">
        <f>IF(OR(D146="",E146=""),"",IFERROR(E146*INDEX(Catalogue!$E$7:$E$19,MATCH(D146,Catalogue!$B$7:$B$19,0)),"#N/A"))</f>
        <v/>
      </c>
      <c r="G146" s="64">
        <f>IF(OR(D146="",E146=""),"",IFERROR(E146*INDEX(Catalogue!$D$7:$D$19,MATCH(D146,Catalogue!$B$7:$B$19,0)),"#N/A"))</f>
        <v/>
      </c>
      <c r="H146" s="26" t="n"/>
      <c r="I146" s="2" t="n"/>
      <c r="J146" s="1" t="n"/>
    </row>
    <row r="147">
      <c r="A147" s="1" t="n"/>
      <c r="B147" s="25" t="n"/>
      <c r="C147" s="26" t="n"/>
      <c r="D147" s="26" t="n"/>
      <c r="E147" s="28" t="n"/>
      <c r="F147" s="65">
        <f>IF(OR(D147="",E147=""),"",IFERROR(E147*INDEX(Catalogue!$E$7:$E$19,MATCH(D147,Catalogue!$B$7:$B$19,0)),"#N/A"))</f>
        <v/>
      </c>
      <c r="G147" s="64">
        <f>IF(OR(D147="",E147=""),"",IFERROR(E147*INDEX(Catalogue!$D$7:$D$19,MATCH(D147,Catalogue!$B$7:$B$19,0)),"#N/A"))</f>
        <v/>
      </c>
      <c r="H147" s="26" t="n"/>
      <c r="I147" s="2" t="n"/>
      <c r="J147" s="1" t="n"/>
    </row>
    <row r="148">
      <c r="A148" s="1" t="n"/>
      <c r="B148" s="25" t="n"/>
      <c r="C148" s="26" t="n"/>
      <c r="D148" s="26" t="n"/>
      <c r="E148" s="28" t="n"/>
      <c r="F148" s="65">
        <f>IF(OR(D148="",E148=""),"",IFERROR(E148*INDEX(Catalogue!$E$7:$E$19,MATCH(D148,Catalogue!$B$7:$B$19,0)),"#N/A"))</f>
        <v/>
      </c>
      <c r="G148" s="64">
        <f>IF(OR(D148="",E148=""),"",IFERROR(E148*INDEX(Catalogue!$D$7:$D$19,MATCH(D148,Catalogue!$B$7:$B$19,0)),"#N/A"))</f>
        <v/>
      </c>
      <c r="H148" s="26" t="n"/>
      <c r="I148" s="2" t="n"/>
      <c r="J148" s="1" t="n"/>
    </row>
    <row r="149">
      <c r="A149" s="1" t="n"/>
      <c r="B149" s="25" t="n"/>
      <c r="C149" s="26" t="n"/>
      <c r="D149" s="26" t="n"/>
      <c r="E149" s="28" t="n"/>
      <c r="F149" s="65">
        <f>IF(OR(D149="",E149=""),"",IFERROR(E149*INDEX(Catalogue!$E$7:$E$19,MATCH(D149,Catalogue!$B$7:$B$19,0)),"#N/A"))</f>
        <v/>
      </c>
      <c r="G149" s="64">
        <f>IF(OR(D149="",E149=""),"",IFERROR(E149*INDEX(Catalogue!$D$7:$D$19,MATCH(D149,Catalogue!$B$7:$B$19,0)),"#N/A"))</f>
        <v/>
      </c>
      <c r="H149" s="26" t="n"/>
      <c r="I149" s="2" t="n"/>
      <c r="J149" s="1" t="n"/>
    </row>
    <row r="150">
      <c r="A150" s="1" t="n"/>
      <c r="B150" s="25" t="n"/>
      <c r="C150" s="26" t="n"/>
      <c r="D150" s="26" t="n"/>
      <c r="E150" s="28" t="n"/>
      <c r="F150" s="65">
        <f>IF(OR(D150="",E150=""),"",IFERROR(E150*INDEX(Catalogue!$E$7:$E$19,MATCH(D150,Catalogue!$B$7:$B$19,0)),"#N/A"))</f>
        <v/>
      </c>
      <c r="G150" s="64">
        <f>IF(OR(D150="",E150=""),"",IFERROR(E150*INDEX(Catalogue!$D$7:$D$19,MATCH(D150,Catalogue!$B$7:$B$19,0)),"#N/A"))</f>
        <v/>
      </c>
      <c r="H150" s="26" t="n"/>
      <c r="I150" s="2" t="n"/>
      <c r="J150" s="1" t="n"/>
    </row>
    <row r="151">
      <c r="A151" s="1" t="n"/>
      <c r="B151" s="25" t="n"/>
      <c r="C151" s="26" t="n"/>
      <c r="D151" s="26" t="n"/>
      <c r="E151" s="28" t="n"/>
      <c r="F151" s="65">
        <f>IF(OR(D151="",E151=""),"",IFERROR(E151*INDEX(Catalogue!$E$7:$E$19,MATCH(D151,Catalogue!$B$7:$B$19,0)),"#N/A"))</f>
        <v/>
      </c>
      <c r="G151" s="64">
        <f>IF(OR(D151="",E151=""),"",IFERROR(E151*INDEX(Catalogue!$D$7:$D$19,MATCH(D151,Catalogue!$B$7:$B$19,0)),"#N/A"))</f>
        <v/>
      </c>
      <c r="H151" s="26" t="n"/>
      <c r="I151" s="2" t="n"/>
      <c r="J151" s="1" t="n"/>
    </row>
    <row r="152">
      <c r="A152" s="1" t="n"/>
      <c r="B152" s="25" t="n"/>
      <c r="C152" s="26" t="n"/>
      <c r="D152" s="26" t="n"/>
      <c r="E152" s="28" t="n"/>
      <c r="F152" s="65">
        <f>IF(OR(D152="",E152=""),"",IFERROR(E152*INDEX(Catalogue!$E$7:$E$19,MATCH(D152,Catalogue!$B$7:$B$19,0)),"#N/A"))</f>
        <v/>
      </c>
      <c r="G152" s="64">
        <f>IF(OR(D152="",E152=""),"",IFERROR(E152*INDEX(Catalogue!$D$7:$D$19,MATCH(D152,Catalogue!$B$7:$B$19,0)),"#N/A"))</f>
        <v/>
      </c>
      <c r="H152" s="26" t="n"/>
      <c r="I152" s="2" t="n"/>
      <c r="J152" s="1" t="n"/>
    </row>
    <row r="153">
      <c r="A153" s="1" t="n"/>
      <c r="B153" s="25" t="n"/>
      <c r="C153" s="26" t="n"/>
      <c r="D153" s="26" t="n"/>
      <c r="E153" s="28" t="n"/>
      <c r="F153" s="65">
        <f>IF(OR(D153="",E153=""),"",IFERROR(E153*INDEX(Catalogue!$E$7:$E$19,MATCH(D153,Catalogue!$B$7:$B$19,0)),"#N/A"))</f>
        <v/>
      </c>
      <c r="G153" s="64">
        <f>IF(OR(D153="",E153=""),"",IFERROR(E153*INDEX(Catalogue!$D$7:$D$19,MATCH(D153,Catalogue!$B$7:$B$19,0)),"#N/A"))</f>
        <v/>
      </c>
      <c r="H153" s="26" t="n"/>
      <c r="I153" s="2" t="n"/>
      <c r="J153" s="1" t="n"/>
    </row>
    <row r="154">
      <c r="A154" s="1" t="n"/>
      <c r="B154" s="25" t="n"/>
      <c r="C154" s="26" t="n"/>
      <c r="D154" s="26" t="n"/>
      <c r="E154" s="28" t="n"/>
      <c r="F154" s="65">
        <f>IF(OR(D154="",E154=""),"",IFERROR(E154*INDEX(Catalogue!$E$7:$E$19,MATCH(D154,Catalogue!$B$7:$B$19,0)),"#N/A"))</f>
        <v/>
      </c>
      <c r="G154" s="64">
        <f>IF(OR(D154="",E154=""),"",IFERROR(E154*INDEX(Catalogue!$D$7:$D$19,MATCH(D154,Catalogue!$B$7:$B$19,0)),"#N/A"))</f>
        <v/>
      </c>
      <c r="H154" s="26" t="n"/>
      <c r="I154" s="2" t="n"/>
      <c r="J154" s="1" t="n"/>
    </row>
    <row r="155">
      <c r="A155" s="1" t="n"/>
      <c r="B155" s="25" t="n"/>
      <c r="C155" s="26" t="n"/>
      <c r="D155" s="26" t="n"/>
      <c r="E155" s="28" t="n"/>
      <c r="F155" s="65">
        <f>IF(OR(D155="",E155=""),"",IFERROR(E155*INDEX(Catalogue!$E$7:$E$19,MATCH(D155,Catalogue!$B$7:$B$19,0)),"#N/A"))</f>
        <v/>
      </c>
      <c r="G155" s="64">
        <f>IF(OR(D155="",E155=""),"",IFERROR(E155*INDEX(Catalogue!$D$7:$D$19,MATCH(D155,Catalogue!$B$7:$B$19,0)),"#N/A"))</f>
        <v/>
      </c>
      <c r="H155" s="26" t="n"/>
      <c r="I155" s="2" t="n"/>
      <c r="J155" s="1" t="n"/>
    </row>
    <row r="156">
      <c r="A156" s="1" t="n"/>
      <c r="B156" s="25" t="n"/>
      <c r="C156" s="26" t="n"/>
      <c r="D156" s="26" t="n"/>
      <c r="E156" s="28" t="n"/>
      <c r="F156" s="65">
        <f>IF(OR(D156="",E156=""),"",IFERROR(E156*INDEX(Catalogue!$E$7:$E$19,MATCH(D156,Catalogue!$B$7:$B$19,0)),"#N/A"))</f>
        <v/>
      </c>
      <c r="G156" s="64">
        <f>IF(OR(D156="",E156=""),"",IFERROR(E156*INDEX(Catalogue!$D$7:$D$19,MATCH(D156,Catalogue!$B$7:$B$19,0)),"#N/A"))</f>
        <v/>
      </c>
      <c r="H156" s="26" t="n"/>
      <c r="I156" s="2" t="n"/>
      <c r="J156" s="1" t="n"/>
    </row>
    <row r="157">
      <c r="A157" s="1" t="n"/>
      <c r="B157" s="25" t="n"/>
      <c r="C157" s="26" t="n"/>
      <c r="D157" s="26" t="n"/>
      <c r="E157" s="28" t="n"/>
      <c r="F157" s="65">
        <f>IF(OR(D157="",E157=""),"",IFERROR(E157*INDEX(Catalogue!$E$7:$E$19,MATCH(D157,Catalogue!$B$7:$B$19,0)),"#N/A"))</f>
        <v/>
      </c>
      <c r="G157" s="64">
        <f>IF(OR(D157="",E157=""),"",IFERROR(E157*INDEX(Catalogue!$D$7:$D$19,MATCH(D157,Catalogue!$B$7:$B$19,0)),"#N/A"))</f>
        <v/>
      </c>
      <c r="H157" s="26" t="n"/>
      <c r="I157" s="2" t="n"/>
      <c r="J157" s="1" t="n"/>
    </row>
    <row r="158">
      <c r="A158" s="1" t="n"/>
      <c r="B158" s="25" t="n"/>
      <c r="C158" s="26" t="n"/>
      <c r="D158" s="26" t="n"/>
      <c r="E158" s="28" t="n"/>
      <c r="F158" s="65">
        <f>IF(OR(D158="",E158=""),"",IFERROR(E158*INDEX(Catalogue!$E$7:$E$19,MATCH(D158,Catalogue!$B$7:$B$19,0)),"#N/A"))</f>
        <v/>
      </c>
      <c r="G158" s="64">
        <f>IF(OR(D158="",E158=""),"",IFERROR(E158*INDEX(Catalogue!$D$7:$D$19,MATCH(D158,Catalogue!$B$7:$B$19,0)),"#N/A"))</f>
        <v/>
      </c>
      <c r="H158" s="26" t="n"/>
      <c r="I158" s="2" t="n"/>
      <c r="J158" s="1" t="n"/>
    </row>
    <row r="159">
      <c r="A159" s="1" t="n"/>
      <c r="B159" s="25" t="n"/>
      <c r="C159" s="26" t="n"/>
      <c r="D159" s="26" t="n"/>
      <c r="E159" s="28" t="n"/>
      <c r="F159" s="65">
        <f>IF(OR(D159="",E159=""),"",IFERROR(E159*INDEX(Catalogue!$E$7:$E$19,MATCH(D159,Catalogue!$B$7:$B$19,0)),"#N/A"))</f>
        <v/>
      </c>
      <c r="G159" s="64">
        <f>IF(OR(D159="",E159=""),"",IFERROR(E159*INDEX(Catalogue!$D$7:$D$19,MATCH(D159,Catalogue!$B$7:$B$19,0)),"#N/A"))</f>
        <v/>
      </c>
      <c r="H159" s="26" t="n"/>
      <c r="I159" s="2" t="n"/>
      <c r="J159" s="1" t="n"/>
    </row>
    <row r="160">
      <c r="A160" s="1" t="n"/>
      <c r="B160" s="25" t="n"/>
      <c r="C160" s="26" t="n"/>
      <c r="D160" s="26" t="n"/>
      <c r="E160" s="28" t="n"/>
      <c r="F160" s="65">
        <f>IF(OR(D160="",E160=""),"",IFERROR(E160*INDEX(Catalogue!$E$7:$E$19,MATCH(D160,Catalogue!$B$7:$B$19,0)),"#N/A"))</f>
        <v/>
      </c>
      <c r="G160" s="64">
        <f>IF(OR(D160="",E160=""),"",IFERROR(E160*INDEX(Catalogue!$D$7:$D$19,MATCH(D160,Catalogue!$B$7:$B$19,0)),"#N/A"))</f>
        <v/>
      </c>
      <c r="H160" s="26" t="n"/>
      <c r="I160" s="2" t="n"/>
      <c r="J160" s="1" t="n"/>
    </row>
    <row r="161">
      <c r="A161" s="1" t="n"/>
      <c r="B161" s="25" t="n"/>
      <c r="C161" s="26" t="n"/>
      <c r="D161" s="26" t="n"/>
      <c r="E161" s="28" t="n"/>
      <c r="F161" s="65">
        <f>IF(OR(D161="",E161=""),"",IFERROR(E161*INDEX(Catalogue!$E$7:$E$19,MATCH(D161,Catalogue!$B$7:$B$19,0)),"#N/A"))</f>
        <v/>
      </c>
      <c r="G161" s="64">
        <f>IF(OR(D161="",E161=""),"",IFERROR(E161*INDEX(Catalogue!$D$7:$D$19,MATCH(D161,Catalogue!$B$7:$B$19,0)),"#N/A"))</f>
        <v/>
      </c>
      <c r="H161" s="26" t="n"/>
      <c r="I161" s="2" t="n"/>
      <c r="J161" s="1" t="n"/>
    </row>
    <row r="162">
      <c r="A162" s="1" t="n"/>
      <c r="B162" s="25" t="n"/>
      <c r="C162" s="26" t="n"/>
      <c r="D162" s="26" t="n"/>
      <c r="E162" s="28" t="n"/>
      <c r="F162" s="65">
        <f>IF(OR(D162="",E162=""),"",IFERROR(E162*INDEX(Catalogue!$E$7:$E$19,MATCH(D162,Catalogue!$B$7:$B$19,0)),"#N/A"))</f>
        <v/>
      </c>
      <c r="G162" s="64">
        <f>IF(OR(D162="",E162=""),"",IFERROR(E162*INDEX(Catalogue!$D$7:$D$19,MATCH(D162,Catalogue!$B$7:$B$19,0)),"#N/A"))</f>
        <v/>
      </c>
      <c r="H162" s="26" t="n"/>
      <c r="I162" s="2" t="n"/>
      <c r="J162" s="1" t="n"/>
    </row>
    <row r="163">
      <c r="A163" s="1" t="n"/>
      <c r="B163" s="25" t="n"/>
      <c r="C163" s="26" t="n"/>
      <c r="D163" s="26" t="n"/>
      <c r="E163" s="28" t="n"/>
      <c r="F163" s="65">
        <f>IF(OR(D163="",E163=""),"",IFERROR(E163*INDEX(Catalogue!$E$7:$E$19,MATCH(D163,Catalogue!$B$7:$B$19,0)),"#N/A"))</f>
        <v/>
      </c>
      <c r="G163" s="64">
        <f>IF(OR(D163="",E163=""),"",IFERROR(E163*INDEX(Catalogue!$D$7:$D$19,MATCH(D163,Catalogue!$B$7:$B$19,0)),"#N/A"))</f>
        <v/>
      </c>
      <c r="H163" s="26" t="n"/>
      <c r="I163" s="2" t="n"/>
      <c r="J163" s="1" t="n"/>
    </row>
    <row r="164">
      <c r="A164" s="1" t="n"/>
      <c r="B164" s="25" t="n"/>
      <c r="C164" s="26" t="n"/>
      <c r="D164" s="26" t="n"/>
      <c r="E164" s="28" t="n"/>
      <c r="F164" s="65">
        <f>IF(OR(D164="",E164=""),"",IFERROR(E164*INDEX(Catalogue!$E$7:$E$19,MATCH(D164,Catalogue!$B$7:$B$19,0)),"#N/A"))</f>
        <v/>
      </c>
      <c r="G164" s="64">
        <f>IF(OR(D164="",E164=""),"",IFERROR(E164*INDEX(Catalogue!$D$7:$D$19,MATCH(D164,Catalogue!$B$7:$B$19,0)),"#N/A"))</f>
        <v/>
      </c>
      <c r="H164" s="26" t="n"/>
      <c r="I164" s="2" t="n"/>
      <c r="J164" s="1" t="n"/>
    </row>
    <row r="165">
      <c r="A165" s="1" t="n"/>
      <c r="B165" s="25" t="n"/>
      <c r="C165" s="26" t="n"/>
      <c r="D165" s="26" t="n"/>
      <c r="E165" s="28" t="n"/>
      <c r="F165" s="65">
        <f>IF(OR(D165="",E165=""),"",IFERROR(E165*INDEX(Catalogue!$E$7:$E$19,MATCH(D165,Catalogue!$B$7:$B$19,0)),"#N/A"))</f>
        <v/>
      </c>
      <c r="G165" s="64">
        <f>IF(OR(D165="",E165=""),"",IFERROR(E165*INDEX(Catalogue!$D$7:$D$19,MATCH(D165,Catalogue!$B$7:$B$19,0)),"#N/A"))</f>
        <v/>
      </c>
      <c r="H165" s="26" t="n"/>
      <c r="I165" s="2" t="n"/>
      <c r="J165" s="1" t="n"/>
    </row>
    <row r="166">
      <c r="A166" s="1" t="n"/>
      <c r="B166" s="25" t="n"/>
      <c r="C166" s="26" t="n"/>
      <c r="D166" s="26" t="n"/>
      <c r="E166" s="28" t="n"/>
      <c r="F166" s="65">
        <f>IF(OR(D166="",E166=""),"",IFERROR(E166*INDEX(Catalogue!$E$7:$E$19,MATCH(D166,Catalogue!$B$7:$B$19,0)),"#N/A"))</f>
        <v/>
      </c>
      <c r="G166" s="64">
        <f>IF(OR(D166="",E166=""),"",IFERROR(E166*INDEX(Catalogue!$D$7:$D$19,MATCH(D166,Catalogue!$B$7:$B$19,0)),"#N/A"))</f>
        <v/>
      </c>
      <c r="H166" s="26" t="n"/>
      <c r="I166" s="2" t="n"/>
      <c r="J166" s="1" t="n"/>
    </row>
    <row r="167">
      <c r="A167" s="1" t="n"/>
      <c r="B167" s="25" t="n"/>
      <c r="C167" s="26" t="n"/>
      <c r="D167" s="26" t="n"/>
      <c r="E167" s="28" t="n"/>
      <c r="F167" s="65">
        <f>IF(OR(D167="",E167=""),"",IFERROR(E167*INDEX(Catalogue!$E$7:$E$19,MATCH(D167,Catalogue!$B$7:$B$19,0)),"#N/A"))</f>
        <v/>
      </c>
      <c r="G167" s="64">
        <f>IF(OR(D167="",E167=""),"",IFERROR(E167*INDEX(Catalogue!$D$7:$D$19,MATCH(D167,Catalogue!$B$7:$B$19,0)),"#N/A"))</f>
        <v/>
      </c>
      <c r="H167" s="26" t="n"/>
      <c r="I167" s="2" t="n"/>
      <c r="J167" s="1" t="n"/>
    </row>
    <row r="168">
      <c r="A168" s="1" t="n"/>
      <c r="B168" s="25" t="n"/>
      <c r="C168" s="26" t="n"/>
      <c r="D168" s="26" t="n"/>
      <c r="E168" s="28" t="n"/>
      <c r="F168" s="65">
        <f>IF(OR(D168="",E168=""),"",IFERROR(E168*INDEX(Catalogue!$E$7:$E$19,MATCH(D168,Catalogue!$B$7:$B$19,0)),"#N/A"))</f>
        <v/>
      </c>
      <c r="G168" s="64">
        <f>IF(OR(D168="",E168=""),"",IFERROR(E168*INDEX(Catalogue!$D$7:$D$19,MATCH(D168,Catalogue!$B$7:$B$19,0)),"#N/A"))</f>
        <v/>
      </c>
      <c r="H168" s="26" t="n"/>
      <c r="I168" s="2" t="n"/>
      <c r="J168" s="1" t="n"/>
    </row>
    <row r="169">
      <c r="A169" s="1" t="n"/>
      <c r="B169" s="25" t="n"/>
      <c r="C169" s="26" t="n"/>
      <c r="D169" s="26" t="n"/>
      <c r="E169" s="28" t="n"/>
      <c r="F169" s="65">
        <f>IF(OR(D169="",E169=""),"",IFERROR(E169*INDEX(Catalogue!$E$7:$E$19,MATCH(D169,Catalogue!$B$7:$B$19,0)),"#N/A"))</f>
        <v/>
      </c>
      <c r="G169" s="64">
        <f>IF(OR(D169="",E169=""),"",IFERROR(E169*INDEX(Catalogue!$D$7:$D$19,MATCH(D169,Catalogue!$B$7:$B$19,0)),"#N/A"))</f>
        <v/>
      </c>
      <c r="H169" s="26" t="n"/>
      <c r="I169" s="2" t="n"/>
      <c r="J169" s="1" t="n"/>
    </row>
    <row r="170">
      <c r="A170" s="1" t="n"/>
      <c r="B170" s="25" t="n"/>
      <c r="C170" s="26" t="n"/>
      <c r="D170" s="26" t="n"/>
      <c r="E170" s="28" t="n"/>
      <c r="F170" s="65">
        <f>IF(OR(D170="",E170=""),"",IFERROR(E170*INDEX(Catalogue!$E$7:$E$19,MATCH(D170,Catalogue!$B$7:$B$19,0)),"#N/A"))</f>
        <v/>
      </c>
      <c r="G170" s="64">
        <f>IF(OR(D170="",E170=""),"",IFERROR(E170*INDEX(Catalogue!$D$7:$D$19,MATCH(D170,Catalogue!$B$7:$B$19,0)),"#N/A"))</f>
        <v/>
      </c>
      <c r="H170" s="26" t="n"/>
      <c r="I170" s="2" t="n"/>
      <c r="J170" s="1" t="n"/>
    </row>
    <row r="171">
      <c r="A171" s="1" t="n"/>
      <c r="B171" s="25" t="n"/>
      <c r="C171" s="26" t="n"/>
      <c r="D171" s="26" t="n"/>
      <c r="E171" s="28" t="n"/>
      <c r="F171" s="65">
        <f>IF(OR(D171="",E171=""),"",IFERROR(E171*INDEX(Catalogue!$E$7:$E$19,MATCH(D171,Catalogue!$B$7:$B$19,0)),"#N/A"))</f>
        <v/>
      </c>
      <c r="G171" s="64">
        <f>IF(OR(D171="",E171=""),"",IFERROR(E171*INDEX(Catalogue!$D$7:$D$19,MATCH(D171,Catalogue!$B$7:$B$19,0)),"#N/A"))</f>
        <v/>
      </c>
      <c r="H171" s="26" t="n"/>
      <c r="I171" s="2" t="n"/>
      <c r="J171" s="1" t="n"/>
    </row>
    <row r="172">
      <c r="A172" s="1" t="n"/>
      <c r="B172" s="25" t="n"/>
      <c r="C172" s="26" t="n"/>
      <c r="D172" s="26" t="n"/>
      <c r="E172" s="28" t="n"/>
      <c r="F172" s="65">
        <f>IF(OR(D172="",E172=""),"",IFERROR(E172*INDEX(Catalogue!$E$7:$E$19,MATCH(D172,Catalogue!$B$7:$B$19,0)),"#N/A"))</f>
        <v/>
      </c>
      <c r="G172" s="64">
        <f>IF(OR(D172="",E172=""),"",IFERROR(E172*INDEX(Catalogue!$D$7:$D$19,MATCH(D172,Catalogue!$B$7:$B$19,0)),"#N/A"))</f>
        <v/>
      </c>
      <c r="H172" s="26" t="n"/>
      <c r="I172" s="2" t="n"/>
      <c r="J172" s="1" t="n"/>
    </row>
    <row r="173">
      <c r="A173" s="1" t="n"/>
      <c r="B173" s="25" t="n"/>
      <c r="C173" s="26" t="n"/>
      <c r="D173" s="26" t="n"/>
      <c r="E173" s="28" t="n"/>
      <c r="F173" s="65">
        <f>IF(OR(D173="",E173=""),"",IFERROR(E173*INDEX(Catalogue!$E$7:$E$19,MATCH(D173,Catalogue!$B$7:$B$19,0)),"#N/A"))</f>
        <v/>
      </c>
      <c r="G173" s="64">
        <f>IF(OR(D173="",E173=""),"",IFERROR(E173*INDEX(Catalogue!$D$7:$D$19,MATCH(D173,Catalogue!$B$7:$B$19,0)),"#N/A"))</f>
        <v/>
      </c>
      <c r="H173" s="26" t="n"/>
      <c r="I173" s="2" t="n"/>
      <c r="J173" s="1" t="n"/>
    </row>
    <row r="174">
      <c r="A174" s="1" t="n"/>
      <c r="B174" s="25" t="n"/>
      <c r="C174" s="26" t="n"/>
      <c r="D174" s="26" t="n"/>
      <c r="E174" s="28" t="n"/>
      <c r="F174" s="65">
        <f>IF(OR(D174="",E174=""),"",IFERROR(E174*INDEX(Catalogue!$E$7:$E$19,MATCH(D174,Catalogue!$B$7:$B$19,0)),"#N/A"))</f>
        <v/>
      </c>
      <c r="G174" s="64">
        <f>IF(OR(D174="",E174=""),"",IFERROR(E174*INDEX(Catalogue!$D$7:$D$19,MATCH(D174,Catalogue!$B$7:$B$19,0)),"#N/A"))</f>
        <v/>
      </c>
      <c r="H174" s="26" t="n"/>
      <c r="I174" s="2" t="n"/>
      <c r="J174" s="1" t="n"/>
    </row>
    <row r="175">
      <c r="A175" s="1" t="n"/>
      <c r="B175" s="25" t="n"/>
      <c r="C175" s="26" t="n"/>
      <c r="D175" s="26" t="n"/>
      <c r="E175" s="28" t="n"/>
      <c r="F175" s="65">
        <f>IF(OR(D175="",E175=""),"",IFERROR(E175*INDEX(Catalogue!$E$7:$E$19,MATCH(D175,Catalogue!$B$7:$B$19,0)),"#N/A"))</f>
        <v/>
      </c>
      <c r="G175" s="64">
        <f>IF(OR(D175="",E175=""),"",IFERROR(E175*INDEX(Catalogue!$D$7:$D$19,MATCH(D175,Catalogue!$B$7:$B$19,0)),"#N/A"))</f>
        <v/>
      </c>
      <c r="H175" s="26" t="n"/>
      <c r="I175" s="2" t="n"/>
      <c r="J175" s="1" t="n"/>
    </row>
    <row r="176">
      <c r="A176" s="1" t="n"/>
      <c r="B176" s="25" t="n"/>
      <c r="C176" s="26" t="n"/>
      <c r="D176" s="26" t="n"/>
      <c r="E176" s="28" t="n"/>
      <c r="F176" s="65">
        <f>IF(OR(D176="",E176=""),"",IFERROR(E176*INDEX(Catalogue!$E$7:$E$19,MATCH(D176,Catalogue!$B$7:$B$19,0)),"#N/A"))</f>
        <v/>
      </c>
      <c r="G176" s="64">
        <f>IF(OR(D176="",E176=""),"",IFERROR(E176*INDEX(Catalogue!$D$7:$D$19,MATCH(D176,Catalogue!$B$7:$B$19,0)),"#N/A"))</f>
        <v/>
      </c>
      <c r="H176" s="26" t="n"/>
      <c r="I176" s="2" t="n"/>
      <c r="J176" s="1" t="n"/>
    </row>
    <row r="177">
      <c r="A177" s="1" t="n"/>
      <c r="B177" s="25" t="n"/>
      <c r="C177" s="26" t="n"/>
      <c r="D177" s="26" t="n"/>
      <c r="E177" s="28" t="n"/>
      <c r="F177" s="65">
        <f>IF(OR(D177="",E177=""),"",IFERROR(E177*INDEX(Catalogue!$E$7:$E$19,MATCH(D177,Catalogue!$B$7:$B$19,0)),"#N/A"))</f>
        <v/>
      </c>
      <c r="G177" s="64">
        <f>IF(OR(D177="",E177=""),"",IFERROR(E177*INDEX(Catalogue!$D$7:$D$19,MATCH(D177,Catalogue!$B$7:$B$19,0)),"#N/A"))</f>
        <v/>
      </c>
      <c r="H177" s="26" t="n"/>
      <c r="I177" s="2" t="n"/>
      <c r="J177" s="1" t="n"/>
    </row>
    <row r="178">
      <c r="A178" s="1" t="n"/>
      <c r="B178" s="25" t="n"/>
      <c r="C178" s="26" t="n"/>
      <c r="D178" s="26" t="n"/>
      <c r="E178" s="28" t="n"/>
      <c r="F178" s="65">
        <f>IF(OR(D178="",E178=""),"",IFERROR(E178*INDEX(Catalogue!$E$7:$E$19,MATCH(D178,Catalogue!$B$7:$B$19,0)),"#N/A"))</f>
        <v/>
      </c>
      <c r="G178" s="64">
        <f>IF(OR(D178="",E178=""),"",IFERROR(E178*INDEX(Catalogue!$D$7:$D$19,MATCH(D178,Catalogue!$B$7:$B$19,0)),"#N/A"))</f>
        <v/>
      </c>
      <c r="H178" s="26" t="n"/>
      <c r="I178" s="2" t="n"/>
      <c r="J178" s="1" t="n"/>
    </row>
    <row r="179">
      <c r="A179" s="1" t="n"/>
      <c r="B179" s="25" t="n"/>
      <c r="C179" s="26" t="n"/>
      <c r="D179" s="26" t="n"/>
      <c r="E179" s="28" t="n"/>
      <c r="F179" s="65">
        <f>IF(OR(D179="",E179=""),"",IFERROR(E179*INDEX(Catalogue!$E$7:$E$19,MATCH(D179,Catalogue!$B$7:$B$19,0)),"#N/A"))</f>
        <v/>
      </c>
      <c r="G179" s="64">
        <f>IF(OR(D179="",E179=""),"",IFERROR(E179*INDEX(Catalogue!$D$7:$D$19,MATCH(D179,Catalogue!$B$7:$B$19,0)),"#N/A"))</f>
        <v/>
      </c>
      <c r="H179" s="26" t="n"/>
      <c r="I179" s="2" t="n"/>
      <c r="J179" s="1" t="n"/>
    </row>
    <row r="180">
      <c r="A180" s="1" t="n"/>
      <c r="B180" s="25" t="n"/>
      <c r="C180" s="26" t="n"/>
      <c r="D180" s="26" t="n"/>
      <c r="E180" s="28" t="n"/>
      <c r="F180" s="65">
        <f>IF(OR(D180="",E180=""),"",IFERROR(E180*INDEX(Catalogue!$E$7:$E$19,MATCH(D180,Catalogue!$B$7:$B$19,0)),"#N/A"))</f>
        <v/>
      </c>
      <c r="G180" s="64">
        <f>IF(OR(D180="",E180=""),"",IFERROR(E180*INDEX(Catalogue!$D$7:$D$19,MATCH(D180,Catalogue!$B$7:$B$19,0)),"#N/A"))</f>
        <v/>
      </c>
      <c r="H180" s="26" t="n"/>
      <c r="I180" s="2" t="n"/>
      <c r="J180" s="1" t="n"/>
    </row>
    <row r="181">
      <c r="A181" s="1" t="n"/>
      <c r="B181" s="25" t="n"/>
      <c r="C181" s="26" t="n"/>
      <c r="D181" s="26" t="n"/>
      <c r="E181" s="28" t="n"/>
      <c r="F181" s="65">
        <f>IF(OR(D181="",E181=""),"",IFERROR(E181*INDEX(Catalogue!$E$7:$E$19,MATCH(D181,Catalogue!$B$7:$B$19,0)),"#N/A"))</f>
        <v/>
      </c>
      <c r="G181" s="64">
        <f>IF(OR(D181="",E181=""),"",IFERROR(E181*INDEX(Catalogue!$D$7:$D$19,MATCH(D181,Catalogue!$B$7:$B$19,0)),"#N/A"))</f>
        <v/>
      </c>
      <c r="H181" s="26" t="n"/>
      <c r="I181" s="2" t="n"/>
      <c r="J181" s="1" t="n"/>
    </row>
    <row r="182">
      <c r="A182" s="1" t="n"/>
      <c r="B182" s="25" t="n"/>
      <c r="C182" s="26" t="n"/>
      <c r="D182" s="26" t="n"/>
      <c r="E182" s="28" t="n"/>
      <c r="F182" s="65">
        <f>IF(OR(D182="",E182=""),"",IFERROR(E182*INDEX(Catalogue!$E$7:$E$19,MATCH(D182,Catalogue!$B$7:$B$19,0)),"#N/A"))</f>
        <v/>
      </c>
      <c r="G182" s="64">
        <f>IF(OR(D182="",E182=""),"",IFERROR(E182*INDEX(Catalogue!$D$7:$D$19,MATCH(D182,Catalogue!$B$7:$B$19,0)),"#N/A"))</f>
        <v/>
      </c>
      <c r="H182" s="26" t="n"/>
      <c r="I182" s="2" t="n"/>
      <c r="J182" s="1" t="n"/>
    </row>
    <row r="183">
      <c r="A183" s="1" t="n"/>
      <c r="B183" s="25" t="n"/>
      <c r="C183" s="26" t="n"/>
      <c r="D183" s="26" t="n"/>
      <c r="E183" s="28" t="n"/>
      <c r="F183" s="65">
        <f>IF(OR(D183="",E183=""),"",IFERROR(E183*INDEX(Catalogue!$E$7:$E$19,MATCH(D183,Catalogue!$B$7:$B$19,0)),"#N/A"))</f>
        <v/>
      </c>
      <c r="G183" s="64">
        <f>IF(OR(D183="",E183=""),"",IFERROR(E183*INDEX(Catalogue!$D$7:$D$19,MATCH(D183,Catalogue!$B$7:$B$19,0)),"#N/A"))</f>
        <v/>
      </c>
      <c r="H183" s="26" t="n"/>
      <c r="I183" s="2" t="n"/>
      <c r="J183" s="1" t="n"/>
    </row>
    <row r="184">
      <c r="A184" s="1" t="n"/>
      <c r="B184" s="25" t="n"/>
      <c r="C184" s="26" t="n"/>
      <c r="D184" s="26" t="n"/>
      <c r="E184" s="28" t="n"/>
      <c r="F184" s="65">
        <f>IF(OR(D184="",E184=""),"",IFERROR(E184*INDEX(Catalogue!$E$7:$E$19,MATCH(D184,Catalogue!$B$7:$B$19,0)),"#N/A"))</f>
        <v/>
      </c>
      <c r="G184" s="64">
        <f>IF(OR(D184="",E184=""),"",IFERROR(E184*INDEX(Catalogue!$D$7:$D$19,MATCH(D184,Catalogue!$B$7:$B$19,0)),"#N/A"))</f>
        <v/>
      </c>
      <c r="H184" s="26" t="n"/>
      <c r="I184" s="2" t="n"/>
      <c r="J184" s="1" t="n"/>
    </row>
    <row r="185">
      <c r="A185" s="1" t="n"/>
      <c r="B185" s="25" t="n"/>
      <c r="C185" s="26" t="n"/>
      <c r="D185" s="26" t="n"/>
      <c r="E185" s="28" t="n"/>
      <c r="F185" s="65">
        <f>IF(OR(D185="",E185=""),"",IFERROR(E185*INDEX(Catalogue!$E$7:$E$19,MATCH(D185,Catalogue!$B$7:$B$19,0)),"#N/A"))</f>
        <v/>
      </c>
      <c r="G185" s="64">
        <f>IF(OR(D185="",E185=""),"",IFERROR(E185*INDEX(Catalogue!$D$7:$D$19,MATCH(D185,Catalogue!$B$7:$B$19,0)),"#N/A"))</f>
        <v/>
      </c>
      <c r="H185" s="26" t="n"/>
      <c r="I185" s="2" t="n"/>
      <c r="J185" s="1" t="n"/>
    </row>
    <row r="186">
      <c r="A186" s="1" t="n"/>
      <c r="B186" s="25" t="n"/>
      <c r="C186" s="26" t="n"/>
      <c r="D186" s="26" t="n"/>
      <c r="E186" s="28" t="n"/>
      <c r="F186" s="65">
        <f>IF(OR(D186="",E186=""),"",IFERROR(E186*INDEX(Catalogue!$E$7:$E$19,MATCH(D186,Catalogue!$B$7:$B$19,0)),"#N/A"))</f>
        <v/>
      </c>
      <c r="G186" s="64">
        <f>IF(OR(D186="",E186=""),"",IFERROR(E186*INDEX(Catalogue!$D$7:$D$19,MATCH(D186,Catalogue!$B$7:$B$19,0)),"#N/A"))</f>
        <v/>
      </c>
      <c r="H186" s="26" t="n"/>
      <c r="I186" s="2" t="n"/>
      <c r="J186" s="1" t="n"/>
    </row>
    <row r="187">
      <c r="A187" s="1" t="n"/>
      <c r="B187" s="25" t="n"/>
      <c r="C187" s="26" t="n"/>
      <c r="D187" s="26" t="n"/>
      <c r="E187" s="28" t="n"/>
      <c r="F187" s="65">
        <f>IF(OR(D187="",E187=""),"",IFERROR(E187*INDEX(Catalogue!$E$7:$E$19,MATCH(D187,Catalogue!$B$7:$B$19,0)),"#N/A"))</f>
        <v/>
      </c>
      <c r="G187" s="64">
        <f>IF(OR(D187="",E187=""),"",IFERROR(E187*INDEX(Catalogue!$D$7:$D$19,MATCH(D187,Catalogue!$B$7:$B$19,0)),"#N/A"))</f>
        <v/>
      </c>
      <c r="H187" s="26" t="n"/>
      <c r="I187" s="2" t="n"/>
      <c r="J187" s="1" t="n"/>
    </row>
    <row r="188">
      <c r="A188" s="1" t="n"/>
      <c r="B188" s="25" t="n"/>
      <c r="C188" s="26" t="n"/>
      <c r="D188" s="26" t="n"/>
      <c r="E188" s="28" t="n"/>
      <c r="F188" s="65">
        <f>IF(OR(D188="",E188=""),"",IFERROR(E188*INDEX(Catalogue!$E$7:$E$19,MATCH(D188,Catalogue!$B$7:$B$19,0)),"#N/A"))</f>
        <v/>
      </c>
      <c r="G188" s="64">
        <f>IF(OR(D188="",E188=""),"",IFERROR(E188*INDEX(Catalogue!$D$7:$D$19,MATCH(D188,Catalogue!$B$7:$B$19,0)),"#N/A"))</f>
        <v/>
      </c>
      <c r="H188" s="26" t="n"/>
      <c r="I188" s="2" t="n"/>
      <c r="J188" s="1" t="n"/>
    </row>
    <row r="189">
      <c r="A189" s="1" t="n"/>
      <c r="B189" s="25" t="n"/>
      <c r="C189" s="26" t="n"/>
      <c r="D189" s="26" t="n"/>
      <c r="E189" s="28" t="n"/>
      <c r="F189" s="65">
        <f>IF(OR(D189="",E189=""),"",IFERROR(E189*INDEX(Catalogue!$E$7:$E$19,MATCH(D189,Catalogue!$B$7:$B$19,0)),"#N/A"))</f>
        <v/>
      </c>
      <c r="G189" s="64">
        <f>IF(OR(D189="",E189=""),"",IFERROR(E189*INDEX(Catalogue!$D$7:$D$19,MATCH(D189,Catalogue!$B$7:$B$19,0)),"#N/A"))</f>
        <v/>
      </c>
      <c r="H189" s="26" t="n"/>
      <c r="I189" s="2" t="n"/>
      <c r="J189" s="1" t="n"/>
    </row>
    <row r="190">
      <c r="A190" s="1" t="n"/>
      <c r="B190" s="25" t="n"/>
      <c r="C190" s="26" t="n"/>
      <c r="D190" s="26" t="n"/>
      <c r="E190" s="28" t="n"/>
      <c r="F190" s="65">
        <f>IF(OR(D190="",E190=""),"",IFERROR(E190*INDEX(Catalogue!$E$7:$E$19,MATCH(D190,Catalogue!$B$7:$B$19,0)),"#N/A"))</f>
        <v/>
      </c>
      <c r="G190" s="64">
        <f>IF(OR(D190="",E190=""),"",IFERROR(E190*INDEX(Catalogue!$D$7:$D$19,MATCH(D190,Catalogue!$B$7:$B$19,0)),"#N/A"))</f>
        <v/>
      </c>
      <c r="H190" s="26" t="n"/>
      <c r="I190" s="2" t="n"/>
      <c r="J190" s="1" t="n"/>
    </row>
    <row r="191">
      <c r="A191" s="1" t="n"/>
      <c r="B191" s="25" t="n"/>
      <c r="C191" s="26" t="n"/>
      <c r="D191" s="26" t="n"/>
      <c r="E191" s="28" t="n"/>
      <c r="F191" s="65">
        <f>IF(OR(D191="",E191=""),"",IFERROR(E191*INDEX(Catalogue!$E$7:$E$19,MATCH(D191,Catalogue!$B$7:$B$19,0)),"#N/A"))</f>
        <v/>
      </c>
      <c r="G191" s="64">
        <f>IF(OR(D191="",E191=""),"",IFERROR(E191*INDEX(Catalogue!$D$7:$D$19,MATCH(D191,Catalogue!$B$7:$B$19,0)),"#N/A"))</f>
        <v/>
      </c>
      <c r="H191" s="26" t="n"/>
      <c r="I191" s="2" t="n"/>
      <c r="J191" s="1" t="n"/>
    </row>
    <row r="192">
      <c r="A192" s="1" t="n"/>
      <c r="B192" s="25" t="n"/>
      <c r="C192" s="26" t="n"/>
      <c r="D192" s="26" t="n"/>
      <c r="E192" s="28" t="n"/>
      <c r="F192" s="65">
        <f>IF(OR(D192="",E192=""),"",IFERROR(E192*INDEX(Catalogue!$E$7:$E$19,MATCH(D192,Catalogue!$B$7:$B$19,0)),"#N/A"))</f>
        <v/>
      </c>
      <c r="G192" s="64">
        <f>IF(OR(D192="",E192=""),"",IFERROR(E192*INDEX(Catalogue!$D$7:$D$19,MATCH(D192,Catalogue!$B$7:$B$19,0)),"#N/A"))</f>
        <v/>
      </c>
      <c r="H192" s="26" t="n"/>
      <c r="I192" s="2" t="n"/>
      <c r="J192" s="1" t="n"/>
    </row>
    <row r="193">
      <c r="A193" s="1" t="n"/>
      <c r="B193" s="25" t="n"/>
      <c r="C193" s="26" t="n"/>
      <c r="D193" s="26" t="n"/>
      <c r="E193" s="28" t="n"/>
      <c r="F193" s="65">
        <f>IF(OR(D193="",E193=""),"",IFERROR(E193*INDEX(Catalogue!$E$7:$E$19,MATCH(D193,Catalogue!$B$7:$B$19,0)),"#N/A"))</f>
        <v/>
      </c>
      <c r="G193" s="64">
        <f>IF(OR(D193="",E193=""),"",IFERROR(E193*INDEX(Catalogue!$D$7:$D$19,MATCH(D193,Catalogue!$B$7:$B$19,0)),"#N/A"))</f>
        <v/>
      </c>
      <c r="H193" s="26" t="n"/>
      <c r="I193" s="2" t="n"/>
      <c r="J193" s="1" t="n"/>
    </row>
    <row r="194">
      <c r="A194" s="1" t="n"/>
      <c r="B194" s="25" t="n"/>
      <c r="C194" s="26" t="n"/>
      <c r="D194" s="26" t="n"/>
      <c r="E194" s="28" t="n"/>
      <c r="F194" s="65">
        <f>IF(OR(D194="",E194=""),"",IFERROR(E194*INDEX(Catalogue!$E$7:$E$19,MATCH(D194,Catalogue!$B$7:$B$19,0)),"#N/A"))</f>
        <v/>
      </c>
      <c r="G194" s="64">
        <f>IF(OR(D194="",E194=""),"",IFERROR(E194*INDEX(Catalogue!$D$7:$D$19,MATCH(D194,Catalogue!$B$7:$B$19,0)),"#N/A"))</f>
        <v/>
      </c>
      <c r="H194" s="26" t="n"/>
      <c r="I194" s="2" t="n"/>
      <c r="J194" s="1" t="n"/>
    </row>
    <row r="195">
      <c r="A195" s="1" t="n"/>
      <c r="B195" s="25" t="n"/>
      <c r="C195" s="26" t="n"/>
      <c r="D195" s="26" t="n"/>
      <c r="E195" s="28" t="n"/>
      <c r="F195" s="65">
        <f>IF(OR(D195="",E195=""),"",IFERROR(E195*INDEX(Catalogue!$E$7:$E$19,MATCH(D195,Catalogue!$B$7:$B$19,0)),"#N/A"))</f>
        <v/>
      </c>
      <c r="G195" s="64">
        <f>IF(OR(D195="",E195=""),"",IFERROR(E195*INDEX(Catalogue!$D$7:$D$19,MATCH(D195,Catalogue!$B$7:$B$19,0)),"#N/A"))</f>
        <v/>
      </c>
      <c r="H195" s="26" t="n"/>
      <c r="I195" s="2" t="n"/>
      <c r="J195" s="1" t="n"/>
    </row>
    <row r="196">
      <c r="A196" s="1" t="n"/>
      <c r="B196" s="25" t="n"/>
      <c r="C196" s="26" t="n"/>
      <c r="D196" s="26" t="n"/>
      <c r="E196" s="28" t="n"/>
      <c r="F196" s="65">
        <f>IF(OR(D196="",E196=""),"",IFERROR(E196*INDEX(Catalogue!$E$7:$E$19,MATCH(D196,Catalogue!$B$7:$B$19,0)),"#N/A"))</f>
        <v/>
      </c>
      <c r="G196" s="64">
        <f>IF(OR(D196="",E196=""),"",IFERROR(E196*INDEX(Catalogue!$D$7:$D$19,MATCH(D196,Catalogue!$B$7:$B$19,0)),"#N/A"))</f>
        <v/>
      </c>
      <c r="H196" s="26" t="n"/>
      <c r="I196" s="2" t="n"/>
      <c r="J196" s="1" t="n"/>
    </row>
    <row r="197">
      <c r="A197" s="1" t="n"/>
      <c r="B197" s="25" t="n"/>
      <c r="C197" s="26" t="n"/>
      <c r="D197" s="26" t="n"/>
      <c r="E197" s="28" t="n"/>
      <c r="F197" s="65">
        <f>IF(OR(D197="",E197=""),"",IFERROR(E197*INDEX(Catalogue!$E$7:$E$19,MATCH(D197,Catalogue!$B$7:$B$19,0)),"#N/A"))</f>
        <v/>
      </c>
      <c r="G197" s="64">
        <f>IF(OR(D197="",E197=""),"",IFERROR(E197*INDEX(Catalogue!$D$7:$D$19,MATCH(D197,Catalogue!$B$7:$B$19,0)),"#N/A"))</f>
        <v/>
      </c>
      <c r="H197" s="26" t="n"/>
      <c r="I197" s="2" t="n"/>
      <c r="J197" s="1" t="n"/>
    </row>
    <row r="198">
      <c r="A198" s="1" t="n"/>
      <c r="B198" s="25" t="n"/>
      <c r="C198" s="26" t="n"/>
      <c r="D198" s="26" t="n"/>
      <c r="E198" s="28" t="n"/>
      <c r="F198" s="65">
        <f>IF(OR(D198="",E198=""),"",IFERROR(E198*INDEX(Catalogue!$E$7:$E$19,MATCH(D198,Catalogue!$B$7:$B$19,0)),"#N/A"))</f>
        <v/>
      </c>
      <c r="G198" s="64">
        <f>IF(OR(D198="",E198=""),"",IFERROR(E198*INDEX(Catalogue!$D$7:$D$19,MATCH(D198,Catalogue!$B$7:$B$19,0)),"#N/A"))</f>
        <v/>
      </c>
      <c r="H198" s="26" t="n"/>
      <c r="I198" s="2" t="n"/>
      <c r="J198" s="1" t="n"/>
    </row>
    <row r="199">
      <c r="A199" s="1" t="n"/>
      <c r="B199" s="25" t="n"/>
      <c r="C199" s="26" t="n"/>
      <c r="D199" s="26" t="n"/>
      <c r="E199" s="28" t="n"/>
      <c r="F199" s="65">
        <f>IF(OR(D199="",E199=""),"",IFERROR(E199*INDEX(Catalogue!$E$7:$E$19,MATCH(D199,Catalogue!$B$7:$B$19,0)),"#N/A"))</f>
        <v/>
      </c>
      <c r="G199" s="64">
        <f>IF(OR(D199="",E199=""),"",IFERROR(E199*INDEX(Catalogue!$D$7:$D$19,MATCH(D199,Catalogue!$B$7:$B$19,0)),"#N/A"))</f>
        <v/>
      </c>
      <c r="H199" s="26" t="n"/>
      <c r="I199" s="2" t="n"/>
      <c r="J199" s="1" t="n"/>
    </row>
    <row r="200">
      <c r="A200" s="1" t="n"/>
      <c r="B200" s="25" t="n"/>
      <c r="C200" s="26" t="n"/>
      <c r="D200" s="26" t="n"/>
      <c r="E200" s="28" t="n"/>
      <c r="F200" s="65">
        <f>IF(OR(D200="",E200=""),"",IFERROR(E200*INDEX(Catalogue!$E$7:$E$19,MATCH(D200,Catalogue!$B$7:$B$19,0)),"#N/A"))</f>
        <v/>
      </c>
      <c r="G200" s="64">
        <f>IF(OR(D200="",E200=""),"",IFERROR(E200*INDEX(Catalogue!$D$7:$D$19,MATCH(D200,Catalogue!$B$7:$B$19,0)),"#N/A"))</f>
        <v/>
      </c>
      <c r="H200" s="26" t="n"/>
      <c r="I200" s="2" t="n"/>
      <c r="J200" s="1" t="n"/>
    </row>
    <row r="201">
      <c r="A201" s="1" t="n"/>
      <c r="B201" s="25" t="n"/>
      <c r="C201" s="26" t="n"/>
      <c r="D201" s="26" t="n"/>
      <c r="E201" s="28" t="n"/>
      <c r="F201" s="65">
        <f>IF(OR(D201="",E201=""),"",IFERROR(E201*INDEX(Catalogue!$E$7:$E$19,MATCH(D201,Catalogue!$B$7:$B$19,0)),"#N/A"))</f>
        <v/>
      </c>
      <c r="G201" s="64">
        <f>IF(OR(D201="",E201=""),"",IFERROR(E201*INDEX(Catalogue!$D$7:$D$19,MATCH(D201,Catalogue!$B$7:$B$19,0)),"#N/A"))</f>
        <v/>
      </c>
      <c r="H201" s="26" t="n"/>
      <c r="I201" s="2" t="n"/>
      <c r="J201" s="1" t="n"/>
    </row>
    <row r="202">
      <c r="A202" s="1" t="n"/>
      <c r="B202" s="25" t="n"/>
      <c r="C202" s="26" t="n"/>
      <c r="D202" s="26" t="n"/>
      <c r="E202" s="28" t="n"/>
      <c r="F202" s="65">
        <f>IF(OR(D202="",E202=""),"",IFERROR(E202*INDEX(Catalogue!$E$7:$E$19,MATCH(D202,Catalogue!$B$7:$B$19,0)),"#N/A"))</f>
        <v/>
      </c>
      <c r="G202" s="64">
        <f>IF(OR(D202="",E202=""),"",IFERROR(E202*INDEX(Catalogue!$D$7:$D$19,MATCH(D202,Catalogue!$B$7:$B$19,0)),"#N/A"))</f>
        <v/>
      </c>
      <c r="H202" s="26" t="n"/>
      <c r="I202" s="2" t="n"/>
      <c r="J202" s="1" t="n"/>
    </row>
    <row r="203">
      <c r="A203" s="1" t="n"/>
      <c r="B203" s="25" t="n"/>
      <c r="C203" s="26" t="n"/>
      <c r="D203" s="26" t="n"/>
      <c r="E203" s="28" t="n"/>
      <c r="F203" s="65">
        <f>IF(OR(D203="",E203=""),"",IFERROR(E203*INDEX(Catalogue!$E$7:$E$19,MATCH(D203,Catalogue!$B$7:$B$19,0)),"#N/A"))</f>
        <v/>
      </c>
      <c r="G203" s="64">
        <f>IF(OR(D203="",E203=""),"",IFERROR(E203*INDEX(Catalogue!$D$7:$D$19,MATCH(D203,Catalogue!$B$7:$B$19,0)),"#N/A"))</f>
        <v/>
      </c>
      <c r="H203" s="26" t="n"/>
      <c r="I203" s="2" t="n"/>
      <c r="J203" s="1" t="n"/>
    </row>
    <row r="204">
      <c r="A204" s="1" t="n"/>
      <c r="B204" s="25" t="n"/>
      <c r="C204" s="26" t="n"/>
      <c r="D204" s="26" t="n"/>
      <c r="E204" s="28" t="n"/>
      <c r="F204" s="65">
        <f>IF(OR(D204="",E204=""),"",IFERROR(E204*INDEX(Catalogue!$E$7:$E$19,MATCH(D204,Catalogue!$B$7:$B$19,0)),"#N/A"))</f>
        <v/>
      </c>
      <c r="G204" s="64">
        <f>IF(OR(D204="",E204=""),"",IFERROR(E204*INDEX(Catalogue!$D$7:$D$19,MATCH(D204,Catalogue!$B$7:$B$19,0)),"#N/A"))</f>
        <v/>
      </c>
      <c r="H204" s="26" t="n"/>
      <c r="I204" s="2" t="n"/>
      <c r="J204" s="1" t="n"/>
    </row>
    <row r="205">
      <c r="A205" s="1" t="n"/>
      <c r="B205" s="25" t="n"/>
      <c r="C205" s="26" t="n"/>
      <c r="D205" s="26" t="n"/>
      <c r="E205" s="28" t="n"/>
      <c r="F205" s="65">
        <f>IF(OR(D205="",E205=""),"",IFERROR(E205*INDEX(Catalogue!$E$7:$E$19,MATCH(D205,Catalogue!$B$7:$B$19,0)),"#N/A"))</f>
        <v/>
      </c>
      <c r="G205" s="64">
        <f>IF(OR(D205="",E205=""),"",IFERROR(E205*INDEX(Catalogue!$D$7:$D$19,MATCH(D205,Catalogue!$B$7:$B$19,0)),"#N/A"))</f>
        <v/>
      </c>
      <c r="H205" s="26" t="n"/>
      <c r="I205" s="2" t="n"/>
      <c r="J205" s="1" t="n"/>
    </row>
    <row r="206">
      <c r="A206" s="1" t="n"/>
      <c r="B206" s="25" t="n"/>
      <c r="C206" s="26" t="n"/>
      <c r="D206" s="26" t="n"/>
      <c r="E206" s="28" t="n"/>
      <c r="F206" s="65">
        <f>IF(OR(D206="",E206=""),"",IFERROR(E206*INDEX(Catalogue!$E$7:$E$19,MATCH(D206,Catalogue!$B$7:$B$19,0)),"#N/A"))</f>
        <v/>
      </c>
      <c r="G206" s="64">
        <f>IF(OR(D206="",E206=""),"",IFERROR(E206*INDEX(Catalogue!$D$7:$D$19,MATCH(D206,Catalogue!$B$7:$B$19,0)),"#N/A"))</f>
        <v/>
      </c>
      <c r="H206" s="26" t="n"/>
      <c r="I206" s="2" t="n"/>
      <c r="J206" s="1" t="n"/>
    </row>
    <row r="207">
      <c r="A207" s="1" t="n"/>
      <c r="B207" s="25" t="n"/>
      <c r="C207" s="26" t="n"/>
      <c r="D207" s="26" t="n"/>
      <c r="E207" s="28" t="n"/>
      <c r="F207" s="65">
        <f>IF(OR(D207="",E207=""),"",IFERROR(E207*INDEX(Catalogue!$E$7:$E$19,MATCH(D207,Catalogue!$B$7:$B$19,0)),"#N/A"))</f>
        <v/>
      </c>
      <c r="G207" s="64">
        <f>IF(OR(D207="",E207=""),"",IFERROR(E207*INDEX(Catalogue!$D$7:$D$19,MATCH(D207,Catalogue!$B$7:$B$19,0)),"#N/A"))</f>
        <v/>
      </c>
      <c r="H207" s="26" t="n"/>
      <c r="I207" s="2" t="n"/>
      <c r="J207" s="1" t="n"/>
    </row>
    <row r="208">
      <c r="A208" s="1" t="n"/>
      <c r="B208" s="25" t="n"/>
      <c r="C208" s="26" t="n"/>
      <c r="D208" s="26" t="n"/>
      <c r="E208" s="28" t="n"/>
      <c r="F208" s="65">
        <f>IF(OR(D208="",E208=""),"",IFERROR(E208*INDEX(Catalogue!$E$7:$E$19,MATCH(D208,Catalogue!$B$7:$B$19,0)),"#N/A"))</f>
        <v/>
      </c>
      <c r="G208" s="64">
        <f>IF(OR(D208="",E208=""),"",IFERROR(E208*INDEX(Catalogue!$D$7:$D$19,MATCH(D208,Catalogue!$B$7:$B$19,0)),"#N/A"))</f>
        <v/>
      </c>
      <c r="H208" s="26" t="n"/>
      <c r="I208" s="2" t="n"/>
      <c r="J208" s="1" t="n"/>
    </row>
    <row r="209">
      <c r="A209" s="1" t="n"/>
      <c r="B209" s="25" t="n"/>
      <c r="C209" s="26" t="n"/>
      <c r="D209" s="26" t="n"/>
      <c r="E209" s="28" t="n"/>
      <c r="F209" s="65">
        <f>IF(OR(D209="",E209=""),"",IFERROR(E209*INDEX(Catalogue!$E$7:$E$19,MATCH(D209,Catalogue!$B$7:$B$19,0)),"#N/A"))</f>
        <v/>
      </c>
      <c r="G209" s="64">
        <f>IF(OR(D209="",E209=""),"",IFERROR(E209*INDEX(Catalogue!$D$7:$D$19,MATCH(D209,Catalogue!$B$7:$B$19,0)),"#N/A"))</f>
        <v/>
      </c>
      <c r="H209" s="26" t="n"/>
      <c r="I209" s="2" t="n"/>
      <c r="J209" s="1" t="n"/>
    </row>
    <row r="210">
      <c r="A210" s="1" t="n"/>
      <c r="B210" s="25" t="n"/>
      <c r="C210" s="26" t="n"/>
      <c r="D210" s="26" t="n"/>
      <c r="E210" s="28" t="n"/>
      <c r="F210" s="65">
        <f>IF(OR(D210="",E210=""),"",IFERROR(E210*INDEX(Catalogue!$E$7:$E$19,MATCH(D210,Catalogue!$B$7:$B$19,0)),"#N/A"))</f>
        <v/>
      </c>
      <c r="G210" s="64">
        <f>IF(OR(D210="",E210=""),"",IFERROR(E210*INDEX(Catalogue!$D$7:$D$19,MATCH(D210,Catalogue!$B$7:$B$19,0)),"#N/A"))</f>
        <v/>
      </c>
      <c r="H210" s="26" t="n"/>
      <c r="I210" s="2" t="n"/>
      <c r="J210" s="1" t="n"/>
    </row>
    <row r="211">
      <c r="A211" s="1" t="n"/>
      <c r="B211" s="25" t="n"/>
      <c r="C211" s="26" t="n"/>
      <c r="D211" s="26" t="n"/>
      <c r="E211" s="28" t="n"/>
      <c r="F211" s="65">
        <f>IF(OR(D211="",E211=""),"",IFERROR(E211*INDEX(Catalogue!$E$7:$E$19,MATCH(D211,Catalogue!$B$7:$B$19,0)),"#N/A"))</f>
        <v/>
      </c>
      <c r="G211" s="64">
        <f>IF(OR(D211="",E211=""),"",IFERROR(E211*INDEX(Catalogue!$D$7:$D$19,MATCH(D211,Catalogue!$B$7:$B$19,0)),"#N/A"))</f>
        <v/>
      </c>
      <c r="H211" s="26" t="n"/>
      <c r="I211" s="2" t="n"/>
      <c r="J211" s="1" t="n"/>
    </row>
    <row r="212">
      <c r="A212" s="1" t="n"/>
      <c r="B212" s="25" t="n"/>
      <c r="C212" s="26" t="n"/>
      <c r="D212" s="26" t="n"/>
      <c r="E212" s="28" t="n"/>
      <c r="F212" s="65">
        <f>IF(OR(D212="",E212=""),"",IFERROR(E212*INDEX(Catalogue!$E$7:$E$19,MATCH(D212,Catalogue!$B$7:$B$19,0)),"#N/A"))</f>
        <v/>
      </c>
      <c r="G212" s="64">
        <f>IF(OR(D212="",E212=""),"",IFERROR(E212*INDEX(Catalogue!$D$7:$D$19,MATCH(D212,Catalogue!$B$7:$B$19,0)),"#N/A"))</f>
        <v/>
      </c>
      <c r="H212" s="26" t="n"/>
      <c r="I212" s="2" t="n"/>
      <c r="J212" s="1" t="n"/>
    </row>
    <row r="213">
      <c r="A213" s="1" t="n"/>
      <c r="B213" s="25" t="n"/>
      <c r="C213" s="26" t="n"/>
      <c r="D213" s="26" t="n"/>
      <c r="E213" s="28" t="n"/>
      <c r="F213" s="65">
        <f>IF(OR(D213="",E213=""),"",IFERROR(E213*INDEX(Catalogue!$E$7:$E$19,MATCH(D213,Catalogue!$B$7:$B$19,0)),"#N/A"))</f>
        <v/>
      </c>
      <c r="G213" s="64">
        <f>IF(OR(D213="",E213=""),"",IFERROR(E213*INDEX(Catalogue!$D$7:$D$19,MATCH(D213,Catalogue!$B$7:$B$19,0)),"#N/A"))</f>
        <v/>
      </c>
      <c r="H213" s="26" t="n"/>
      <c r="I213" s="2" t="n"/>
      <c r="J213" s="1" t="n"/>
    </row>
    <row r="214">
      <c r="A214" s="1" t="n"/>
      <c r="B214" s="25" t="n"/>
      <c r="C214" s="26" t="n"/>
      <c r="D214" s="26" t="n"/>
      <c r="E214" s="28" t="n"/>
      <c r="F214" s="65">
        <f>IF(OR(D214="",E214=""),"",IFERROR(E214*INDEX(Catalogue!$E$7:$E$19,MATCH(D214,Catalogue!$B$7:$B$19,0)),"#N/A"))</f>
        <v/>
      </c>
      <c r="G214" s="64">
        <f>IF(OR(D214="",E214=""),"",IFERROR(E214*INDEX(Catalogue!$D$7:$D$19,MATCH(D214,Catalogue!$B$7:$B$19,0)),"#N/A"))</f>
        <v/>
      </c>
      <c r="H214" s="26" t="n"/>
      <c r="I214" s="2" t="n"/>
      <c r="J214" s="1" t="n"/>
    </row>
    <row r="215">
      <c r="A215" s="1" t="n"/>
      <c r="B215" s="25" t="n"/>
      <c r="C215" s="26" t="n"/>
      <c r="D215" s="26" t="n"/>
      <c r="E215" s="28" t="n"/>
      <c r="F215" s="65">
        <f>IF(OR(D215="",E215=""),"",IFERROR(E215*INDEX(Catalogue!$E$7:$E$19,MATCH(D215,Catalogue!$B$7:$B$19,0)),"#N/A"))</f>
        <v/>
      </c>
      <c r="G215" s="64">
        <f>IF(OR(D215="",E215=""),"",IFERROR(E215*INDEX(Catalogue!$D$7:$D$19,MATCH(D215,Catalogue!$B$7:$B$19,0)),"#N/A"))</f>
        <v/>
      </c>
      <c r="H215" s="26" t="n"/>
      <c r="I215" s="2" t="n"/>
      <c r="J215" s="1" t="n"/>
    </row>
    <row r="216">
      <c r="A216" s="1" t="n"/>
      <c r="B216" s="25" t="n"/>
      <c r="C216" s="26" t="n"/>
      <c r="D216" s="26" t="n"/>
      <c r="E216" s="28" t="n"/>
      <c r="F216" s="65">
        <f>IF(OR(D216="",E216=""),"",IFERROR(E216*INDEX(Catalogue!$E$7:$E$19,MATCH(D216,Catalogue!$B$7:$B$19,0)),"#N/A"))</f>
        <v/>
      </c>
      <c r="G216" s="64">
        <f>IF(OR(D216="",E216=""),"",IFERROR(E216*INDEX(Catalogue!$D$7:$D$19,MATCH(D216,Catalogue!$B$7:$B$19,0)),"#N/A"))</f>
        <v/>
      </c>
      <c r="H216" s="26" t="n"/>
      <c r="I216" s="2" t="n"/>
      <c r="J216" s="1" t="n"/>
    </row>
    <row r="217">
      <c r="A217" s="1" t="n"/>
      <c r="B217" s="25" t="n"/>
      <c r="C217" s="26" t="n"/>
      <c r="D217" s="26" t="n"/>
      <c r="E217" s="28" t="n"/>
      <c r="F217" s="65">
        <f>IF(OR(D217="",E217=""),"",IFERROR(E217*INDEX(Catalogue!$E$7:$E$19,MATCH(D217,Catalogue!$B$7:$B$19,0)),"#N/A"))</f>
        <v/>
      </c>
      <c r="G217" s="64">
        <f>IF(OR(D217="",E217=""),"",IFERROR(E217*INDEX(Catalogue!$D$7:$D$19,MATCH(D217,Catalogue!$B$7:$B$19,0)),"#N/A"))</f>
        <v/>
      </c>
      <c r="H217" s="26" t="n"/>
      <c r="I217" s="2" t="n"/>
      <c r="J217" s="1" t="n"/>
    </row>
    <row r="218">
      <c r="A218" s="1" t="n"/>
      <c r="B218" s="25" t="n"/>
      <c r="C218" s="26" t="n"/>
      <c r="D218" s="26" t="n"/>
      <c r="E218" s="28" t="n"/>
      <c r="F218" s="65">
        <f>IF(OR(D218="",E218=""),"",IFERROR(E218*INDEX(Catalogue!$E$7:$E$19,MATCH(D218,Catalogue!$B$7:$B$19,0)),"#N/A"))</f>
        <v/>
      </c>
      <c r="G218" s="64">
        <f>IF(OR(D218="",E218=""),"",IFERROR(E218*INDEX(Catalogue!$D$7:$D$19,MATCH(D218,Catalogue!$B$7:$B$19,0)),"#N/A"))</f>
        <v/>
      </c>
      <c r="H218" s="26" t="n"/>
      <c r="I218" s="2" t="n"/>
      <c r="J218" s="1" t="n"/>
    </row>
    <row r="219">
      <c r="A219" s="1" t="n"/>
      <c r="B219" s="25" t="n"/>
      <c r="C219" s="26" t="n"/>
      <c r="D219" s="26" t="n"/>
      <c r="E219" s="28" t="n"/>
      <c r="F219" s="65">
        <f>IF(OR(D219="",E219=""),"",IFERROR(E219*INDEX(Catalogue!$E$7:$E$19,MATCH(D219,Catalogue!$B$7:$B$19,0)),"#N/A"))</f>
        <v/>
      </c>
      <c r="G219" s="64">
        <f>IF(OR(D219="",E219=""),"",IFERROR(E219*INDEX(Catalogue!$D$7:$D$19,MATCH(D219,Catalogue!$B$7:$B$19,0)),"#N/A"))</f>
        <v/>
      </c>
      <c r="H219" s="26" t="n"/>
      <c r="I219" s="2" t="n"/>
      <c r="J219" s="1" t="n"/>
    </row>
    <row r="220">
      <c r="A220" s="1" t="n"/>
      <c r="B220" s="25" t="n"/>
      <c r="C220" s="26" t="n"/>
      <c r="D220" s="26" t="n"/>
      <c r="E220" s="28" t="n"/>
      <c r="F220" s="65">
        <f>IF(OR(D220="",E220=""),"",IFERROR(E220*INDEX(Catalogue!$E$7:$E$19,MATCH(D220,Catalogue!$B$7:$B$19,0)),"#N/A"))</f>
        <v/>
      </c>
      <c r="G220" s="64">
        <f>IF(OR(D220="",E220=""),"",IFERROR(E220*INDEX(Catalogue!$D$7:$D$19,MATCH(D220,Catalogue!$B$7:$B$19,0)),"#N/A"))</f>
        <v/>
      </c>
      <c r="H220" s="26" t="n"/>
      <c r="I220" s="2" t="n"/>
      <c r="J220" s="1" t="n"/>
    </row>
    <row r="221">
      <c r="A221" s="1" t="n"/>
      <c r="B221" s="25" t="n"/>
      <c r="C221" s="26" t="n"/>
      <c r="D221" s="26" t="n"/>
      <c r="E221" s="28" t="n"/>
      <c r="F221" s="65">
        <f>IF(OR(D221="",E221=""),"",IFERROR(E221*INDEX(Catalogue!$E$7:$E$19,MATCH(D221,Catalogue!$B$7:$B$19,0)),"#N/A"))</f>
        <v/>
      </c>
      <c r="G221" s="64">
        <f>IF(OR(D221="",E221=""),"",IFERROR(E221*INDEX(Catalogue!$D$7:$D$19,MATCH(D221,Catalogue!$B$7:$B$19,0)),"#N/A"))</f>
        <v/>
      </c>
      <c r="H221" s="26" t="n"/>
      <c r="I221" s="2" t="n"/>
      <c r="J221" s="1" t="n"/>
    </row>
    <row r="222">
      <c r="A222" s="1" t="n"/>
      <c r="B222" s="25" t="n"/>
      <c r="C222" s="26" t="n"/>
      <c r="D222" s="26" t="n"/>
      <c r="E222" s="28" t="n"/>
      <c r="F222" s="65">
        <f>IF(OR(D222="",E222=""),"",IFERROR(E222*INDEX(Catalogue!$E$7:$E$19,MATCH(D222,Catalogue!$B$7:$B$19,0)),"#N/A"))</f>
        <v/>
      </c>
      <c r="G222" s="64">
        <f>IF(OR(D222="",E222=""),"",IFERROR(E222*INDEX(Catalogue!$D$7:$D$19,MATCH(D222,Catalogue!$B$7:$B$19,0)),"#N/A"))</f>
        <v/>
      </c>
      <c r="H222" s="26" t="n"/>
      <c r="I222" s="2" t="n"/>
      <c r="J222" s="1" t="n"/>
    </row>
    <row r="223">
      <c r="A223" s="1" t="n"/>
      <c r="B223" s="25" t="n"/>
      <c r="C223" s="26" t="n"/>
      <c r="D223" s="26" t="n"/>
      <c r="E223" s="28" t="n"/>
      <c r="F223" s="65">
        <f>IF(OR(D223="",E223=""),"",IFERROR(E223*INDEX(Catalogue!$E$7:$E$19,MATCH(D223,Catalogue!$B$7:$B$19,0)),"#N/A"))</f>
        <v/>
      </c>
      <c r="G223" s="64">
        <f>IF(OR(D223="",E223=""),"",IFERROR(E223*INDEX(Catalogue!$D$7:$D$19,MATCH(D223,Catalogue!$B$7:$B$19,0)),"#N/A"))</f>
        <v/>
      </c>
      <c r="H223" s="26" t="n"/>
      <c r="I223" s="2" t="n"/>
      <c r="J223" s="1" t="n"/>
    </row>
    <row r="224">
      <c r="A224" s="1" t="n"/>
      <c r="B224" s="25" t="n"/>
      <c r="C224" s="26" t="n"/>
      <c r="D224" s="26" t="n"/>
      <c r="E224" s="28" t="n"/>
      <c r="F224" s="65">
        <f>IF(OR(D224="",E224=""),"",IFERROR(E224*INDEX(Catalogue!$E$7:$E$19,MATCH(D224,Catalogue!$B$7:$B$19,0)),"#N/A"))</f>
        <v/>
      </c>
      <c r="G224" s="64">
        <f>IF(OR(D224="",E224=""),"",IFERROR(E224*INDEX(Catalogue!$D$7:$D$19,MATCH(D224,Catalogue!$B$7:$B$19,0)),"#N/A"))</f>
        <v/>
      </c>
      <c r="H224" s="26" t="n"/>
      <c r="I224" s="2" t="n"/>
      <c r="J224" s="1" t="n"/>
    </row>
    <row r="225">
      <c r="A225" s="1" t="n"/>
      <c r="B225" s="25" t="n"/>
      <c r="C225" s="26" t="n"/>
      <c r="D225" s="26" t="n"/>
      <c r="E225" s="28" t="n"/>
      <c r="F225" s="65">
        <f>IF(OR(D225="",E225=""),"",IFERROR(E225*INDEX(Catalogue!$E$7:$E$19,MATCH(D225,Catalogue!$B$7:$B$19,0)),"#N/A"))</f>
        <v/>
      </c>
      <c r="G225" s="64">
        <f>IF(OR(D225="",E225=""),"",IFERROR(E225*INDEX(Catalogue!$D$7:$D$19,MATCH(D225,Catalogue!$B$7:$B$19,0)),"#N/A"))</f>
        <v/>
      </c>
      <c r="H225" s="26" t="n"/>
      <c r="I225" s="2" t="n"/>
      <c r="J225" s="1" t="n"/>
    </row>
    <row r="226">
      <c r="A226" s="1" t="n"/>
      <c r="B226" s="25" t="n"/>
      <c r="C226" s="26" t="n"/>
      <c r="D226" s="26" t="n"/>
      <c r="E226" s="28" t="n"/>
      <c r="F226" s="65">
        <f>IF(OR(D226="",E226=""),"",IFERROR(E226*INDEX(Catalogue!$E$7:$E$19,MATCH(D226,Catalogue!$B$7:$B$19,0)),"#N/A"))</f>
        <v/>
      </c>
      <c r="G226" s="64">
        <f>IF(OR(D226="",E226=""),"",IFERROR(E226*INDEX(Catalogue!$D$7:$D$19,MATCH(D226,Catalogue!$B$7:$B$19,0)),"#N/A"))</f>
        <v/>
      </c>
      <c r="H226" s="26" t="n"/>
      <c r="I226" s="2" t="n"/>
      <c r="J226" s="1" t="n"/>
    </row>
    <row r="227">
      <c r="A227" s="1" t="n"/>
      <c r="B227" s="25" t="n"/>
      <c r="C227" s="26" t="n"/>
      <c r="D227" s="26" t="n"/>
      <c r="E227" s="28" t="n"/>
      <c r="F227" s="65">
        <f>IF(OR(D227="",E227=""),"",IFERROR(E227*INDEX(Catalogue!$E$7:$E$19,MATCH(D227,Catalogue!$B$7:$B$19,0)),"#N/A"))</f>
        <v/>
      </c>
      <c r="G227" s="64">
        <f>IF(OR(D227="",E227=""),"",IFERROR(E227*INDEX(Catalogue!$D$7:$D$19,MATCH(D227,Catalogue!$B$7:$B$19,0)),"#N/A"))</f>
        <v/>
      </c>
      <c r="H227" s="26" t="n"/>
      <c r="I227" s="2" t="n"/>
      <c r="J227" s="1" t="n"/>
    </row>
    <row r="228">
      <c r="A228" s="1" t="n"/>
      <c r="B228" s="25" t="n"/>
      <c r="C228" s="26" t="n"/>
      <c r="D228" s="26" t="n"/>
      <c r="E228" s="28" t="n"/>
      <c r="F228" s="65">
        <f>IF(OR(D228="",E228=""),"",IFERROR(E228*INDEX(Catalogue!$E$7:$E$19,MATCH(D228,Catalogue!$B$7:$B$19,0)),"#N/A"))</f>
        <v/>
      </c>
      <c r="G228" s="64">
        <f>IF(OR(D228="",E228=""),"",IFERROR(E228*INDEX(Catalogue!$D$7:$D$19,MATCH(D228,Catalogue!$B$7:$B$19,0)),"#N/A"))</f>
        <v/>
      </c>
      <c r="H228" s="26" t="n"/>
      <c r="I228" s="2" t="n"/>
      <c r="J228" s="1" t="n"/>
    </row>
    <row r="229">
      <c r="A229" s="1" t="n"/>
      <c r="B229" s="25" t="n"/>
      <c r="C229" s="26" t="n"/>
      <c r="D229" s="26" t="n"/>
      <c r="E229" s="28" t="n"/>
      <c r="F229" s="65">
        <f>IF(OR(D229="",E229=""),"",IFERROR(E229*INDEX(Catalogue!$E$7:$E$19,MATCH(D229,Catalogue!$B$7:$B$19,0)),"#N/A"))</f>
        <v/>
      </c>
      <c r="G229" s="64">
        <f>IF(OR(D229="",E229=""),"",IFERROR(E229*INDEX(Catalogue!$D$7:$D$19,MATCH(D229,Catalogue!$B$7:$B$19,0)),"#N/A"))</f>
        <v/>
      </c>
      <c r="H229" s="26" t="n"/>
      <c r="I229" s="2" t="n"/>
      <c r="J229" s="1" t="n"/>
    </row>
    <row r="230">
      <c r="A230" s="1" t="n"/>
      <c r="B230" s="25" t="n"/>
      <c r="C230" s="26" t="n"/>
      <c r="D230" s="26" t="n"/>
      <c r="E230" s="28" t="n"/>
      <c r="F230" s="65">
        <f>IF(OR(D230="",E230=""),"",IFERROR(E230*INDEX(Catalogue!$E$7:$E$19,MATCH(D230,Catalogue!$B$7:$B$19,0)),"#N/A"))</f>
        <v/>
      </c>
      <c r="G230" s="64">
        <f>IF(OR(D230="",E230=""),"",IFERROR(E230*INDEX(Catalogue!$D$7:$D$19,MATCH(D230,Catalogue!$B$7:$B$19,0)),"#N/A"))</f>
        <v/>
      </c>
      <c r="H230" s="26" t="n"/>
      <c r="I230" s="2" t="n"/>
      <c r="J230" s="1" t="n"/>
    </row>
    <row r="231">
      <c r="A231" s="1" t="n"/>
      <c r="B231" s="25" t="n"/>
      <c r="C231" s="26" t="n"/>
      <c r="D231" s="26" t="n"/>
      <c r="E231" s="28" t="n"/>
      <c r="F231" s="65">
        <f>IF(OR(D231="",E231=""),"",IFERROR(E231*INDEX(Catalogue!$E$7:$E$19,MATCH(D231,Catalogue!$B$7:$B$19,0)),"#N/A"))</f>
        <v/>
      </c>
      <c r="G231" s="64">
        <f>IF(OR(D231="",E231=""),"",IFERROR(E231*INDEX(Catalogue!$D$7:$D$19,MATCH(D231,Catalogue!$B$7:$B$19,0)),"#N/A"))</f>
        <v/>
      </c>
      <c r="H231" s="26" t="n"/>
      <c r="I231" s="2" t="n"/>
      <c r="J231" s="1" t="n"/>
    </row>
    <row r="232">
      <c r="A232" s="1" t="n"/>
      <c r="B232" s="25" t="n"/>
      <c r="C232" s="26" t="n"/>
      <c r="D232" s="26" t="n"/>
      <c r="E232" s="28" t="n"/>
      <c r="F232" s="65">
        <f>IF(OR(D232="",E232=""),"",IFERROR(E232*INDEX(Catalogue!$E$7:$E$19,MATCH(D232,Catalogue!$B$7:$B$19,0)),"#N/A"))</f>
        <v/>
      </c>
      <c r="G232" s="64">
        <f>IF(OR(D232="",E232=""),"",IFERROR(E232*INDEX(Catalogue!$D$7:$D$19,MATCH(D232,Catalogue!$B$7:$B$19,0)),"#N/A"))</f>
        <v/>
      </c>
      <c r="H232" s="26" t="n"/>
      <c r="I232" s="2" t="n"/>
      <c r="J232" s="1" t="n"/>
    </row>
    <row r="233">
      <c r="A233" s="1" t="n"/>
      <c r="B233" s="25" t="n"/>
      <c r="C233" s="26" t="n"/>
      <c r="D233" s="26" t="n"/>
      <c r="E233" s="28" t="n"/>
      <c r="F233" s="65">
        <f>IF(OR(D233="",E233=""),"",IFERROR(E233*INDEX(Catalogue!$E$7:$E$19,MATCH(D233,Catalogue!$B$7:$B$19,0)),"#N/A"))</f>
        <v/>
      </c>
      <c r="G233" s="64">
        <f>IF(OR(D233="",E233=""),"",IFERROR(E233*INDEX(Catalogue!$D$7:$D$19,MATCH(D233,Catalogue!$B$7:$B$19,0)),"#N/A"))</f>
        <v/>
      </c>
      <c r="H233" s="26" t="n"/>
      <c r="I233" s="2" t="n"/>
      <c r="J233" s="1" t="n"/>
    </row>
    <row r="234">
      <c r="A234" s="1" t="n"/>
      <c r="B234" s="25" t="n"/>
      <c r="C234" s="26" t="n"/>
      <c r="D234" s="26" t="n"/>
      <c r="E234" s="28" t="n"/>
      <c r="F234" s="65">
        <f>IF(OR(D234="",E234=""),"",IFERROR(E234*INDEX(Catalogue!$E$7:$E$19,MATCH(D234,Catalogue!$B$7:$B$19,0)),"#N/A"))</f>
        <v/>
      </c>
      <c r="G234" s="64">
        <f>IF(OR(D234="",E234=""),"",IFERROR(E234*INDEX(Catalogue!$D$7:$D$19,MATCH(D234,Catalogue!$B$7:$B$19,0)),"#N/A"))</f>
        <v/>
      </c>
      <c r="H234" s="26" t="n"/>
      <c r="I234" s="2" t="n"/>
      <c r="J234" s="1" t="n"/>
    </row>
    <row r="235">
      <c r="A235" s="1" t="n"/>
      <c r="B235" s="25" t="n"/>
      <c r="C235" s="26" t="n"/>
      <c r="D235" s="26" t="n"/>
      <c r="E235" s="28" t="n"/>
      <c r="F235" s="65">
        <f>IF(OR(D235="",E235=""),"",IFERROR(E235*INDEX(Catalogue!$E$7:$E$19,MATCH(D235,Catalogue!$B$7:$B$19,0)),"#N/A"))</f>
        <v/>
      </c>
      <c r="G235" s="64">
        <f>IF(OR(D235="",E235=""),"",IFERROR(E235*INDEX(Catalogue!$D$7:$D$19,MATCH(D235,Catalogue!$B$7:$B$19,0)),"#N/A"))</f>
        <v/>
      </c>
      <c r="H235" s="26" t="n"/>
      <c r="I235" s="2" t="n"/>
      <c r="J235" s="1" t="n"/>
    </row>
    <row r="236">
      <c r="A236" s="1" t="n"/>
      <c r="B236" s="25" t="n"/>
      <c r="C236" s="26" t="n"/>
      <c r="D236" s="26" t="n"/>
      <c r="E236" s="28" t="n"/>
      <c r="F236" s="65">
        <f>IF(OR(D236="",E236=""),"",IFERROR(E236*INDEX(Catalogue!$E$7:$E$19,MATCH(D236,Catalogue!$B$7:$B$19,0)),"#N/A"))</f>
        <v/>
      </c>
      <c r="G236" s="64">
        <f>IF(OR(D236="",E236=""),"",IFERROR(E236*INDEX(Catalogue!$D$7:$D$19,MATCH(D236,Catalogue!$B$7:$B$19,0)),"#N/A"))</f>
        <v/>
      </c>
      <c r="H236" s="26" t="n"/>
      <c r="I236" s="2" t="n"/>
      <c r="J236" s="1" t="n"/>
    </row>
    <row r="237">
      <c r="A237" s="1" t="n"/>
      <c r="B237" s="25" t="n"/>
      <c r="C237" s="26" t="n"/>
      <c r="D237" s="26" t="n"/>
      <c r="E237" s="28" t="n"/>
      <c r="F237" s="65">
        <f>IF(OR(D237="",E237=""),"",IFERROR(E237*INDEX(Catalogue!$E$7:$E$19,MATCH(D237,Catalogue!$B$7:$B$19,0)),"#N/A"))</f>
        <v/>
      </c>
      <c r="G237" s="64">
        <f>IF(OR(D237="",E237=""),"",IFERROR(E237*INDEX(Catalogue!$D$7:$D$19,MATCH(D237,Catalogue!$B$7:$B$19,0)),"#N/A"))</f>
        <v/>
      </c>
      <c r="H237" s="26" t="n"/>
      <c r="I237" s="2" t="n"/>
      <c r="J237" s="1" t="n"/>
    </row>
    <row r="238">
      <c r="A238" s="1" t="n"/>
      <c r="B238" s="25" t="n"/>
      <c r="C238" s="26" t="n"/>
      <c r="D238" s="26" t="n"/>
      <c r="E238" s="28" t="n"/>
      <c r="F238" s="65">
        <f>IF(OR(D238="",E238=""),"",IFERROR(E238*INDEX(Catalogue!$E$7:$E$19,MATCH(D238,Catalogue!$B$7:$B$19,0)),"#N/A"))</f>
        <v/>
      </c>
      <c r="G238" s="64">
        <f>IF(OR(D238="",E238=""),"",IFERROR(E238*INDEX(Catalogue!$D$7:$D$19,MATCH(D238,Catalogue!$B$7:$B$19,0)),"#N/A"))</f>
        <v/>
      </c>
      <c r="H238" s="26" t="n"/>
      <c r="I238" s="2" t="n"/>
      <c r="J238" s="1" t="n"/>
    </row>
    <row r="239">
      <c r="A239" s="1" t="n"/>
      <c r="B239" s="25" t="n"/>
      <c r="C239" s="26" t="n"/>
      <c r="D239" s="26" t="n"/>
      <c r="E239" s="28" t="n"/>
      <c r="F239" s="65">
        <f>IF(OR(D239="",E239=""),"",IFERROR(E239*INDEX(Catalogue!$E$7:$E$19,MATCH(D239,Catalogue!$B$7:$B$19,0)),"#N/A"))</f>
        <v/>
      </c>
      <c r="G239" s="64">
        <f>IF(OR(D239="",E239=""),"",IFERROR(E239*INDEX(Catalogue!$D$7:$D$19,MATCH(D239,Catalogue!$B$7:$B$19,0)),"#N/A"))</f>
        <v/>
      </c>
      <c r="H239" s="26" t="n"/>
      <c r="I239" s="2" t="n"/>
      <c r="J239" s="1" t="n"/>
    </row>
    <row r="240">
      <c r="A240" s="1" t="n"/>
      <c r="B240" s="25" t="n"/>
      <c r="C240" s="26" t="n"/>
      <c r="D240" s="26" t="n"/>
      <c r="E240" s="28" t="n"/>
      <c r="F240" s="65">
        <f>IF(OR(D240="",E240=""),"",IFERROR(E240*INDEX(Catalogue!$E$7:$E$19,MATCH(D240,Catalogue!$B$7:$B$19,0)),"#N/A"))</f>
        <v/>
      </c>
      <c r="G240" s="64">
        <f>IF(OR(D240="",E240=""),"",IFERROR(E240*INDEX(Catalogue!$D$7:$D$19,MATCH(D240,Catalogue!$B$7:$B$19,0)),"#N/A"))</f>
        <v/>
      </c>
      <c r="H240" s="26" t="n"/>
      <c r="I240" s="2" t="n"/>
      <c r="J240" s="1" t="n"/>
    </row>
    <row r="241">
      <c r="A241" s="1" t="n"/>
      <c r="B241" s="25" t="n"/>
      <c r="C241" s="26" t="n"/>
      <c r="D241" s="26" t="n"/>
      <c r="E241" s="28" t="n"/>
      <c r="F241" s="65">
        <f>IF(OR(D241="",E241=""),"",IFERROR(E241*INDEX(Catalogue!$E$7:$E$19,MATCH(D241,Catalogue!$B$7:$B$19,0)),"#N/A"))</f>
        <v/>
      </c>
      <c r="G241" s="64">
        <f>IF(OR(D241="",E241=""),"",IFERROR(E241*INDEX(Catalogue!$D$7:$D$19,MATCH(D241,Catalogue!$B$7:$B$19,0)),"#N/A"))</f>
        <v/>
      </c>
      <c r="H241" s="26" t="n"/>
      <c r="I241" s="2" t="n"/>
      <c r="J241" s="1" t="n"/>
    </row>
    <row r="242">
      <c r="A242" s="1" t="n"/>
      <c r="B242" s="25" t="n"/>
      <c r="C242" s="26" t="n"/>
      <c r="D242" s="26" t="n"/>
      <c r="E242" s="28" t="n"/>
      <c r="F242" s="65">
        <f>IF(OR(D242="",E242=""),"",IFERROR(E242*INDEX(Catalogue!$E$7:$E$19,MATCH(D242,Catalogue!$B$7:$B$19,0)),"#N/A"))</f>
        <v/>
      </c>
      <c r="G242" s="64">
        <f>IF(OR(D242="",E242=""),"",IFERROR(E242*INDEX(Catalogue!$D$7:$D$19,MATCH(D242,Catalogue!$B$7:$B$19,0)),"#N/A"))</f>
        <v/>
      </c>
      <c r="H242" s="26" t="n"/>
      <c r="I242" s="2" t="n"/>
      <c r="J242" s="1" t="n"/>
    </row>
    <row r="243">
      <c r="A243" s="1" t="n"/>
      <c r="B243" s="25" t="n"/>
      <c r="C243" s="26" t="n"/>
      <c r="D243" s="26" t="n"/>
      <c r="E243" s="28" t="n"/>
      <c r="F243" s="65">
        <f>IF(OR(D243="",E243=""),"",IFERROR(E243*INDEX(Catalogue!$E$7:$E$19,MATCH(D243,Catalogue!$B$7:$B$19,0)),"#N/A"))</f>
        <v/>
      </c>
      <c r="G243" s="64">
        <f>IF(OR(D243="",E243=""),"",IFERROR(E243*INDEX(Catalogue!$D$7:$D$19,MATCH(D243,Catalogue!$B$7:$B$19,0)),"#N/A"))</f>
        <v/>
      </c>
      <c r="H243" s="26" t="n"/>
      <c r="I243" s="2" t="n"/>
      <c r="J243" s="1" t="n"/>
    </row>
    <row r="244">
      <c r="A244" s="1" t="n"/>
      <c r="B244" s="25" t="n"/>
      <c r="C244" s="26" t="n"/>
      <c r="D244" s="26" t="n"/>
      <c r="E244" s="28" t="n"/>
      <c r="F244" s="65">
        <f>IF(OR(D244="",E244=""),"",IFERROR(E244*INDEX(Catalogue!$E$7:$E$19,MATCH(D244,Catalogue!$B$7:$B$19,0)),"#N/A"))</f>
        <v/>
      </c>
      <c r="G244" s="64">
        <f>IF(OR(D244="",E244=""),"",IFERROR(E244*INDEX(Catalogue!$D$7:$D$19,MATCH(D244,Catalogue!$B$7:$B$19,0)),"#N/A"))</f>
        <v/>
      </c>
      <c r="H244" s="26" t="n"/>
      <c r="I244" s="2" t="n"/>
      <c r="J244" s="1" t="n"/>
    </row>
    <row r="245">
      <c r="A245" s="1" t="n"/>
      <c r="B245" s="25" t="n"/>
      <c r="C245" s="26" t="n"/>
      <c r="D245" s="26" t="n"/>
      <c r="E245" s="28" t="n"/>
      <c r="F245" s="65">
        <f>IF(OR(D245="",E245=""),"",IFERROR(E245*INDEX(Catalogue!$E$7:$E$19,MATCH(D245,Catalogue!$B$7:$B$19,0)),"#N/A"))</f>
        <v/>
      </c>
      <c r="G245" s="64">
        <f>IF(OR(D245="",E245=""),"",IFERROR(E245*INDEX(Catalogue!$D$7:$D$19,MATCH(D245,Catalogue!$B$7:$B$19,0)),"#N/A"))</f>
        <v/>
      </c>
      <c r="H245" s="26" t="n"/>
      <c r="I245" s="2" t="n"/>
      <c r="J245" s="1" t="n"/>
    </row>
    <row r="246">
      <c r="A246" s="1" t="n"/>
      <c r="B246" s="25" t="n"/>
      <c r="C246" s="26" t="n"/>
      <c r="D246" s="26" t="n"/>
      <c r="E246" s="28" t="n"/>
      <c r="F246" s="65">
        <f>IF(OR(D246="",E246=""),"",IFERROR(E246*INDEX(Catalogue!$E$7:$E$19,MATCH(D246,Catalogue!$B$7:$B$19,0)),"#N/A"))</f>
        <v/>
      </c>
      <c r="G246" s="64">
        <f>IF(OR(D246="",E246=""),"",IFERROR(E246*INDEX(Catalogue!$D$7:$D$19,MATCH(D246,Catalogue!$B$7:$B$19,0)),"#N/A"))</f>
        <v/>
      </c>
      <c r="H246" s="26" t="n"/>
      <c r="I246" s="2" t="n"/>
      <c r="J246" s="1" t="n"/>
    </row>
    <row r="247">
      <c r="A247" s="1" t="n"/>
      <c r="B247" s="25" t="n"/>
      <c r="C247" s="26" t="n"/>
      <c r="D247" s="26" t="n"/>
      <c r="E247" s="28" t="n"/>
      <c r="F247" s="65">
        <f>IF(OR(D247="",E247=""),"",IFERROR(E247*INDEX(Catalogue!$E$7:$E$19,MATCH(D247,Catalogue!$B$7:$B$19,0)),"#N/A"))</f>
        <v/>
      </c>
      <c r="G247" s="64">
        <f>IF(OR(D247="",E247=""),"",IFERROR(E247*INDEX(Catalogue!$D$7:$D$19,MATCH(D247,Catalogue!$B$7:$B$19,0)),"#N/A"))</f>
        <v/>
      </c>
      <c r="H247" s="26" t="n"/>
      <c r="I247" s="2" t="n"/>
      <c r="J247" s="1" t="n"/>
    </row>
    <row r="248">
      <c r="A248" s="1" t="n"/>
      <c r="B248" s="25" t="n"/>
      <c r="C248" s="26" t="n"/>
      <c r="D248" s="26" t="n"/>
      <c r="E248" s="28" t="n"/>
      <c r="F248" s="65">
        <f>IF(OR(D248="",E248=""),"",IFERROR(E248*INDEX(Catalogue!$E$7:$E$19,MATCH(D248,Catalogue!$B$7:$B$19,0)),"#N/A"))</f>
        <v/>
      </c>
      <c r="G248" s="64">
        <f>IF(OR(D248="",E248=""),"",IFERROR(E248*INDEX(Catalogue!$D$7:$D$19,MATCH(D248,Catalogue!$B$7:$B$19,0)),"#N/A"))</f>
        <v/>
      </c>
      <c r="H248" s="26" t="n"/>
      <c r="I248" s="2" t="n"/>
      <c r="J248" s="1" t="n"/>
    </row>
    <row r="249">
      <c r="A249" s="1" t="n"/>
      <c r="B249" s="25" t="n"/>
      <c r="C249" s="26" t="n"/>
      <c r="D249" s="26" t="n"/>
      <c r="E249" s="28" t="n"/>
      <c r="F249" s="65">
        <f>IF(OR(D249="",E249=""),"",IFERROR(E249*INDEX(Catalogue!$E$7:$E$19,MATCH(D249,Catalogue!$B$7:$B$19,0)),"#N/A"))</f>
        <v/>
      </c>
      <c r="G249" s="64">
        <f>IF(OR(D249="",E249=""),"",IFERROR(E249*INDEX(Catalogue!$D$7:$D$19,MATCH(D249,Catalogue!$B$7:$B$19,0)),"#N/A"))</f>
        <v/>
      </c>
      <c r="H249" s="26" t="n"/>
      <c r="I249" s="2" t="n"/>
      <c r="J249" s="1" t="n"/>
    </row>
    <row r="250">
      <c r="A250" s="1" t="n"/>
      <c r="B250" s="25" t="n"/>
      <c r="C250" s="26" t="n"/>
      <c r="D250" s="26" t="n"/>
      <c r="E250" s="28" t="n"/>
      <c r="F250" s="65">
        <f>IF(OR(D250="",E250=""),"",IFERROR(E250*INDEX(Catalogue!$E$7:$E$19,MATCH(D250,Catalogue!$B$7:$B$19,0)),"#N/A"))</f>
        <v/>
      </c>
      <c r="G250" s="64">
        <f>IF(OR(D250="",E250=""),"",IFERROR(E250*INDEX(Catalogue!$D$7:$D$19,MATCH(D250,Catalogue!$B$7:$B$19,0)),"#N/A"))</f>
        <v/>
      </c>
      <c r="H250" s="26" t="n"/>
      <c r="I250" s="2" t="n"/>
      <c r="J250" s="1" t="n"/>
    </row>
    <row r="251">
      <c r="A251" s="1" t="n"/>
      <c r="B251" s="25" t="n"/>
      <c r="C251" s="26" t="n"/>
      <c r="D251" s="26" t="n"/>
      <c r="E251" s="28" t="n"/>
      <c r="F251" s="65">
        <f>IF(OR(D251="",E251=""),"",IFERROR(E251*INDEX(Catalogue!$E$7:$E$19,MATCH(D251,Catalogue!$B$7:$B$19,0)),"#N/A"))</f>
        <v/>
      </c>
      <c r="G251" s="64">
        <f>IF(OR(D251="",E251=""),"",IFERROR(E251*INDEX(Catalogue!$D$7:$D$19,MATCH(D251,Catalogue!$B$7:$B$19,0)),"#N/A"))</f>
        <v/>
      </c>
      <c r="H251" s="26" t="n"/>
      <c r="I251" s="2" t="n"/>
      <c r="J251" s="1" t="n"/>
    </row>
    <row r="252">
      <c r="A252" s="1" t="n"/>
      <c r="B252" s="25" t="n"/>
      <c r="C252" s="26" t="n"/>
      <c r="D252" s="26" t="n"/>
      <c r="E252" s="28" t="n"/>
      <c r="F252" s="65">
        <f>IF(OR(D252="",E252=""),"",IFERROR(E252*INDEX(Catalogue!$E$7:$E$19,MATCH(D252,Catalogue!$B$7:$B$19,0)),"#N/A"))</f>
        <v/>
      </c>
      <c r="G252" s="64">
        <f>IF(OR(D252="",E252=""),"",IFERROR(E252*INDEX(Catalogue!$D$7:$D$19,MATCH(D252,Catalogue!$B$7:$B$19,0)),"#N/A"))</f>
        <v/>
      </c>
      <c r="H252" s="26" t="n"/>
      <c r="I252" s="2" t="n"/>
      <c r="J252" s="1" t="n"/>
    </row>
    <row r="253">
      <c r="A253" s="1" t="n"/>
      <c r="B253" s="25" t="n"/>
      <c r="C253" s="26" t="n"/>
      <c r="D253" s="26" t="n"/>
      <c r="E253" s="28" t="n"/>
      <c r="F253" s="65">
        <f>IF(OR(D253="",E253=""),"",IFERROR(E253*INDEX(Catalogue!$E$7:$E$19,MATCH(D253,Catalogue!$B$7:$B$19,0)),"#N/A"))</f>
        <v/>
      </c>
      <c r="G253" s="64">
        <f>IF(OR(D253="",E253=""),"",IFERROR(E253*INDEX(Catalogue!$D$7:$D$19,MATCH(D253,Catalogue!$B$7:$B$19,0)),"#N/A"))</f>
        <v/>
      </c>
      <c r="H253" s="26" t="n"/>
      <c r="I253" s="2" t="n"/>
      <c r="J253" s="1" t="n"/>
    </row>
    <row r="254">
      <c r="A254" s="1" t="n"/>
      <c r="B254" s="25" t="n"/>
      <c r="C254" s="26" t="n"/>
      <c r="D254" s="26" t="n"/>
      <c r="E254" s="28" t="n"/>
      <c r="F254" s="65">
        <f>IF(OR(D254="",E254=""),"",IFERROR(E254*INDEX(Catalogue!$E$7:$E$19,MATCH(D254,Catalogue!$B$7:$B$19,0)),"#N/A"))</f>
        <v/>
      </c>
      <c r="G254" s="64">
        <f>IF(OR(D254="",E254=""),"",IFERROR(E254*INDEX(Catalogue!$D$7:$D$19,MATCH(D254,Catalogue!$B$7:$B$19,0)),"#N/A"))</f>
        <v/>
      </c>
      <c r="H254" s="26" t="n"/>
      <c r="I254" s="2" t="n"/>
      <c r="J254" s="1" t="n"/>
    </row>
    <row r="255">
      <c r="A255" s="1" t="n"/>
      <c r="B255" s="25" t="n"/>
      <c r="C255" s="26" t="n"/>
      <c r="D255" s="26" t="n"/>
      <c r="E255" s="28" t="n"/>
      <c r="F255" s="65">
        <f>IF(OR(D255="",E255=""),"",IFERROR(E255*INDEX(Catalogue!$E$7:$E$19,MATCH(D255,Catalogue!$B$7:$B$19,0)),"#N/A"))</f>
        <v/>
      </c>
      <c r="G255" s="64">
        <f>IF(OR(D255="",E255=""),"",IFERROR(E255*INDEX(Catalogue!$D$7:$D$19,MATCH(D255,Catalogue!$B$7:$B$19,0)),"#N/A"))</f>
        <v/>
      </c>
      <c r="H255" s="26" t="n"/>
      <c r="I255" s="2" t="n"/>
      <c r="J255" s="1" t="n"/>
    </row>
    <row r="256">
      <c r="A256" s="1" t="n"/>
      <c r="B256" s="25" t="n"/>
      <c r="C256" s="26" t="n"/>
      <c r="D256" s="26" t="n"/>
      <c r="E256" s="28" t="n"/>
      <c r="F256" s="65">
        <f>IF(OR(D256="",E256=""),"",IFERROR(E256*INDEX(Catalogue!$E$7:$E$19,MATCH(D256,Catalogue!$B$7:$B$19,0)),"#N/A"))</f>
        <v/>
      </c>
      <c r="G256" s="64">
        <f>IF(OR(D256="",E256=""),"",IFERROR(E256*INDEX(Catalogue!$D$7:$D$19,MATCH(D256,Catalogue!$B$7:$B$19,0)),"#N/A"))</f>
        <v/>
      </c>
      <c r="H256" s="26" t="n"/>
      <c r="I256" s="2" t="n"/>
      <c r="J256" s="1" t="n"/>
    </row>
    <row r="257">
      <c r="A257" s="1" t="n"/>
      <c r="B257" s="25" t="n"/>
      <c r="C257" s="26" t="n"/>
      <c r="D257" s="26" t="n"/>
      <c r="E257" s="28" t="n"/>
      <c r="F257" s="65">
        <f>IF(OR(D257="",E257=""),"",IFERROR(E257*INDEX(Catalogue!$E$7:$E$19,MATCH(D257,Catalogue!$B$7:$B$19,0)),"#N/A"))</f>
        <v/>
      </c>
      <c r="G257" s="64">
        <f>IF(OR(D257="",E257=""),"",IFERROR(E257*INDEX(Catalogue!$D$7:$D$19,MATCH(D257,Catalogue!$B$7:$B$19,0)),"#N/A"))</f>
        <v/>
      </c>
      <c r="H257" s="26" t="n"/>
      <c r="I257" s="2" t="n"/>
      <c r="J257" s="1" t="n"/>
    </row>
    <row r="258">
      <c r="A258" s="1" t="n"/>
      <c r="B258" s="25" t="n"/>
      <c r="C258" s="26" t="n"/>
      <c r="D258" s="26" t="n"/>
      <c r="E258" s="28" t="n"/>
      <c r="F258" s="65">
        <f>IF(OR(D258="",E258=""),"",IFERROR(E258*INDEX(Catalogue!$E$7:$E$19,MATCH(D258,Catalogue!$B$7:$B$19,0)),"#N/A"))</f>
        <v/>
      </c>
      <c r="G258" s="64">
        <f>IF(OR(D258="",E258=""),"",IFERROR(E258*INDEX(Catalogue!$D$7:$D$19,MATCH(D258,Catalogue!$B$7:$B$19,0)),"#N/A"))</f>
        <v/>
      </c>
      <c r="H258" s="26" t="n"/>
      <c r="I258" s="2" t="n"/>
      <c r="J258" s="1" t="n"/>
    </row>
    <row r="259">
      <c r="A259" s="1" t="n"/>
      <c r="B259" s="25" t="n"/>
      <c r="C259" s="26" t="n"/>
      <c r="D259" s="26" t="n"/>
      <c r="E259" s="28" t="n"/>
      <c r="F259" s="65">
        <f>IF(OR(D259="",E259=""),"",IFERROR(E259*INDEX(Catalogue!$E$7:$E$19,MATCH(D259,Catalogue!$B$7:$B$19,0)),"#N/A"))</f>
        <v/>
      </c>
      <c r="G259" s="64">
        <f>IF(OR(D259="",E259=""),"",IFERROR(E259*INDEX(Catalogue!$D$7:$D$19,MATCH(D259,Catalogue!$B$7:$B$19,0)),"#N/A"))</f>
        <v/>
      </c>
      <c r="H259" s="26" t="n"/>
      <c r="I259" s="2" t="n"/>
      <c r="J259" s="1" t="n"/>
    </row>
    <row r="260">
      <c r="A260" s="1" t="n"/>
      <c r="B260" s="25" t="n"/>
      <c r="C260" s="26" t="n"/>
      <c r="D260" s="26" t="n"/>
      <c r="E260" s="28" t="n"/>
      <c r="F260" s="65">
        <f>IF(OR(D260="",E260=""),"",IFERROR(E260*INDEX(Catalogue!$E$7:$E$19,MATCH(D260,Catalogue!$B$7:$B$19,0)),"#N/A"))</f>
        <v/>
      </c>
      <c r="G260" s="64">
        <f>IF(OR(D260="",E260=""),"",IFERROR(E260*INDEX(Catalogue!$D$7:$D$19,MATCH(D260,Catalogue!$B$7:$B$19,0)),"#N/A"))</f>
        <v/>
      </c>
      <c r="H260" s="26" t="n"/>
      <c r="I260" s="2" t="n"/>
      <c r="J260" s="1" t="n"/>
    </row>
    <row r="261">
      <c r="A261" s="1" t="n"/>
      <c r="B261" s="25" t="n"/>
      <c r="C261" s="26" t="n"/>
      <c r="D261" s="26" t="n"/>
      <c r="E261" s="28" t="n"/>
      <c r="F261" s="65">
        <f>IF(OR(D261="",E261=""),"",IFERROR(E261*INDEX(Catalogue!$E$7:$E$19,MATCH(D261,Catalogue!$B$7:$B$19,0)),"#N/A"))</f>
        <v/>
      </c>
      <c r="G261" s="64">
        <f>IF(OR(D261="",E261=""),"",IFERROR(E261*INDEX(Catalogue!$D$7:$D$19,MATCH(D261,Catalogue!$B$7:$B$19,0)),"#N/A"))</f>
        <v/>
      </c>
      <c r="H261" s="26" t="n"/>
      <c r="I261" s="2" t="n"/>
      <c r="J261" s="1" t="n"/>
    </row>
    <row r="262">
      <c r="A262" s="1" t="n"/>
      <c r="B262" s="25" t="n"/>
      <c r="C262" s="26" t="n"/>
      <c r="D262" s="26" t="n"/>
      <c r="E262" s="28" t="n"/>
      <c r="F262" s="65">
        <f>IF(OR(D262="",E262=""),"",IFERROR(E262*INDEX(Catalogue!$E$7:$E$19,MATCH(D262,Catalogue!$B$7:$B$19,0)),"#N/A"))</f>
        <v/>
      </c>
      <c r="G262" s="64">
        <f>IF(OR(D262="",E262=""),"",IFERROR(E262*INDEX(Catalogue!$D$7:$D$19,MATCH(D262,Catalogue!$B$7:$B$19,0)),"#N/A"))</f>
        <v/>
      </c>
      <c r="H262" s="26" t="n"/>
      <c r="I262" s="2" t="n"/>
      <c r="J262" s="1" t="n"/>
    </row>
    <row r="263">
      <c r="A263" s="1" t="n"/>
      <c r="B263" s="25" t="n"/>
      <c r="C263" s="26" t="n"/>
      <c r="D263" s="26" t="n"/>
      <c r="E263" s="28" t="n"/>
      <c r="F263" s="65">
        <f>IF(OR(D263="",E263=""),"",IFERROR(E263*INDEX(Catalogue!$E$7:$E$19,MATCH(D263,Catalogue!$B$7:$B$19,0)),"#N/A"))</f>
        <v/>
      </c>
      <c r="G263" s="64">
        <f>IF(OR(D263="",E263=""),"",IFERROR(E263*INDEX(Catalogue!$D$7:$D$19,MATCH(D263,Catalogue!$B$7:$B$19,0)),"#N/A"))</f>
        <v/>
      </c>
      <c r="H263" s="26" t="n"/>
      <c r="I263" s="2" t="n"/>
      <c r="J263" s="1" t="n"/>
    </row>
    <row r="264">
      <c r="A264" s="1" t="n"/>
      <c r="B264" s="25" t="n"/>
      <c r="C264" s="26" t="n"/>
      <c r="D264" s="26" t="n"/>
      <c r="E264" s="28" t="n"/>
      <c r="F264" s="65">
        <f>IF(OR(D264="",E264=""),"",IFERROR(E264*INDEX(Catalogue!$E$7:$E$19,MATCH(D264,Catalogue!$B$7:$B$19,0)),"#N/A"))</f>
        <v/>
      </c>
      <c r="G264" s="64">
        <f>IF(OR(D264="",E264=""),"",IFERROR(E264*INDEX(Catalogue!$D$7:$D$19,MATCH(D264,Catalogue!$B$7:$B$19,0)),"#N/A"))</f>
        <v/>
      </c>
      <c r="H264" s="26" t="n"/>
      <c r="I264" s="2" t="n"/>
      <c r="J264" s="1" t="n"/>
    </row>
    <row r="265">
      <c r="A265" s="1" t="n"/>
      <c r="B265" s="25" t="n"/>
      <c r="C265" s="26" t="n"/>
      <c r="D265" s="26" t="n"/>
      <c r="E265" s="28" t="n"/>
      <c r="F265" s="65">
        <f>IF(OR(D265="",E265=""),"",IFERROR(E265*INDEX(Catalogue!$E$7:$E$19,MATCH(D265,Catalogue!$B$7:$B$19,0)),"#N/A"))</f>
        <v/>
      </c>
      <c r="G265" s="64">
        <f>IF(OR(D265="",E265=""),"",IFERROR(E265*INDEX(Catalogue!$D$7:$D$19,MATCH(D265,Catalogue!$B$7:$B$19,0)),"#N/A"))</f>
        <v/>
      </c>
      <c r="H265" s="26" t="n"/>
      <c r="I265" s="2" t="n"/>
      <c r="J265" s="1" t="n"/>
    </row>
    <row r="266">
      <c r="A266" s="1" t="n"/>
      <c r="B266" s="25" t="n"/>
      <c r="C266" s="26" t="n"/>
      <c r="D266" s="26" t="n"/>
      <c r="E266" s="28" t="n"/>
      <c r="F266" s="65">
        <f>IF(OR(D266="",E266=""),"",IFERROR(E266*INDEX(Catalogue!$E$7:$E$19,MATCH(D266,Catalogue!$B$7:$B$19,0)),"#N/A"))</f>
        <v/>
      </c>
      <c r="G266" s="64">
        <f>IF(OR(D266="",E266=""),"",IFERROR(E266*INDEX(Catalogue!$D$7:$D$19,MATCH(D266,Catalogue!$B$7:$B$19,0)),"#N/A"))</f>
        <v/>
      </c>
      <c r="H266" s="26" t="n"/>
      <c r="I266" s="2" t="n"/>
      <c r="J266" s="1" t="n"/>
    </row>
    <row r="267">
      <c r="A267" s="1" t="n"/>
      <c r="B267" s="25" t="n"/>
      <c r="C267" s="26" t="n"/>
      <c r="D267" s="26" t="n"/>
      <c r="E267" s="28" t="n"/>
      <c r="F267" s="65">
        <f>IF(OR(D267="",E267=""),"",IFERROR(E267*INDEX(Catalogue!$E$7:$E$19,MATCH(D267,Catalogue!$B$7:$B$19,0)),"#N/A"))</f>
        <v/>
      </c>
      <c r="G267" s="64">
        <f>IF(OR(D267="",E267=""),"",IFERROR(E267*INDEX(Catalogue!$D$7:$D$19,MATCH(D267,Catalogue!$B$7:$B$19,0)),"#N/A"))</f>
        <v/>
      </c>
      <c r="H267" s="26" t="n"/>
      <c r="I267" s="2" t="n"/>
      <c r="J267" s="1" t="n"/>
    </row>
    <row r="268">
      <c r="A268" s="1" t="n"/>
      <c r="B268" s="25" t="n"/>
      <c r="C268" s="26" t="n"/>
      <c r="D268" s="26" t="n"/>
      <c r="E268" s="28" t="n"/>
      <c r="F268" s="65">
        <f>IF(OR(D268="",E268=""),"",IFERROR(E268*INDEX(Catalogue!$E$7:$E$19,MATCH(D268,Catalogue!$B$7:$B$19,0)),"#N/A"))</f>
        <v/>
      </c>
      <c r="G268" s="64">
        <f>IF(OR(D268="",E268=""),"",IFERROR(E268*INDEX(Catalogue!$D$7:$D$19,MATCH(D268,Catalogue!$B$7:$B$19,0)),"#N/A"))</f>
        <v/>
      </c>
      <c r="H268" s="26" t="n"/>
      <c r="I268" s="2" t="n"/>
      <c r="J268" s="1" t="n"/>
    </row>
    <row r="269">
      <c r="A269" s="1" t="n"/>
      <c r="B269" s="25" t="n"/>
      <c r="C269" s="26" t="n"/>
      <c r="D269" s="26" t="n"/>
      <c r="E269" s="28" t="n"/>
      <c r="F269" s="65">
        <f>IF(OR(D269="",E269=""),"",IFERROR(E269*INDEX(Catalogue!$E$7:$E$19,MATCH(D269,Catalogue!$B$7:$B$19,0)),"#N/A"))</f>
        <v/>
      </c>
      <c r="G269" s="64">
        <f>IF(OR(D269="",E269=""),"",IFERROR(E269*INDEX(Catalogue!$D$7:$D$19,MATCH(D269,Catalogue!$B$7:$B$19,0)),"#N/A"))</f>
        <v/>
      </c>
      <c r="H269" s="26" t="n"/>
      <c r="I269" s="2" t="n"/>
      <c r="J269" s="1" t="n"/>
    </row>
    <row r="270">
      <c r="A270" s="1" t="n"/>
      <c r="B270" s="25" t="n"/>
      <c r="C270" s="26" t="n"/>
      <c r="D270" s="26" t="n"/>
      <c r="E270" s="28" t="n"/>
      <c r="F270" s="65">
        <f>IF(OR(D270="",E270=""),"",IFERROR(E270*INDEX(Catalogue!$E$7:$E$19,MATCH(D270,Catalogue!$B$7:$B$19,0)),"#N/A"))</f>
        <v/>
      </c>
      <c r="G270" s="64">
        <f>IF(OR(D270="",E270=""),"",IFERROR(E270*INDEX(Catalogue!$D$7:$D$19,MATCH(D270,Catalogue!$B$7:$B$19,0)),"#N/A"))</f>
        <v/>
      </c>
      <c r="H270" s="26" t="n"/>
      <c r="I270" s="2" t="n"/>
      <c r="J270" s="1" t="n"/>
    </row>
    <row r="271">
      <c r="A271" s="1" t="n"/>
      <c r="B271" s="25" t="n"/>
      <c r="C271" s="26" t="n"/>
      <c r="D271" s="26" t="n"/>
      <c r="E271" s="28" t="n"/>
      <c r="F271" s="65">
        <f>IF(OR(D271="",E271=""),"",IFERROR(E271*INDEX(Catalogue!$E$7:$E$19,MATCH(D271,Catalogue!$B$7:$B$19,0)),"#N/A"))</f>
        <v/>
      </c>
      <c r="G271" s="64">
        <f>IF(OR(D271="",E271=""),"",IFERROR(E271*INDEX(Catalogue!$D$7:$D$19,MATCH(D271,Catalogue!$B$7:$B$19,0)),"#N/A"))</f>
        <v/>
      </c>
      <c r="H271" s="26" t="n"/>
      <c r="I271" s="2" t="n"/>
      <c r="J271" s="1" t="n"/>
    </row>
    <row r="272">
      <c r="A272" s="1" t="n"/>
      <c r="B272" s="25" t="n"/>
      <c r="C272" s="26" t="n"/>
      <c r="D272" s="26" t="n"/>
      <c r="E272" s="28" t="n"/>
      <c r="F272" s="65">
        <f>IF(OR(D272="",E272=""),"",IFERROR(E272*INDEX(Catalogue!$E$7:$E$19,MATCH(D272,Catalogue!$B$7:$B$19,0)),"#N/A"))</f>
        <v/>
      </c>
      <c r="G272" s="64">
        <f>IF(OR(D272="",E272=""),"",IFERROR(E272*INDEX(Catalogue!$D$7:$D$19,MATCH(D272,Catalogue!$B$7:$B$19,0)),"#N/A"))</f>
        <v/>
      </c>
      <c r="H272" s="26" t="n"/>
      <c r="I272" s="2" t="n"/>
      <c r="J272" s="1" t="n"/>
    </row>
    <row r="273">
      <c r="A273" s="1" t="n"/>
      <c r="B273" s="25" t="n"/>
      <c r="C273" s="26" t="n"/>
      <c r="D273" s="26" t="n"/>
      <c r="E273" s="28" t="n"/>
      <c r="F273" s="65">
        <f>IF(OR(D273="",E273=""),"",IFERROR(E273*INDEX(Catalogue!$E$7:$E$19,MATCH(D273,Catalogue!$B$7:$B$19,0)),"#N/A"))</f>
        <v/>
      </c>
      <c r="G273" s="64">
        <f>IF(OR(D273="",E273=""),"",IFERROR(E273*INDEX(Catalogue!$D$7:$D$19,MATCH(D273,Catalogue!$B$7:$B$19,0)),"#N/A"))</f>
        <v/>
      </c>
      <c r="H273" s="26" t="n"/>
      <c r="I273" s="2" t="n"/>
      <c r="J273" s="1" t="n"/>
    </row>
    <row r="274">
      <c r="A274" s="1" t="n"/>
      <c r="B274" s="25" t="n"/>
      <c r="C274" s="26" t="n"/>
      <c r="D274" s="26" t="n"/>
      <c r="E274" s="28" t="n"/>
      <c r="F274" s="65">
        <f>IF(OR(D274="",E274=""),"",IFERROR(E274*INDEX(Catalogue!$E$7:$E$19,MATCH(D274,Catalogue!$B$7:$B$19,0)),"#N/A"))</f>
        <v/>
      </c>
      <c r="G274" s="64">
        <f>IF(OR(D274="",E274=""),"",IFERROR(E274*INDEX(Catalogue!$D$7:$D$19,MATCH(D274,Catalogue!$B$7:$B$19,0)),"#N/A"))</f>
        <v/>
      </c>
      <c r="H274" s="26" t="n"/>
      <c r="I274" s="2" t="n"/>
      <c r="J274" s="1" t="n"/>
    </row>
    <row r="275">
      <c r="A275" s="1" t="n"/>
      <c r="B275" s="25" t="n"/>
      <c r="C275" s="26" t="n"/>
      <c r="D275" s="26" t="n"/>
      <c r="E275" s="28" t="n"/>
      <c r="F275" s="65">
        <f>IF(OR(D275="",E275=""),"",IFERROR(E275*INDEX(Catalogue!$E$7:$E$19,MATCH(D275,Catalogue!$B$7:$B$19,0)),"#N/A"))</f>
        <v/>
      </c>
      <c r="G275" s="64">
        <f>IF(OR(D275="",E275=""),"",IFERROR(E275*INDEX(Catalogue!$D$7:$D$19,MATCH(D275,Catalogue!$B$7:$B$19,0)),"#N/A"))</f>
        <v/>
      </c>
      <c r="H275" s="26" t="n"/>
      <c r="I275" s="2" t="n"/>
      <c r="J275" s="1" t="n"/>
    </row>
    <row r="276">
      <c r="A276" s="1" t="n"/>
      <c r="B276" s="25" t="n"/>
      <c r="C276" s="26" t="n"/>
      <c r="D276" s="26" t="n"/>
      <c r="E276" s="28" t="n"/>
      <c r="F276" s="65">
        <f>IF(OR(D276="",E276=""),"",IFERROR(E276*INDEX(Catalogue!$E$7:$E$19,MATCH(D276,Catalogue!$B$7:$B$19,0)),"#N/A"))</f>
        <v/>
      </c>
      <c r="G276" s="64">
        <f>IF(OR(D276="",E276=""),"",IFERROR(E276*INDEX(Catalogue!$D$7:$D$19,MATCH(D276,Catalogue!$B$7:$B$19,0)),"#N/A"))</f>
        <v/>
      </c>
      <c r="H276" s="26" t="n"/>
      <c r="I276" s="2" t="n"/>
      <c r="J276" s="1" t="n"/>
    </row>
    <row r="277">
      <c r="A277" s="1" t="n"/>
      <c r="B277" s="25" t="n"/>
      <c r="C277" s="26" t="n"/>
      <c r="D277" s="26" t="n"/>
      <c r="E277" s="28" t="n"/>
      <c r="F277" s="65">
        <f>IF(OR(D277="",E277=""),"",IFERROR(E277*INDEX(Catalogue!$E$7:$E$19,MATCH(D277,Catalogue!$B$7:$B$19,0)),"#N/A"))</f>
        <v/>
      </c>
      <c r="G277" s="64">
        <f>IF(OR(D277="",E277=""),"",IFERROR(E277*INDEX(Catalogue!$D$7:$D$19,MATCH(D277,Catalogue!$B$7:$B$19,0)),"#N/A"))</f>
        <v/>
      </c>
      <c r="H277" s="26" t="n"/>
      <c r="I277" s="2" t="n"/>
      <c r="J277" s="1" t="n"/>
    </row>
    <row r="278">
      <c r="A278" s="1" t="n"/>
      <c r="B278" s="25" t="n"/>
      <c r="C278" s="26" t="n"/>
      <c r="D278" s="26" t="n"/>
      <c r="E278" s="28" t="n"/>
      <c r="F278" s="65">
        <f>IF(OR(D278="",E278=""),"",IFERROR(E278*INDEX(Catalogue!$E$7:$E$19,MATCH(D278,Catalogue!$B$7:$B$19,0)),"#N/A"))</f>
        <v/>
      </c>
      <c r="G278" s="64">
        <f>IF(OR(D278="",E278=""),"",IFERROR(E278*INDEX(Catalogue!$D$7:$D$19,MATCH(D278,Catalogue!$B$7:$B$19,0)),"#N/A"))</f>
        <v/>
      </c>
      <c r="H278" s="26" t="n"/>
      <c r="I278" s="2" t="n"/>
      <c r="J278" s="1" t="n"/>
    </row>
    <row r="279">
      <c r="A279" s="1" t="n"/>
      <c r="B279" s="25" t="n"/>
      <c r="C279" s="26" t="n"/>
      <c r="D279" s="26" t="n"/>
      <c r="E279" s="28" t="n"/>
      <c r="F279" s="65">
        <f>IF(OR(D279="",E279=""),"",IFERROR(E279*INDEX(Catalogue!$E$7:$E$19,MATCH(D279,Catalogue!$B$7:$B$19,0)),"#N/A"))</f>
        <v/>
      </c>
      <c r="G279" s="64">
        <f>IF(OR(D279="",E279=""),"",IFERROR(E279*INDEX(Catalogue!$D$7:$D$19,MATCH(D279,Catalogue!$B$7:$B$19,0)),"#N/A"))</f>
        <v/>
      </c>
      <c r="H279" s="26" t="n"/>
      <c r="I279" s="2" t="n"/>
      <c r="J279" s="1" t="n"/>
    </row>
    <row r="280">
      <c r="A280" s="1" t="n"/>
      <c r="B280" s="25" t="n"/>
      <c r="C280" s="26" t="n"/>
      <c r="D280" s="26" t="n"/>
      <c r="E280" s="28" t="n"/>
      <c r="F280" s="65">
        <f>IF(OR(D280="",E280=""),"",IFERROR(E280*INDEX(Catalogue!$E$7:$E$19,MATCH(D280,Catalogue!$B$7:$B$19,0)),"#N/A"))</f>
        <v/>
      </c>
      <c r="G280" s="64">
        <f>IF(OR(D280="",E280=""),"",IFERROR(E280*INDEX(Catalogue!$D$7:$D$19,MATCH(D280,Catalogue!$B$7:$B$19,0)),"#N/A"))</f>
        <v/>
      </c>
      <c r="H280" s="26" t="n"/>
      <c r="I280" s="2" t="n"/>
      <c r="J280" s="1" t="n"/>
    </row>
    <row r="281">
      <c r="A281" s="1" t="n"/>
      <c r="B281" s="25" t="n"/>
      <c r="C281" s="26" t="n"/>
      <c r="D281" s="26" t="n"/>
      <c r="E281" s="28" t="n"/>
      <c r="F281" s="65">
        <f>IF(OR(D281="",E281=""),"",IFERROR(E281*INDEX(Catalogue!$E$7:$E$19,MATCH(D281,Catalogue!$B$7:$B$19,0)),"#N/A"))</f>
        <v/>
      </c>
      <c r="G281" s="64">
        <f>IF(OR(D281="",E281=""),"",IFERROR(E281*INDEX(Catalogue!$D$7:$D$19,MATCH(D281,Catalogue!$B$7:$B$19,0)),"#N/A"))</f>
        <v/>
      </c>
      <c r="H281" s="26" t="n"/>
      <c r="I281" s="2" t="n"/>
      <c r="J281" s="1" t="n"/>
    </row>
    <row r="282">
      <c r="A282" s="1" t="n"/>
      <c r="B282" s="25" t="n"/>
      <c r="C282" s="26" t="n"/>
      <c r="D282" s="26" t="n"/>
      <c r="E282" s="28" t="n"/>
      <c r="F282" s="65">
        <f>IF(OR(D282="",E282=""),"",IFERROR(E282*INDEX(Catalogue!$E$7:$E$19,MATCH(D282,Catalogue!$B$7:$B$19,0)),"#N/A"))</f>
        <v/>
      </c>
      <c r="G282" s="64">
        <f>IF(OR(D282="",E282=""),"",IFERROR(E282*INDEX(Catalogue!$D$7:$D$19,MATCH(D282,Catalogue!$B$7:$B$19,0)),"#N/A"))</f>
        <v/>
      </c>
      <c r="H282" s="26" t="n"/>
      <c r="I282" s="2" t="n"/>
      <c r="J282" s="1" t="n"/>
    </row>
    <row r="283">
      <c r="A283" s="1" t="n"/>
      <c r="B283" s="25" t="n"/>
      <c r="C283" s="26" t="n"/>
      <c r="D283" s="26" t="n"/>
      <c r="E283" s="28" t="n"/>
      <c r="F283" s="65">
        <f>IF(OR(D283="",E283=""),"",IFERROR(E283*INDEX(Catalogue!$E$7:$E$19,MATCH(D283,Catalogue!$B$7:$B$19,0)),"#N/A"))</f>
        <v/>
      </c>
      <c r="G283" s="64">
        <f>IF(OR(D283="",E283=""),"",IFERROR(E283*INDEX(Catalogue!$D$7:$D$19,MATCH(D283,Catalogue!$B$7:$B$19,0)),"#N/A"))</f>
        <v/>
      </c>
      <c r="H283" s="26" t="n"/>
      <c r="I283" s="2" t="n"/>
      <c r="J283" s="1" t="n"/>
    </row>
    <row r="284">
      <c r="A284" s="1" t="n"/>
      <c r="B284" s="25" t="n"/>
      <c r="C284" s="26" t="n"/>
      <c r="D284" s="26" t="n"/>
      <c r="E284" s="28" t="n"/>
      <c r="F284" s="65">
        <f>IF(OR(D284="",E284=""),"",IFERROR(E284*INDEX(Catalogue!$E$7:$E$19,MATCH(D284,Catalogue!$B$7:$B$19,0)),"#N/A"))</f>
        <v/>
      </c>
      <c r="G284" s="64">
        <f>IF(OR(D284="",E284=""),"",IFERROR(E284*INDEX(Catalogue!$D$7:$D$19,MATCH(D284,Catalogue!$B$7:$B$19,0)),"#N/A"))</f>
        <v/>
      </c>
      <c r="H284" s="26" t="n"/>
      <c r="I284" s="2" t="n"/>
      <c r="J284" s="1" t="n"/>
    </row>
    <row r="285">
      <c r="A285" s="1" t="n"/>
      <c r="B285" s="25" t="n"/>
      <c r="C285" s="26" t="n"/>
      <c r="D285" s="26" t="n"/>
      <c r="E285" s="28" t="n"/>
      <c r="F285" s="65">
        <f>IF(OR(D285="",E285=""),"",IFERROR(E285*INDEX(Catalogue!$E$7:$E$19,MATCH(D285,Catalogue!$B$7:$B$19,0)),"#N/A"))</f>
        <v/>
      </c>
      <c r="G285" s="64">
        <f>IF(OR(D285="",E285=""),"",IFERROR(E285*INDEX(Catalogue!$D$7:$D$19,MATCH(D285,Catalogue!$B$7:$B$19,0)),"#N/A"))</f>
        <v/>
      </c>
      <c r="H285" s="26" t="n"/>
      <c r="I285" s="2" t="n"/>
      <c r="J285" s="1" t="n"/>
    </row>
    <row r="286">
      <c r="A286" s="1" t="n"/>
      <c r="B286" s="25" t="n"/>
      <c r="C286" s="26" t="n"/>
      <c r="D286" s="26" t="n"/>
      <c r="E286" s="28" t="n"/>
      <c r="F286" s="65">
        <f>IF(OR(D286="",E286=""),"",IFERROR(E286*INDEX(Catalogue!$E$7:$E$19,MATCH(D286,Catalogue!$B$7:$B$19,0)),"#N/A"))</f>
        <v/>
      </c>
      <c r="G286" s="64">
        <f>IF(OR(D286="",E286=""),"",IFERROR(E286*INDEX(Catalogue!$D$7:$D$19,MATCH(D286,Catalogue!$B$7:$B$19,0)),"#N/A"))</f>
        <v/>
      </c>
      <c r="H286" s="26" t="n"/>
      <c r="I286" s="2" t="n"/>
      <c r="J286" s="1" t="n"/>
    </row>
    <row r="287">
      <c r="A287" s="1" t="n"/>
      <c r="B287" s="25" t="n"/>
      <c r="C287" s="26" t="n"/>
      <c r="D287" s="26" t="n"/>
      <c r="E287" s="28" t="n"/>
      <c r="F287" s="65">
        <f>IF(OR(D287="",E287=""),"",IFERROR(E287*INDEX(Catalogue!$E$7:$E$19,MATCH(D287,Catalogue!$B$7:$B$19,0)),"#N/A"))</f>
        <v/>
      </c>
      <c r="G287" s="64">
        <f>IF(OR(D287="",E287=""),"",IFERROR(E287*INDEX(Catalogue!$D$7:$D$19,MATCH(D287,Catalogue!$B$7:$B$19,0)),"#N/A"))</f>
        <v/>
      </c>
      <c r="H287" s="26" t="n"/>
      <c r="I287" s="2" t="n"/>
      <c r="J287" s="1" t="n"/>
    </row>
    <row r="288">
      <c r="A288" s="1" t="n"/>
      <c r="B288" s="25" t="n"/>
      <c r="C288" s="26" t="n"/>
      <c r="D288" s="26" t="n"/>
      <c r="E288" s="28" t="n"/>
      <c r="F288" s="65">
        <f>IF(OR(D288="",E288=""),"",IFERROR(E288*INDEX(Catalogue!$E$7:$E$19,MATCH(D288,Catalogue!$B$7:$B$19,0)),"#N/A"))</f>
        <v/>
      </c>
      <c r="G288" s="64">
        <f>IF(OR(D288="",E288=""),"",IFERROR(E288*INDEX(Catalogue!$D$7:$D$19,MATCH(D288,Catalogue!$B$7:$B$19,0)),"#N/A"))</f>
        <v/>
      </c>
      <c r="H288" s="26" t="n"/>
      <c r="I288" s="2" t="n"/>
      <c r="J288" s="1" t="n"/>
    </row>
    <row r="289">
      <c r="A289" s="1" t="n"/>
      <c r="B289" s="25" t="n"/>
      <c r="C289" s="26" t="n"/>
      <c r="D289" s="26" t="n"/>
      <c r="E289" s="28" t="n"/>
      <c r="F289" s="65">
        <f>IF(OR(D289="",E289=""),"",IFERROR(E289*INDEX(Catalogue!$E$7:$E$19,MATCH(D289,Catalogue!$B$7:$B$19,0)),"#N/A"))</f>
        <v/>
      </c>
      <c r="G289" s="64">
        <f>IF(OR(D289="",E289=""),"",IFERROR(E289*INDEX(Catalogue!$D$7:$D$19,MATCH(D289,Catalogue!$B$7:$B$19,0)),"#N/A"))</f>
        <v/>
      </c>
      <c r="H289" s="26" t="n"/>
      <c r="I289" s="2" t="n"/>
      <c r="J289" s="1" t="n"/>
    </row>
    <row r="290">
      <c r="A290" s="1" t="n"/>
      <c r="B290" s="25" t="n"/>
      <c r="C290" s="26" t="n"/>
      <c r="D290" s="26" t="n"/>
      <c r="E290" s="28" t="n"/>
      <c r="F290" s="65">
        <f>IF(OR(D290="",E290=""),"",IFERROR(E290*INDEX(Catalogue!$E$7:$E$19,MATCH(D290,Catalogue!$B$7:$B$19,0)),"#N/A"))</f>
        <v/>
      </c>
      <c r="G290" s="64">
        <f>IF(OR(D290="",E290=""),"",IFERROR(E290*INDEX(Catalogue!$D$7:$D$19,MATCH(D290,Catalogue!$B$7:$B$19,0)),"#N/A"))</f>
        <v/>
      </c>
      <c r="H290" s="26" t="n"/>
      <c r="I290" s="2" t="n"/>
      <c r="J290" s="1" t="n"/>
    </row>
    <row r="291">
      <c r="A291" s="1" t="n"/>
      <c r="B291" s="25" t="n"/>
      <c r="C291" s="26" t="n"/>
      <c r="D291" s="26" t="n"/>
      <c r="E291" s="28" t="n"/>
      <c r="F291" s="65">
        <f>IF(OR(D291="",E291=""),"",IFERROR(E291*INDEX(Catalogue!$E$7:$E$19,MATCH(D291,Catalogue!$B$7:$B$19,0)),"#N/A"))</f>
        <v/>
      </c>
      <c r="G291" s="64">
        <f>IF(OR(D291="",E291=""),"",IFERROR(E291*INDEX(Catalogue!$D$7:$D$19,MATCH(D291,Catalogue!$B$7:$B$19,0)),"#N/A"))</f>
        <v/>
      </c>
      <c r="H291" s="26" t="n"/>
      <c r="I291" s="2" t="n"/>
      <c r="J291" s="1" t="n"/>
    </row>
    <row r="292">
      <c r="A292" s="1" t="n"/>
      <c r="B292" s="25" t="n"/>
      <c r="C292" s="26" t="n"/>
      <c r="D292" s="26" t="n"/>
      <c r="E292" s="28" t="n"/>
      <c r="F292" s="65">
        <f>IF(OR(D292="",E292=""),"",IFERROR(E292*INDEX(Catalogue!$E$7:$E$19,MATCH(D292,Catalogue!$B$7:$B$19,0)),"#N/A"))</f>
        <v/>
      </c>
      <c r="G292" s="64">
        <f>IF(OR(D292="",E292=""),"",IFERROR(E292*INDEX(Catalogue!$D$7:$D$19,MATCH(D292,Catalogue!$B$7:$B$19,0)),"#N/A"))</f>
        <v/>
      </c>
      <c r="H292" s="26" t="n"/>
      <c r="I292" s="2" t="n"/>
      <c r="J292" s="1" t="n"/>
    </row>
    <row r="293">
      <c r="A293" s="1" t="n"/>
      <c r="B293" s="25" t="n"/>
      <c r="C293" s="26" t="n"/>
      <c r="D293" s="26" t="n"/>
      <c r="E293" s="28" t="n"/>
      <c r="F293" s="65">
        <f>IF(OR(D293="",E293=""),"",IFERROR(E293*INDEX(Catalogue!$E$7:$E$19,MATCH(D293,Catalogue!$B$7:$B$19,0)),"#N/A"))</f>
        <v/>
      </c>
      <c r="G293" s="64">
        <f>IF(OR(D293="",E293=""),"",IFERROR(E293*INDEX(Catalogue!$D$7:$D$19,MATCH(D293,Catalogue!$B$7:$B$19,0)),"#N/A"))</f>
        <v/>
      </c>
      <c r="H293" s="26" t="n"/>
      <c r="I293" s="2" t="n"/>
      <c r="J293" s="1" t="n"/>
    </row>
    <row r="294">
      <c r="A294" s="1" t="n"/>
      <c r="B294" s="25" t="n"/>
      <c r="C294" s="26" t="n"/>
      <c r="D294" s="26" t="n"/>
      <c r="E294" s="28" t="n"/>
      <c r="F294" s="65">
        <f>IF(OR(D294="",E294=""),"",IFERROR(E294*INDEX(Catalogue!$E$7:$E$19,MATCH(D294,Catalogue!$B$7:$B$19,0)),"#N/A"))</f>
        <v/>
      </c>
      <c r="G294" s="64">
        <f>IF(OR(D294="",E294=""),"",IFERROR(E294*INDEX(Catalogue!$D$7:$D$19,MATCH(D294,Catalogue!$B$7:$B$19,0)),"#N/A"))</f>
        <v/>
      </c>
      <c r="H294" s="26" t="n"/>
      <c r="I294" s="2" t="n"/>
      <c r="J294" s="1" t="n"/>
    </row>
    <row r="295">
      <c r="A295" s="1" t="n"/>
      <c r="B295" s="25" t="n"/>
      <c r="C295" s="26" t="n"/>
      <c r="D295" s="26" t="n"/>
      <c r="E295" s="28" t="n"/>
      <c r="F295" s="65">
        <f>IF(OR(D295="",E295=""),"",IFERROR(E295*INDEX(Catalogue!$E$7:$E$19,MATCH(D295,Catalogue!$B$7:$B$19,0)),"#N/A"))</f>
        <v/>
      </c>
      <c r="G295" s="64">
        <f>IF(OR(D295="",E295=""),"",IFERROR(E295*INDEX(Catalogue!$D$7:$D$19,MATCH(D295,Catalogue!$B$7:$B$19,0)),"#N/A"))</f>
        <v/>
      </c>
      <c r="H295" s="26" t="n"/>
      <c r="I295" s="2" t="n"/>
      <c r="J295" s="1" t="n"/>
    </row>
    <row r="296">
      <c r="A296" s="1" t="n"/>
      <c r="B296" s="25" t="n"/>
      <c r="C296" s="26" t="n"/>
      <c r="D296" s="26" t="n"/>
      <c r="E296" s="28" t="n"/>
      <c r="F296" s="65">
        <f>IF(OR(D296="",E296=""),"",IFERROR(E296*INDEX(Catalogue!$E$7:$E$19,MATCH(D296,Catalogue!$B$7:$B$19,0)),"#N/A"))</f>
        <v/>
      </c>
      <c r="G296" s="64">
        <f>IF(OR(D296="",E296=""),"",IFERROR(E296*INDEX(Catalogue!$D$7:$D$19,MATCH(D296,Catalogue!$B$7:$B$19,0)),"#N/A"))</f>
        <v/>
      </c>
      <c r="H296" s="26" t="n"/>
      <c r="I296" s="2" t="n"/>
      <c r="J296" s="1" t="n"/>
    </row>
    <row r="297">
      <c r="A297" s="1" t="n"/>
      <c r="B297" s="25" t="n"/>
      <c r="C297" s="26" t="n"/>
      <c r="D297" s="26" t="n"/>
      <c r="E297" s="28" t="n"/>
      <c r="F297" s="65">
        <f>IF(OR(D297="",E297=""),"",IFERROR(E297*INDEX(Catalogue!$E$7:$E$19,MATCH(D297,Catalogue!$B$7:$B$19,0)),"#N/A"))</f>
        <v/>
      </c>
      <c r="G297" s="64">
        <f>IF(OR(D297="",E297=""),"",IFERROR(E297*INDEX(Catalogue!$D$7:$D$19,MATCH(D297,Catalogue!$B$7:$B$19,0)),"#N/A"))</f>
        <v/>
      </c>
      <c r="H297" s="26" t="n"/>
      <c r="I297" s="2" t="n"/>
      <c r="J297" s="1" t="n"/>
    </row>
    <row r="298">
      <c r="A298" s="1" t="n"/>
      <c r="B298" s="25" t="n"/>
      <c r="C298" s="26" t="n"/>
      <c r="D298" s="26" t="n"/>
      <c r="E298" s="28" t="n"/>
      <c r="F298" s="65">
        <f>IF(OR(D298="",E298=""),"",IFERROR(E298*INDEX(Catalogue!$E$7:$E$19,MATCH(D298,Catalogue!$B$7:$B$19,0)),"#N/A"))</f>
        <v/>
      </c>
      <c r="G298" s="64">
        <f>IF(OR(D298="",E298=""),"",IFERROR(E298*INDEX(Catalogue!$D$7:$D$19,MATCH(D298,Catalogue!$B$7:$B$19,0)),"#N/A"))</f>
        <v/>
      </c>
      <c r="H298" s="26" t="n"/>
      <c r="I298" s="2" t="n"/>
      <c r="J298" s="1" t="n"/>
    </row>
    <row r="299">
      <c r="A299" s="1" t="n"/>
      <c r="B299" s="25" t="n"/>
      <c r="C299" s="26" t="n"/>
      <c r="D299" s="26" t="n"/>
      <c r="E299" s="28" t="n"/>
      <c r="F299" s="65">
        <f>IF(OR(D299="",E299=""),"",IFERROR(E299*INDEX(Catalogue!$E$7:$E$19,MATCH(D299,Catalogue!$B$7:$B$19,0)),"#N/A"))</f>
        <v/>
      </c>
      <c r="G299" s="64">
        <f>IF(OR(D299="",E299=""),"",IFERROR(E299*INDEX(Catalogue!$D$7:$D$19,MATCH(D299,Catalogue!$B$7:$B$19,0)),"#N/A"))</f>
        <v/>
      </c>
      <c r="H299" s="26" t="n"/>
      <c r="I299" s="2" t="n"/>
      <c r="J299" s="1" t="n"/>
    </row>
    <row r="300">
      <c r="A300" s="1" t="n"/>
      <c r="B300" s="25" t="n"/>
      <c r="C300" s="26" t="n"/>
      <c r="D300" s="26" t="n"/>
      <c r="E300" s="28" t="n"/>
      <c r="F300" s="65">
        <f>IF(OR(D300="",E300=""),"",IFERROR(E300*INDEX(Catalogue!$E$7:$E$19,MATCH(D300,Catalogue!$B$7:$B$19,0)),"#N/A"))</f>
        <v/>
      </c>
      <c r="G300" s="64">
        <f>IF(OR(D300="",E300=""),"",IFERROR(E300*INDEX(Catalogue!$D$7:$D$19,MATCH(D300,Catalogue!$B$7:$B$19,0)),"#N/A"))</f>
        <v/>
      </c>
      <c r="H300" s="26" t="n"/>
      <c r="I300" s="2" t="n"/>
      <c r="J300" s="1" t="n"/>
    </row>
    <row r="301">
      <c r="A301" s="1" t="n"/>
      <c r="B301" s="25" t="n"/>
      <c r="C301" s="26" t="n"/>
      <c r="D301" s="26" t="n"/>
      <c r="E301" s="28" t="n"/>
      <c r="F301" s="65">
        <f>IF(OR(D301="",E301=""),"",IFERROR(E301*INDEX(Catalogue!$E$7:$E$19,MATCH(D301,Catalogue!$B$7:$B$19,0)),"#N/A"))</f>
        <v/>
      </c>
      <c r="G301" s="64">
        <f>IF(OR(D301="",E301=""),"",IFERROR(E301*INDEX(Catalogue!$D$7:$D$19,MATCH(D301,Catalogue!$B$7:$B$19,0)),"#N/A"))</f>
        <v/>
      </c>
      <c r="H301" s="26" t="n"/>
      <c r="I301" s="2" t="n"/>
      <c r="J301" s="1" t="n"/>
    </row>
    <row r="302">
      <c r="A302" s="1" t="n"/>
      <c r="B302" s="25" t="n"/>
      <c r="C302" s="26" t="n"/>
      <c r="D302" s="26" t="n"/>
      <c r="E302" s="28" t="n"/>
      <c r="F302" s="65">
        <f>IF(OR(D302="",E302=""),"",IFERROR(E302*INDEX(Catalogue!$E$7:$E$19,MATCH(D302,Catalogue!$B$7:$B$19,0)),"#N/A"))</f>
        <v/>
      </c>
      <c r="G302" s="64">
        <f>IF(OR(D302="",E302=""),"",IFERROR(E302*INDEX(Catalogue!$D$7:$D$19,MATCH(D302,Catalogue!$B$7:$B$19,0)),"#N/A"))</f>
        <v/>
      </c>
      <c r="H302" s="26" t="n"/>
      <c r="I302" s="2" t="n"/>
      <c r="J302" s="1" t="n"/>
    </row>
    <row r="303">
      <c r="A303" s="1" t="n"/>
      <c r="B303" s="25" t="n"/>
      <c r="C303" s="26" t="n"/>
      <c r="D303" s="26" t="n"/>
      <c r="E303" s="28" t="n"/>
      <c r="F303" s="65">
        <f>IF(OR(D303="",E303=""),"",IFERROR(E303*INDEX(Catalogue!$E$7:$E$19,MATCH(D303,Catalogue!$B$7:$B$19,0)),"#N/A"))</f>
        <v/>
      </c>
      <c r="G303" s="64">
        <f>IF(OR(D303="",E303=""),"",IFERROR(E303*INDEX(Catalogue!$D$7:$D$19,MATCH(D303,Catalogue!$B$7:$B$19,0)),"#N/A"))</f>
        <v/>
      </c>
      <c r="H303" s="26" t="n"/>
      <c r="I303" s="2" t="n"/>
      <c r="J303" s="1" t="n"/>
    </row>
    <row r="304">
      <c r="A304" s="1" t="n"/>
      <c r="B304" s="25" t="n"/>
      <c r="C304" s="26" t="n"/>
      <c r="D304" s="26" t="n"/>
      <c r="E304" s="28" t="n"/>
      <c r="F304" s="65">
        <f>IF(OR(D304="",E304=""),"",IFERROR(E304*INDEX(Catalogue!$E$7:$E$19,MATCH(D304,Catalogue!$B$7:$B$19,0)),"#N/A"))</f>
        <v/>
      </c>
      <c r="G304" s="64">
        <f>IF(OR(D304="",E304=""),"",IFERROR(E304*INDEX(Catalogue!$D$7:$D$19,MATCH(D304,Catalogue!$B$7:$B$19,0)),"#N/A"))</f>
        <v/>
      </c>
      <c r="H304" s="26" t="n"/>
      <c r="I304" s="2" t="n"/>
      <c r="J304" s="1" t="n"/>
    </row>
    <row r="305">
      <c r="A305" s="1" t="n"/>
      <c r="B305" s="25" t="n"/>
      <c r="C305" s="26" t="n"/>
      <c r="D305" s="26" t="n"/>
      <c r="E305" s="28" t="n"/>
      <c r="F305" s="65">
        <f>IF(OR(D305="",E305=""),"",IFERROR(E305*INDEX(Catalogue!$E$7:$E$19,MATCH(D305,Catalogue!$B$7:$B$19,0)),"#N/A"))</f>
        <v/>
      </c>
      <c r="G305" s="64">
        <f>IF(OR(D305="",E305=""),"",IFERROR(E305*INDEX(Catalogue!$D$7:$D$19,MATCH(D305,Catalogue!$B$7:$B$19,0)),"#N/A"))</f>
        <v/>
      </c>
      <c r="H305" s="26" t="n"/>
      <c r="I305" s="2" t="n"/>
      <c r="J305" s="1" t="n"/>
    </row>
    <row r="306">
      <c r="A306" s="1" t="n"/>
      <c r="B306" s="25" t="n"/>
      <c r="C306" s="26" t="n"/>
      <c r="D306" s="26" t="n"/>
      <c r="E306" s="28" t="n"/>
      <c r="F306" s="65">
        <f>IF(OR(D306="",E306=""),"",IFERROR(E306*INDEX(Catalogue!$E$7:$E$19,MATCH(D306,Catalogue!$B$7:$B$19,0)),"#N/A"))</f>
        <v/>
      </c>
      <c r="G306" s="64">
        <f>IF(OR(D306="",E306=""),"",IFERROR(E306*INDEX(Catalogue!$D$7:$D$19,MATCH(D306,Catalogue!$B$7:$B$19,0)),"#N/A"))</f>
        <v/>
      </c>
      <c r="H306" s="26" t="n"/>
      <c r="I306" s="2" t="n"/>
      <c r="J306" s="1" t="n"/>
    </row>
    <row r="307">
      <c r="A307" s="1" t="n"/>
      <c r="B307" s="25" t="n"/>
      <c r="C307" s="26" t="n"/>
      <c r="D307" s="26" t="n"/>
      <c r="E307" s="28" t="n"/>
      <c r="F307" s="65">
        <f>IF(OR(D307="",E307=""),"",IFERROR(E307*INDEX(Catalogue!$E$7:$E$19,MATCH(D307,Catalogue!$B$7:$B$19,0)),"#N/A"))</f>
        <v/>
      </c>
      <c r="G307" s="64">
        <f>IF(OR(D307="",E307=""),"",IFERROR(E307*INDEX(Catalogue!$D$7:$D$19,MATCH(D307,Catalogue!$B$7:$B$19,0)),"#N/A"))</f>
        <v/>
      </c>
      <c r="H307" s="26" t="n"/>
      <c r="I307" s="2" t="n"/>
      <c r="J307" s="1" t="n"/>
    </row>
    <row r="308">
      <c r="A308" s="1" t="n"/>
      <c r="B308" s="25" t="n"/>
      <c r="C308" s="26" t="n"/>
      <c r="D308" s="26" t="n"/>
      <c r="E308" s="28" t="n"/>
      <c r="F308" s="65">
        <f>IF(OR(D308="",E308=""),"",IFERROR(E308*INDEX(Catalogue!$E$7:$E$19,MATCH(D308,Catalogue!$B$7:$B$19,0)),"#N/A"))</f>
        <v/>
      </c>
      <c r="G308" s="64">
        <f>IF(OR(D308="",E308=""),"",IFERROR(E308*INDEX(Catalogue!$D$7:$D$19,MATCH(D308,Catalogue!$B$7:$B$19,0)),"#N/A"))</f>
        <v/>
      </c>
      <c r="H308" s="26" t="n"/>
      <c r="I308" s="2" t="n"/>
      <c r="J308" s="1" t="n"/>
    </row>
    <row r="309">
      <c r="A309" s="1" t="n"/>
      <c r="B309" s="25" t="n"/>
      <c r="C309" s="26" t="n"/>
      <c r="D309" s="26" t="n"/>
      <c r="E309" s="28" t="n"/>
      <c r="F309" s="65">
        <f>IF(OR(D309="",E309=""),"",IFERROR(E309*INDEX(Catalogue!$E$7:$E$19,MATCH(D309,Catalogue!$B$7:$B$19,0)),"#N/A"))</f>
        <v/>
      </c>
      <c r="G309" s="64">
        <f>IF(OR(D309="",E309=""),"",IFERROR(E309*INDEX(Catalogue!$D$7:$D$19,MATCH(D309,Catalogue!$B$7:$B$19,0)),"#N/A"))</f>
        <v/>
      </c>
      <c r="H309" s="26" t="n"/>
      <c r="I309" s="2" t="n"/>
      <c r="J309" s="1" t="n"/>
    </row>
    <row r="310">
      <c r="A310" s="1" t="n"/>
      <c r="B310" s="25" t="n"/>
      <c r="C310" s="26" t="n"/>
      <c r="D310" s="26" t="n"/>
      <c r="E310" s="28" t="n"/>
      <c r="F310" s="65">
        <f>IF(OR(D310="",E310=""),"",IFERROR(E310*INDEX(Catalogue!$E$7:$E$19,MATCH(D310,Catalogue!$B$7:$B$19,0)),"#N/A"))</f>
        <v/>
      </c>
      <c r="G310" s="64">
        <f>IF(OR(D310="",E310=""),"",IFERROR(E310*INDEX(Catalogue!$D$7:$D$19,MATCH(D310,Catalogue!$B$7:$B$19,0)),"#N/A"))</f>
        <v/>
      </c>
      <c r="H310" s="26" t="n"/>
      <c r="I310" s="2" t="n"/>
      <c r="J310" s="1" t="n"/>
    </row>
    <row r="311">
      <c r="A311" s="1" t="n"/>
      <c r="B311" s="25" t="n"/>
      <c r="C311" s="26" t="n"/>
      <c r="D311" s="26" t="n"/>
      <c r="E311" s="28" t="n"/>
      <c r="F311" s="65">
        <f>IF(OR(D311="",E311=""),"",IFERROR(E311*INDEX(Catalogue!$E$7:$E$19,MATCH(D311,Catalogue!$B$7:$B$19,0)),"#N/A"))</f>
        <v/>
      </c>
      <c r="G311" s="64">
        <f>IF(OR(D311="",E311=""),"",IFERROR(E311*INDEX(Catalogue!$D$7:$D$19,MATCH(D311,Catalogue!$B$7:$B$19,0)),"#N/A"))</f>
        <v/>
      </c>
      <c r="H311" s="26" t="n"/>
      <c r="I311" s="2" t="n"/>
      <c r="J311" s="1" t="n"/>
    </row>
    <row r="312">
      <c r="A312" s="1" t="n"/>
      <c r="B312" s="25" t="n"/>
      <c r="C312" s="26" t="n"/>
      <c r="D312" s="26" t="n"/>
      <c r="E312" s="28" t="n"/>
      <c r="F312" s="65">
        <f>IF(OR(D312="",E312=""),"",IFERROR(E312*INDEX(Catalogue!$E$7:$E$19,MATCH(D312,Catalogue!$B$7:$B$19,0)),"#N/A"))</f>
        <v/>
      </c>
      <c r="G312" s="64">
        <f>IF(OR(D312="",E312=""),"",IFERROR(E312*INDEX(Catalogue!$D$7:$D$19,MATCH(D312,Catalogue!$B$7:$B$19,0)),"#N/A"))</f>
        <v/>
      </c>
      <c r="H312" s="26" t="n"/>
      <c r="I312" s="2" t="n"/>
      <c r="J312" s="1" t="n"/>
    </row>
    <row r="313">
      <c r="A313" s="1" t="n"/>
      <c r="B313" s="25" t="n"/>
      <c r="C313" s="26" t="n"/>
      <c r="D313" s="26" t="n"/>
      <c r="E313" s="28" t="n"/>
      <c r="F313" s="65">
        <f>IF(OR(D313="",E313=""),"",IFERROR(E313*INDEX(Catalogue!$E$7:$E$19,MATCH(D313,Catalogue!$B$7:$B$19,0)),"#N/A"))</f>
        <v/>
      </c>
      <c r="G313" s="64">
        <f>IF(OR(D313="",E313=""),"",IFERROR(E313*INDEX(Catalogue!$D$7:$D$19,MATCH(D313,Catalogue!$B$7:$B$19,0)),"#N/A"))</f>
        <v/>
      </c>
      <c r="H313" s="26" t="n"/>
      <c r="I313" s="2" t="n"/>
      <c r="J313" s="1" t="n"/>
    </row>
    <row r="314">
      <c r="A314" s="1" t="n"/>
      <c r="B314" s="25" t="n"/>
      <c r="C314" s="26" t="n"/>
      <c r="D314" s="26" t="n"/>
      <c r="E314" s="28" t="n"/>
      <c r="F314" s="65">
        <f>IF(OR(D314="",E314=""),"",IFERROR(E314*INDEX(Catalogue!$E$7:$E$19,MATCH(D314,Catalogue!$B$7:$B$19,0)),"#N/A"))</f>
        <v/>
      </c>
      <c r="G314" s="64">
        <f>IF(OR(D314="",E314=""),"",IFERROR(E314*INDEX(Catalogue!$D$7:$D$19,MATCH(D314,Catalogue!$B$7:$B$19,0)),"#N/A"))</f>
        <v/>
      </c>
      <c r="H314" s="26" t="n"/>
      <c r="I314" s="2" t="n"/>
      <c r="J314" s="1" t="n"/>
    </row>
    <row r="315">
      <c r="A315" s="1" t="n"/>
      <c r="B315" s="25" t="n"/>
      <c r="C315" s="26" t="n"/>
      <c r="D315" s="26" t="n"/>
      <c r="E315" s="28" t="n"/>
      <c r="F315" s="65">
        <f>IF(OR(D315="",E315=""),"",IFERROR(E315*INDEX(Catalogue!$E$7:$E$19,MATCH(D315,Catalogue!$B$7:$B$19,0)),"#N/A"))</f>
        <v/>
      </c>
      <c r="G315" s="64">
        <f>IF(OR(D315="",E315=""),"",IFERROR(E315*INDEX(Catalogue!$D$7:$D$19,MATCH(D315,Catalogue!$B$7:$B$19,0)),"#N/A"))</f>
        <v/>
      </c>
      <c r="H315" s="26" t="n"/>
      <c r="I315" s="2" t="n"/>
      <c r="J315" s="1" t="n"/>
    </row>
    <row r="316">
      <c r="A316" s="1" t="n"/>
      <c r="B316" s="25" t="n"/>
      <c r="C316" s="26" t="n"/>
      <c r="D316" s="26" t="n"/>
      <c r="E316" s="28" t="n"/>
      <c r="F316" s="65">
        <f>IF(OR(D316="",E316=""),"",IFERROR(E316*INDEX(Catalogue!$E$7:$E$19,MATCH(D316,Catalogue!$B$7:$B$19,0)),"#N/A"))</f>
        <v/>
      </c>
      <c r="G316" s="64">
        <f>IF(OR(D316="",E316=""),"",IFERROR(E316*INDEX(Catalogue!$D$7:$D$19,MATCH(D316,Catalogue!$B$7:$B$19,0)),"#N/A"))</f>
        <v/>
      </c>
      <c r="H316" s="26" t="n"/>
      <c r="I316" s="2" t="n"/>
      <c r="J316" s="1" t="n"/>
    </row>
    <row r="317">
      <c r="A317" s="1" t="n"/>
      <c r="B317" s="25" t="n"/>
      <c r="C317" s="26" t="n"/>
      <c r="D317" s="26" t="n"/>
      <c r="E317" s="28" t="n"/>
      <c r="F317" s="65">
        <f>IF(OR(D317="",E317=""),"",IFERROR(E317*INDEX(Catalogue!$E$7:$E$19,MATCH(D317,Catalogue!$B$7:$B$19,0)),"#N/A"))</f>
        <v/>
      </c>
      <c r="G317" s="64">
        <f>IF(OR(D317="",E317=""),"",IFERROR(E317*INDEX(Catalogue!$D$7:$D$19,MATCH(D317,Catalogue!$B$7:$B$19,0)),"#N/A"))</f>
        <v/>
      </c>
      <c r="H317" s="26" t="n"/>
      <c r="I317" s="2" t="n"/>
      <c r="J317" s="1" t="n"/>
    </row>
    <row r="318">
      <c r="A318" s="1" t="n"/>
      <c r="B318" s="25" t="n"/>
      <c r="C318" s="26" t="n"/>
      <c r="D318" s="26" t="n"/>
      <c r="E318" s="28" t="n"/>
      <c r="F318" s="65">
        <f>IF(OR(D318="",E318=""),"",IFERROR(E318*INDEX(Catalogue!$E$7:$E$19,MATCH(D318,Catalogue!$B$7:$B$19,0)),"#N/A"))</f>
        <v/>
      </c>
      <c r="G318" s="64">
        <f>IF(OR(D318="",E318=""),"",IFERROR(E318*INDEX(Catalogue!$D$7:$D$19,MATCH(D318,Catalogue!$B$7:$B$19,0)),"#N/A"))</f>
        <v/>
      </c>
      <c r="H318" s="26" t="n"/>
      <c r="I318" s="2" t="n"/>
      <c r="J318" s="1" t="n"/>
    </row>
    <row r="319">
      <c r="A319" s="1" t="n"/>
      <c r="B319" s="25" t="n"/>
      <c r="C319" s="26" t="n"/>
      <c r="D319" s="26" t="n"/>
      <c r="E319" s="28" t="n"/>
      <c r="F319" s="65">
        <f>IF(OR(D319="",E319=""),"",IFERROR(E319*INDEX(Catalogue!$E$7:$E$19,MATCH(D319,Catalogue!$B$7:$B$19,0)),"#N/A"))</f>
        <v/>
      </c>
      <c r="G319" s="64">
        <f>IF(OR(D319="",E319=""),"",IFERROR(E319*INDEX(Catalogue!$D$7:$D$19,MATCH(D319,Catalogue!$B$7:$B$19,0)),"#N/A"))</f>
        <v/>
      </c>
      <c r="H319" s="26" t="n"/>
      <c r="I319" s="2" t="n"/>
      <c r="J319" s="1" t="n"/>
    </row>
    <row r="320">
      <c r="A320" s="1" t="n"/>
      <c r="B320" s="25" t="n"/>
      <c r="C320" s="26" t="n"/>
      <c r="D320" s="26" t="n"/>
      <c r="E320" s="28" t="n"/>
      <c r="F320" s="65">
        <f>IF(OR(D320="",E320=""),"",IFERROR(E320*INDEX(Catalogue!$E$7:$E$19,MATCH(D320,Catalogue!$B$7:$B$19,0)),"#N/A"))</f>
        <v/>
      </c>
      <c r="G320" s="64">
        <f>IF(OR(D320="",E320=""),"",IFERROR(E320*INDEX(Catalogue!$D$7:$D$19,MATCH(D320,Catalogue!$B$7:$B$19,0)),"#N/A"))</f>
        <v/>
      </c>
      <c r="H320" s="26" t="n"/>
      <c r="I320" s="2" t="n"/>
      <c r="J320" s="1" t="n"/>
    </row>
    <row r="321">
      <c r="A321" s="1" t="n"/>
      <c r="B321" s="25" t="n"/>
      <c r="C321" s="26" t="n"/>
      <c r="D321" s="26" t="n"/>
      <c r="E321" s="28" t="n"/>
      <c r="F321" s="65">
        <f>IF(OR(D321="",E321=""),"",IFERROR(E321*INDEX(Catalogue!$E$7:$E$19,MATCH(D321,Catalogue!$B$7:$B$19,0)),"#N/A"))</f>
        <v/>
      </c>
      <c r="G321" s="64">
        <f>IF(OR(D321="",E321=""),"",IFERROR(E321*INDEX(Catalogue!$D$7:$D$19,MATCH(D321,Catalogue!$B$7:$B$19,0)),"#N/A"))</f>
        <v/>
      </c>
      <c r="H321" s="26" t="n"/>
      <c r="I321" s="2" t="n"/>
      <c r="J321" s="1" t="n"/>
    </row>
    <row r="322">
      <c r="A322" s="1" t="n"/>
      <c r="B322" s="25" t="n"/>
      <c r="C322" s="26" t="n"/>
      <c r="D322" s="26" t="n"/>
      <c r="E322" s="28" t="n"/>
      <c r="F322" s="65">
        <f>IF(OR(D322="",E322=""),"",IFERROR(E322*INDEX(Catalogue!$E$7:$E$19,MATCH(D322,Catalogue!$B$7:$B$19,0)),"#N/A"))</f>
        <v/>
      </c>
      <c r="G322" s="64">
        <f>IF(OR(D322="",E322=""),"",IFERROR(E322*INDEX(Catalogue!$D$7:$D$19,MATCH(D322,Catalogue!$B$7:$B$19,0)),"#N/A"))</f>
        <v/>
      </c>
      <c r="H322" s="26" t="n"/>
      <c r="I322" s="2" t="n"/>
      <c r="J322" s="1" t="n"/>
    </row>
    <row r="323">
      <c r="A323" s="1" t="n"/>
      <c r="B323" s="25" t="n"/>
      <c r="C323" s="26" t="n"/>
      <c r="D323" s="26" t="n"/>
      <c r="E323" s="28" t="n"/>
      <c r="F323" s="65">
        <f>IF(OR(D323="",E323=""),"",IFERROR(E323*INDEX(Catalogue!$E$7:$E$19,MATCH(D323,Catalogue!$B$7:$B$19,0)),"#N/A"))</f>
        <v/>
      </c>
      <c r="G323" s="64">
        <f>IF(OR(D323="",E323=""),"",IFERROR(E323*INDEX(Catalogue!$D$7:$D$19,MATCH(D323,Catalogue!$B$7:$B$19,0)),"#N/A"))</f>
        <v/>
      </c>
      <c r="H323" s="26" t="n"/>
      <c r="I323" s="2" t="n"/>
      <c r="J323" s="1" t="n"/>
    </row>
    <row r="324">
      <c r="A324" s="1" t="n"/>
      <c r="B324" s="25" t="n"/>
      <c r="C324" s="26" t="n"/>
      <c r="D324" s="26" t="n"/>
      <c r="E324" s="28" t="n"/>
      <c r="F324" s="65">
        <f>IF(OR(D324="",E324=""),"",IFERROR(E324*INDEX(Catalogue!$E$7:$E$19,MATCH(D324,Catalogue!$B$7:$B$19,0)),"#N/A"))</f>
        <v/>
      </c>
      <c r="G324" s="64">
        <f>IF(OR(D324="",E324=""),"",IFERROR(E324*INDEX(Catalogue!$D$7:$D$19,MATCH(D324,Catalogue!$B$7:$B$19,0)),"#N/A"))</f>
        <v/>
      </c>
      <c r="H324" s="26" t="n"/>
      <c r="I324" s="2" t="n"/>
      <c r="J324" s="1" t="n"/>
    </row>
    <row r="325">
      <c r="A325" s="1" t="n"/>
      <c r="B325" s="25" t="n"/>
      <c r="C325" s="26" t="n"/>
      <c r="D325" s="26" t="n"/>
      <c r="E325" s="28" t="n"/>
      <c r="F325" s="65">
        <f>IF(OR(D325="",E325=""),"",IFERROR(E325*INDEX(Catalogue!$E$7:$E$19,MATCH(D325,Catalogue!$B$7:$B$19,0)),"#N/A"))</f>
        <v/>
      </c>
      <c r="G325" s="64">
        <f>IF(OR(D325="",E325=""),"",IFERROR(E325*INDEX(Catalogue!$D$7:$D$19,MATCH(D325,Catalogue!$B$7:$B$19,0)),"#N/A"))</f>
        <v/>
      </c>
      <c r="H325" s="26" t="n"/>
      <c r="I325" s="2" t="n"/>
      <c r="J325" s="1" t="n"/>
    </row>
    <row r="326">
      <c r="A326" s="1" t="n"/>
      <c r="B326" s="25" t="n"/>
      <c r="C326" s="26" t="n"/>
      <c r="D326" s="26" t="n"/>
      <c r="E326" s="28" t="n"/>
      <c r="F326" s="65">
        <f>IF(OR(D326="",E326=""),"",IFERROR(E326*INDEX(Catalogue!$E$7:$E$19,MATCH(D326,Catalogue!$B$7:$B$19,0)),"#N/A"))</f>
        <v/>
      </c>
      <c r="G326" s="64">
        <f>IF(OR(D326="",E326=""),"",IFERROR(E326*INDEX(Catalogue!$D$7:$D$19,MATCH(D326,Catalogue!$B$7:$B$19,0)),"#N/A"))</f>
        <v/>
      </c>
      <c r="H326" s="26" t="n"/>
      <c r="I326" s="2" t="n"/>
      <c r="J326" s="1" t="n"/>
    </row>
    <row r="327">
      <c r="A327" s="1" t="n"/>
      <c r="B327" s="25" t="n"/>
      <c r="C327" s="26" t="n"/>
      <c r="D327" s="26" t="n"/>
      <c r="E327" s="28" t="n"/>
      <c r="F327" s="65">
        <f>IF(OR(D327="",E327=""),"",IFERROR(E327*INDEX(Catalogue!$E$7:$E$19,MATCH(D327,Catalogue!$B$7:$B$19,0)),"#N/A"))</f>
        <v/>
      </c>
      <c r="G327" s="64">
        <f>IF(OR(D327="",E327=""),"",IFERROR(E327*INDEX(Catalogue!$D$7:$D$19,MATCH(D327,Catalogue!$B$7:$B$19,0)),"#N/A"))</f>
        <v/>
      </c>
      <c r="H327" s="26" t="n"/>
      <c r="I327" s="2" t="n"/>
      <c r="J327" s="1" t="n"/>
    </row>
    <row r="328">
      <c r="A328" s="1" t="n"/>
      <c r="B328" s="25" t="n"/>
      <c r="C328" s="26" t="n"/>
      <c r="D328" s="26" t="n"/>
      <c r="E328" s="28" t="n"/>
      <c r="F328" s="65">
        <f>IF(OR(D328="",E328=""),"",IFERROR(E328*INDEX(Catalogue!$E$7:$E$19,MATCH(D328,Catalogue!$B$7:$B$19,0)),"#N/A"))</f>
        <v/>
      </c>
      <c r="G328" s="64">
        <f>IF(OR(D328="",E328=""),"",IFERROR(E328*INDEX(Catalogue!$D$7:$D$19,MATCH(D328,Catalogue!$B$7:$B$19,0)),"#N/A"))</f>
        <v/>
      </c>
      <c r="H328" s="26" t="n"/>
      <c r="I328" s="2" t="n"/>
      <c r="J328" s="1" t="n"/>
    </row>
    <row r="329">
      <c r="A329" s="1" t="n"/>
      <c r="B329" s="25" t="n"/>
      <c r="C329" s="26" t="n"/>
      <c r="D329" s="26" t="n"/>
      <c r="E329" s="28" t="n"/>
      <c r="F329" s="65">
        <f>IF(OR(D329="",E329=""),"",IFERROR(E329*INDEX(Catalogue!$E$7:$E$19,MATCH(D329,Catalogue!$B$7:$B$19,0)),"#N/A"))</f>
        <v/>
      </c>
      <c r="G329" s="64">
        <f>IF(OR(D329="",E329=""),"",IFERROR(E329*INDEX(Catalogue!$D$7:$D$19,MATCH(D329,Catalogue!$B$7:$B$19,0)),"#N/A"))</f>
        <v/>
      </c>
      <c r="H329" s="26" t="n"/>
      <c r="I329" s="2" t="n"/>
      <c r="J329" s="1" t="n"/>
    </row>
    <row r="330">
      <c r="A330" s="1" t="n"/>
      <c r="B330" s="25" t="n"/>
      <c r="C330" s="26" t="n"/>
      <c r="D330" s="26" t="n"/>
      <c r="E330" s="28" t="n"/>
      <c r="F330" s="65">
        <f>IF(OR(D330="",E330=""),"",IFERROR(E330*INDEX(Catalogue!$E$7:$E$19,MATCH(D330,Catalogue!$B$7:$B$19,0)),"#N/A"))</f>
        <v/>
      </c>
      <c r="G330" s="64">
        <f>IF(OR(D330="",E330=""),"",IFERROR(E330*INDEX(Catalogue!$D$7:$D$19,MATCH(D330,Catalogue!$B$7:$B$19,0)),"#N/A"))</f>
        <v/>
      </c>
      <c r="H330" s="26" t="n"/>
      <c r="I330" s="2" t="n"/>
      <c r="J330" s="1" t="n"/>
    </row>
    <row r="331">
      <c r="A331" s="1" t="n"/>
      <c r="B331" s="25" t="n"/>
      <c r="C331" s="26" t="n"/>
      <c r="D331" s="26" t="n"/>
      <c r="E331" s="28" t="n"/>
      <c r="F331" s="65">
        <f>IF(OR(D331="",E331=""),"",IFERROR(E331*INDEX(Catalogue!$E$7:$E$19,MATCH(D331,Catalogue!$B$7:$B$19,0)),"#N/A"))</f>
        <v/>
      </c>
      <c r="G331" s="64">
        <f>IF(OR(D331="",E331=""),"",IFERROR(E331*INDEX(Catalogue!$D$7:$D$19,MATCH(D331,Catalogue!$B$7:$B$19,0)),"#N/A"))</f>
        <v/>
      </c>
      <c r="H331" s="26" t="n"/>
      <c r="I331" s="2" t="n"/>
      <c r="J331" s="1" t="n"/>
    </row>
    <row r="332">
      <c r="A332" s="1" t="n"/>
      <c r="B332" s="25" t="n"/>
      <c r="C332" s="26" t="n"/>
      <c r="D332" s="26" t="n"/>
      <c r="E332" s="28" t="n"/>
      <c r="F332" s="65">
        <f>IF(OR(D332="",E332=""),"",IFERROR(E332*INDEX(Catalogue!$E$7:$E$19,MATCH(D332,Catalogue!$B$7:$B$19,0)),"#N/A"))</f>
        <v/>
      </c>
      <c r="G332" s="64">
        <f>IF(OR(D332="",E332=""),"",IFERROR(E332*INDEX(Catalogue!$D$7:$D$19,MATCH(D332,Catalogue!$B$7:$B$19,0)),"#N/A"))</f>
        <v/>
      </c>
      <c r="H332" s="26" t="n"/>
      <c r="I332" s="2" t="n"/>
      <c r="J332" s="1" t="n"/>
    </row>
    <row r="333">
      <c r="A333" s="1" t="n"/>
      <c r="B333" s="25" t="n"/>
      <c r="C333" s="26" t="n"/>
      <c r="D333" s="26" t="n"/>
      <c r="E333" s="28" t="n"/>
      <c r="F333" s="65">
        <f>IF(OR(D333="",E333=""),"",IFERROR(E333*INDEX(Catalogue!$E$7:$E$19,MATCH(D333,Catalogue!$B$7:$B$19,0)),"#N/A"))</f>
        <v/>
      </c>
      <c r="G333" s="64">
        <f>IF(OR(D333="",E333=""),"",IFERROR(E333*INDEX(Catalogue!$D$7:$D$19,MATCH(D333,Catalogue!$B$7:$B$19,0)),"#N/A"))</f>
        <v/>
      </c>
      <c r="H333" s="26" t="n"/>
      <c r="I333" s="2" t="n"/>
      <c r="J333" s="1" t="n"/>
    </row>
    <row r="334">
      <c r="A334" s="1" t="n"/>
      <c r="B334" s="25" t="n"/>
      <c r="C334" s="26" t="n"/>
      <c r="D334" s="26" t="n"/>
      <c r="E334" s="28" t="n"/>
      <c r="F334" s="65">
        <f>IF(OR(D334="",E334=""),"",IFERROR(E334*INDEX(Catalogue!$E$7:$E$19,MATCH(D334,Catalogue!$B$7:$B$19,0)),"#N/A"))</f>
        <v/>
      </c>
      <c r="G334" s="64">
        <f>IF(OR(D334="",E334=""),"",IFERROR(E334*INDEX(Catalogue!$D$7:$D$19,MATCH(D334,Catalogue!$B$7:$B$19,0)),"#N/A"))</f>
        <v/>
      </c>
      <c r="H334" s="26" t="n"/>
      <c r="I334" s="2" t="n"/>
      <c r="J334" s="1" t="n"/>
    </row>
    <row r="335">
      <c r="A335" s="1" t="n"/>
      <c r="B335" s="25" t="n"/>
      <c r="C335" s="26" t="n"/>
      <c r="D335" s="26" t="n"/>
      <c r="E335" s="28" t="n"/>
      <c r="F335" s="65">
        <f>IF(OR(D335="",E335=""),"",IFERROR(E335*INDEX(Catalogue!$E$7:$E$19,MATCH(D335,Catalogue!$B$7:$B$19,0)),"#N/A"))</f>
        <v/>
      </c>
      <c r="G335" s="64">
        <f>IF(OR(D335="",E335=""),"",IFERROR(E335*INDEX(Catalogue!$D$7:$D$19,MATCH(D335,Catalogue!$B$7:$B$19,0)),"#N/A"))</f>
        <v/>
      </c>
      <c r="H335" s="26" t="n"/>
      <c r="I335" s="2" t="n"/>
      <c r="J335" s="1" t="n"/>
    </row>
    <row r="336">
      <c r="A336" s="1" t="n"/>
      <c r="B336" s="25" t="n"/>
      <c r="C336" s="26" t="n"/>
      <c r="D336" s="26" t="n"/>
      <c r="E336" s="28" t="n"/>
      <c r="F336" s="65">
        <f>IF(OR(D336="",E336=""),"",IFERROR(E336*INDEX(Catalogue!$E$7:$E$19,MATCH(D336,Catalogue!$B$7:$B$19,0)),"#N/A"))</f>
        <v/>
      </c>
      <c r="G336" s="64">
        <f>IF(OR(D336="",E336=""),"",IFERROR(E336*INDEX(Catalogue!$D$7:$D$19,MATCH(D336,Catalogue!$B$7:$B$19,0)),"#N/A"))</f>
        <v/>
      </c>
      <c r="H336" s="26" t="n"/>
      <c r="I336" s="2" t="n"/>
      <c r="J336" s="1" t="n"/>
    </row>
    <row r="337">
      <c r="A337" s="1" t="n"/>
      <c r="B337" s="25" t="n"/>
      <c r="C337" s="26" t="n"/>
      <c r="D337" s="26" t="n"/>
      <c r="E337" s="28" t="n"/>
      <c r="F337" s="65">
        <f>IF(OR(D337="",E337=""),"",IFERROR(E337*INDEX(Catalogue!$E$7:$E$19,MATCH(D337,Catalogue!$B$7:$B$19,0)),"#N/A"))</f>
        <v/>
      </c>
      <c r="G337" s="64">
        <f>IF(OR(D337="",E337=""),"",IFERROR(E337*INDEX(Catalogue!$D$7:$D$19,MATCH(D337,Catalogue!$B$7:$B$19,0)),"#N/A"))</f>
        <v/>
      </c>
      <c r="H337" s="26" t="n"/>
      <c r="I337" s="2" t="n"/>
      <c r="J337" s="1" t="n"/>
    </row>
    <row r="338">
      <c r="A338" s="1" t="n"/>
      <c r="B338" s="25" t="n"/>
      <c r="C338" s="26" t="n"/>
      <c r="D338" s="26" t="n"/>
      <c r="E338" s="28" t="n"/>
      <c r="F338" s="65">
        <f>IF(OR(D338="",E338=""),"",IFERROR(E338*INDEX(Catalogue!$E$7:$E$19,MATCH(D338,Catalogue!$B$7:$B$19,0)),"#N/A"))</f>
        <v/>
      </c>
      <c r="G338" s="64">
        <f>IF(OR(D338="",E338=""),"",IFERROR(E338*INDEX(Catalogue!$D$7:$D$19,MATCH(D338,Catalogue!$B$7:$B$19,0)),"#N/A"))</f>
        <v/>
      </c>
      <c r="H338" s="26" t="n"/>
      <c r="I338" s="2" t="n"/>
      <c r="J338" s="1" t="n"/>
    </row>
    <row r="339">
      <c r="A339" s="1" t="n"/>
      <c r="B339" s="25" t="n"/>
      <c r="C339" s="26" t="n"/>
      <c r="D339" s="26" t="n"/>
      <c r="E339" s="28" t="n"/>
      <c r="F339" s="65">
        <f>IF(OR(D339="",E339=""),"",IFERROR(E339*INDEX(Catalogue!$E$7:$E$19,MATCH(D339,Catalogue!$B$7:$B$19,0)),"#N/A"))</f>
        <v/>
      </c>
      <c r="G339" s="64">
        <f>IF(OR(D339="",E339=""),"",IFERROR(E339*INDEX(Catalogue!$D$7:$D$19,MATCH(D339,Catalogue!$B$7:$B$19,0)),"#N/A"))</f>
        <v/>
      </c>
      <c r="H339" s="26" t="n"/>
      <c r="I339" s="2" t="n"/>
      <c r="J339" s="1" t="n"/>
    </row>
    <row r="340">
      <c r="A340" s="1" t="n"/>
      <c r="B340" s="25" t="n"/>
      <c r="C340" s="26" t="n"/>
      <c r="D340" s="26" t="n"/>
      <c r="E340" s="28" t="n"/>
      <c r="F340" s="65">
        <f>IF(OR(D340="",E340=""),"",IFERROR(E340*INDEX(Catalogue!$E$7:$E$19,MATCH(D340,Catalogue!$B$7:$B$19,0)),"#N/A"))</f>
        <v/>
      </c>
      <c r="G340" s="64">
        <f>IF(OR(D340="",E340=""),"",IFERROR(E340*INDEX(Catalogue!$D$7:$D$19,MATCH(D340,Catalogue!$B$7:$B$19,0)),"#N/A"))</f>
        <v/>
      </c>
      <c r="H340" s="26" t="n"/>
      <c r="I340" s="2" t="n"/>
      <c r="J340" s="1" t="n"/>
    </row>
    <row r="341">
      <c r="A341" s="1" t="n"/>
      <c r="B341" s="25" t="n"/>
      <c r="C341" s="26" t="n"/>
      <c r="D341" s="26" t="n"/>
      <c r="E341" s="28" t="n"/>
      <c r="F341" s="65">
        <f>IF(OR(D341="",E341=""),"",IFERROR(E341*INDEX(Catalogue!$E$7:$E$19,MATCH(D341,Catalogue!$B$7:$B$19,0)),"#N/A"))</f>
        <v/>
      </c>
      <c r="G341" s="64">
        <f>IF(OR(D341="",E341=""),"",IFERROR(E341*INDEX(Catalogue!$D$7:$D$19,MATCH(D341,Catalogue!$B$7:$B$19,0)),"#N/A"))</f>
        <v/>
      </c>
      <c r="H341" s="26" t="n"/>
      <c r="I341" s="2" t="n"/>
      <c r="J341" s="1" t="n"/>
    </row>
    <row r="342">
      <c r="A342" s="1" t="n"/>
      <c r="B342" s="25" t="n"/>
      <c r="C342" s="26" t="n"/>
      <c r="D342" s="26" t="n"/>
      <c r="E342" s="28" t="n"/>
      <c r="F342" s="65">
        <f>IF(OR(D342="",E342=""),"",IFERROR(E342*INDEX(Catalogue!$E$7:$E$19,MATCH(D342,Catalogue!$B$7:$B$19,0)),"#N/A"))</f>
        <v/>
      </c>
      <c r="G342" s="64">
        <f>IF(OR(D342="",E342=""),"",IFERROR(E342*INDEX(Catalogue!$D$7:$D$19,MATCH(D342,Catalogue!$B$7:$B$19,0)),"#N/A"))</f>
        <v/>
      </c>
      <c r="H342" s="26" t="n"/>
      <c r="I342" s="2" t="n"/>
      <c r="J342" s="1" t="n"/>
    </row>
    <row r="343">
      <c r="A343" s="1" t="n"/>
      <c r="B343" s="25" t="n"/>
      <c r="C343" s="26" t="n"/>
      <c r="D343" s="26" t="n"/>
      <c r="E343" s="28" t="n"/>
      <c r="F343" s="65">
        <f>IF(OR(D343="",E343=""),"",IFERROR(E343*INDEX(Catalogue!$E$7:$E$19,MATCH(D343,Catalogue!$B$7:$B$19,0)),"#N/A"))</f>
        <v/>
      </c>
      <c r="G343" s="64">
        <f>IF(OR(D343="",E343=""),"",IFERROR(E343*INDEX(Catalogue!$D$7:$D$19,MATCH(D343,Catalogue!$B$7:$B$19,0)),"#N/A"))</f>
        <v/>
      </c>
      <c r="H343" s="26" t="n"/>
      <c r="I343" s="2" t="n"/>
      <c r="J343" s="1" t="n"/>
    </row>
    <row r="344">
      <c r="A344" s="1" t="n"/>
      <c r="B344" s="25" t="n"/>
      <c r="C344" s="26" t="n"/>
      <c r="D344" s="26" t="n"/>
      <c r="E344" s="28" t="n"/>
      <c r="F344" s="65">
        <f>IF(OR(D344="",E344=""),"",IFERROR(E344*INDEX(Catalogue!$E$7:$E$19,MATCH(D344,Catalogue!$B$7:$B$19,0)),"#N/A"))</f>
        <v/>
      </c>
      <c r="G344" s="64">
        <f>IF(OR(D344="",E344=""),"",IFERROR(E344*INDEX(Catalogue!$D$7:$D$19,MATCH(D344,Catalogue!$B$7:$B$19,0)),"#N/A"))</f>
        <v/>
      </c>
      <c r="H344" s="26" t="n"/>
      <c r="I344" s="2" t="n"/>
      <c r="J344" s="1" t="n"/>
    </row>
    <row r="345">
      <c r="A345" s="1" t="n"/>
      <c r="B345" s="25" t="n"/>
      <c r="C345" s="26" t="n"/>
      <c r="D345" s="26" t="n"/>
      <c r="E345" s="28" t="n"/>
      <c r="F345" s="65">
        <f>IF(OR(D345="",E345=""),"",IFERROR(E345*INDEX(Catalogue!$E$7:$E$19,MATCH(D345,Catalogue!$B$7:$B$19,0)),"#N/A"))</f>
        <v/>
      </c>
      <c r="G345" s="64">
        <f>IF(OR(D345="",E345=""),"",IFERROR(E345*INDEX(Catalogue!$D$7:$D$19,MATCH(D345,Catalogue!$B$7:$B$19,0)),"#N/A"))</f>
        <v/>
      </c>
      <c r="H345" s="26" t="n"/>
      <c r="I345" s="2" t="n"/>
      <c r="J345" s="1" t="n"/>
    </row>
    <row r="346">
      <c r="A346" s="1" t="n"/>
      <c r="B346" s="25" t="n"/>
      <c r="C346" s="26" t="n"/>
      <c r="D346" s="26" t="n"/>
      <c r="E346" s="28" t="n"/>
      <c r="F346" s="65">
        <f>IF(OR(D346="",E346=""),"",IFERROR(E346*INDEX(Catalogue!$E$7:$E$19,MATCH(D346,Catalogue!$B$7:$B$19,0)),"#N/A"))</f>
        <v/>
      </c>
      <c r="G346" s="64">
        <f>IF(OR(D346="",E346=""),"",IFERROR(E346*INDEX(Catalogue!$D$7:$D$19,MATCH(D346,Catalogue!$B$7:$B$19,0)),"#N/A"))</f>
        <v/>
      </c>
      <c r="H346" s="26" t="n"/>
      <c r="I346" s="2" t="n"/>
      <c r="J346" s="1" t="n"/>
    </row>
    <row r="347">
      <c r="A347" s="1" t="n"/>
      <c r="B347" s="25" t="n"/>
      <c r="C347" s="26" t="n"/>
      <c r="D347" s="26" t="n"/>
      <c r="E347" s="28" t="n"/>
      <c r="F347" s="65">
        <f>IF(OR(D347="",E347=""),"",IFERROR(E347*INDEX(Catalogue!$E$7:$E$19,MATCH(D347,Catalogue!$B$7:$B$19,0)),"#N/A"))</f>
        <v/>
      </c>
      <c r="G347" s="64">
        <f>IF(OR(D347="",E347=""),"",IFERROR(E347*INDEX(Catalogue!$D$7:$D$19,MATCH(D347,Catalogue!$B$7:$B$19,0)),"#N/A"))</f>
        <v/>
      </c>
      <c r="H347" s="26" t="n"/>
      <c r="I347" s="2" t="n"/>
      <c r="J347" s="1" t="n"/>
    </row>
    <row r="348">
      <c r="A348" s="1" t="n"/>
      <c r="B348" s="25" t="n"/>
      <c r="C348" s="26" t="n"/>
      <c r="D348" s="26" t="n"/>
      <c r="E348" s="28" t="n"/>
      <c r="F348" s="65">
        <f>IF(OR(D348="",E348=""),"",IFERROR(E348*INDEX(Catalogue!$E$7:$E$19,MATCH(D348,Catalogue!$B$7:$B$19,0)),"#N/A"))</f>
        <v/>
      </c>
      <c r="G348" s="64">
        <f>IF(OR(D348="",E348=""),"",IFERROR(E348*INDEX(Catalogue!$D$7:$D$19,MATCH(D348,Catalogue!$B$7:$B$19,0)),"#N/A"))</f>
        <v/>
      </c>
      <c r="H348" s="26" t="n"/>
      <c r="I348" s="2" t="n"/>
      <c r="J348" s="1" t="n"/>
    </row>
    <row r="349">
      <c r="A349" s="1" t="n"/>
      <c r="B349" s="25" t="n"/>
      <c r="C349" s="26" t="n"/>
      <c r="D349" s="26" t="n"/>
      <c r="E349" s="28" t="n"/>
      <c r="F349" s="65">
        <f>IF(OR(D349="",E349=""),"",IFERROR(E349*INDEX(Catalogue!$E$7:$E$19,MATCH(D349,Catalogue!$B$7:$B$19,0)),"#N/A"))</f>
        <v/>
      </c>
      <c r="G349" s="64">
        <f>IF(OR(D349="",E349=""),"",IFERROR(E349*INDEX(Catalogue!$D$7:$D$19,MATCH(D349,Catalogue!$B$7:$B$19,0)),"#N/A"))</f>
        <v/>
      </c>
      <c r="H349" s="26" t="n"/>
      <c r="I349" s="2" t="n"/>
      <c r="J349" s="1" t="n"/>
    </row>
    <row r="350">
      <c r="A350" s="1" t="n"/>
      <c r="B350" s="25" t="n"/>
      <c r="C350" s="26" t="n"/>
      <c r="D350" s="26" t="n"/>
      <c r="E350" s="28" t="n"/>
      <c r="F350" s="65">
        <f>IF(OR(D350="",E350=""),"",IFERROR(E350*INDEX(Catalogue!$E$7:$E$19,MATCH(D350,Catalogue!$B$7:$B$19,0)),"#N/A"))</f>
        <v/>
      </c>
      <c r="G350" s="64">
        <f>IF(OR(D350="",E350=""),"",IFERROR(E350*INDEX(Catalogue!$D$7:$D$19,MATCH(D350,Catalogue!$B$7:$B$19,0)),"#N/A"))</f>
        <v/>
      </c>
      <c r="H350" s="26" t="n"/>
      <c r="I350" s="2" t="n"/>
      <c r="J350" s="1" t="n"/>
    </row>
    <row r="351">
      <c r="A351" s="1" t="n"/>
      <c r="B351" s="25" t="n"/>
      <c r="C351" s="26" t="n"/>
      <c r="D351" s="26" t="n"/>
      <c r="E351" s="28" t="n"/>
      <c r="F351" s="65">
        <f>IF(OR(D351="",E351=""),"",IFERROR(E351*INDEX(Catalogue!$E$7:$E$19,MATCH(D351,Catalogue!$B$7:$B$19,0)),"#N/A"))</f>
        <v/>
      </c>
      <c r="G351" s="64">
        <f>IF(OR(D351="",E351=""),"",IFERROR(E351*INDEX(Catalogue!$D$7:$D$19,MATCH(D351,Catalogue!$B$7:$B$19,0)),"#N/A"))</f>
        <v/>
      </c>
      <c r="H351" s="26" t="n"/>
      <c r="I351" s="2" t="n"/>
      <c r="J351" s="1" t="n"/>
    </row>
    <row r="352">
      <c r="A352" s="1" t="n"/>
      <c r="B352" s="25" t="n"/>
      <c r="C352" s="26" t="n"/>
      <c r="D352" s="26" t="n"/>
      <c r="E352" s="28" t="n"/>
      <c r="F352" s="65">
        <f>IF(OR(D352="",E352=""),"",IFERROR(E352*INDEX(Catalogue!$E$7:$E$19,MATCH(D352,Catalogue!$B$7:$B$19,0)),"#N/A"))</f>
        <v/>
      </c>
      <c r="G352" s="64">
        <f>IF(OR(D352="",E352=""),"",IFERROR(E352*INDEX(Catalogue!$D$7:$D$19,MATCH(D352,Catalogue!$B$7:$B$19,0)),"#N/A"))</f>
        <v/>
      </c>
      <c r="H352" s="26" t="n"/>
      <c r="I352" s="2" t="n"/>
      <c r="J352" s="1" t="n"/>
    </row>
    <row r="353">
      <c r="A353" s="1" t="n"/>
      <c r="B353" s="25" t="n"/>
      <c r="C353" s="26" t="n"/>
      <c r="D353" s="26" t="n"/>
      <c r="E353" s="28" t="n"/>
      <c r="F353" s="65">
        <f>IF(OR(D353="",E353=""),"",IFERROR(E353*INDEX(Catalogue!$E$7:$E$19,MATCH(D353,Catalogue!$B$7:$B$19,0)),"#N/A"))</f>
        <v/>
      </c>
      <c r="G353" s="64">
        <f>IF(OR(D353="",E353=""),"",IFERROR(E353*INDEX(Catalogue!$D$7:$D$19,MATCH(D353,Catalogue!$B$7:$B$19,0)),"#N/A"))</f>
        <v/>
      </c>
      <c r="H353" s="26" t="n"/>
      <c r="I353" s="2" t="n"/>
      <c r="J353" s="1" t="n"/>
    </row>
    <row r="354">
      <c r="A354" s="1" t="n"/>
      <c r="B354" s="25" t="n"/>
      <c r="C354" s="26" t="n"/>
      <c r="D354" s="26" t="n"/>
      <c r="E354" s="28" t="n"/>
      <c r="F354" s="65">
        <f>IF(OR(D354="",E354=""),"",IFERROR(E354*INDEX(Catalogue!$E$7:$E$19,MATCH(D354,Catalogue!$B$7:$B$19,0)),"#N/A"))</f>
        <v/>
      </c>
      <c r="G354" s="64">
        <f>IF(OR(D354="",E354=""),"",IFERROR(E354*INDEX(Catalogue!$D$7:$D$19,MATCH(D354,Catalogue!$B$7:$B$19,0)),"#N/A"))</f>
        <v/>
      </c>
      <c r="H354" s="26" t="n"/>
      <c r="I354" s="2" t="n"/>
      <c r="J354" s="1" t="n"/>
    </row>
    <row r="355">
      <c r="A355" s="1" t="n"/>
      <c r="B355" s="25" t="n"/>
      <c r="C355" s="26" t="n"/>
      <c r="D355" s="26" t="n"/>
      <c r="E355" s="28" t="n"/>
      <c r="F355" s="65">
        <f>IF(OR(D355="",E355=""),"",IFERROR(E355*INDEX(Catalogue!$E$7:$E$19,MATCH(D355,Catalogue!$B$7:$B$19,0)),"#N/A"))</f>
        <v/>
      </c>
      <c r="G355" s="64">
        <f>IF(OR(D355="",E355=""),"",IFERROR(E355*INDEX(Catalogue!$D$7:$D$19,MATCH(D355,Catalogue!$B$7:$B$19,0)),"#N/A"))</f>
        <v/>
      </c>
      <c r="H355" s="26" t="n"/>
      <c r="I355" s="2" t="n"/>
      <c r="J355" s="1" t="n"/>
    </row>
    <row r="356">
      <c r="A356" s="1" t="n"/>
      <c r="B356" s="25" t="n"/>
      <c r="C356" s="26" t="n"/>
      <c r="D356" s="26" t="n"/>
      <c r="E356" s="28" t="n"/>
      <c r="F356" s="65">
        <f>IF(OR(D356="",E356=""),"",IFERROR(E356*INDEX(Catalogue!$E$7:$E$19,MATCH(D356,Catalogue!$B$7:$B$19,0)),"#N/A"))</f>
        <v/>
      </c>
      <c r="G356" s="64">
        <f>IF(OR(D356="",E356=""),"",IFERROR(E356*INDEX(Catalogue!$D$7:$D$19,MATCH(D356,Catalogue!$B$7:$B$19,0)),"#N/A"))</f>
        <v/>
      </c>
      <c r="H356" s="26" t="n"/>
      <c r="I356" s="2" t="n"/>
      <c r="J356" s="1" t="n"/>
    </row>
    <row r="357">
      <c r="A357" s="1" t="n"/>
      <c r="B357" s="25" t="n"/>
      <c r="C357" s="26" t="n"/>
      <c r="D357" s="26" t="n"/>
      <c r="E357" s="28" t="n"/>
      <c r="F357" s="65">
        <f>IF(OR(D357="",E357=""),"",IFERROR(E357*INDEX(Catalogue!$E$7:$E$19,MATCH(D357,Catalogue!$B$7:$B$19,0)),"#N/A"))</f>
        <v/>
      </c>
      <c r="G357" s="64">
        <f>IF(OR(D357="",E357=""),"",IFERROR(E357*INDEX(Catalogue!$D$7:$D$19,MATCH(D357,Catalogue!$B$7:$B$19,0)),"#N/A"))</f>
        <v/>
      </c>
      <c r="H357" s="26" t="n"/>
      <c r="I357" s="2" t="n"/>
      <c r="J357" s="1" t="n"/>
    </row>
    <row r="358">
      <c r="A358" s="1" t="n"/>
      <c r="B358" s="25" t="n"/>
      <c r="C358" s="26" t="n"/>
      <c r="D358" s="26" t="n"/>
      <c r="E358" s="28" t="n"/>
      <c r="F358" s="65">
        <f>IF(OR(D358="",E358=""),"",IFERROR(E358*INDEX(Catalogue!$E$7:$E$19,MATCH(D358,Catalogue!$B$7:$B$19,0)),"#N/A"))</f>
        <v/>
      </c>
      <c r="G358" s="64">
        <f>IF(OR(D358="",E358=""),"",IFERROR(E358*INDEX(Catalogue!$D$7:$D$19,MATCH(D358,Catalogue!$B$7:$B$19,0)),"#N/A"))</f>
        <v/>
      </c>
      <c r="H358" s="26" t="n"/>
      <c r="I358" s="2" t="n"/>
      <c r="J358" s="1" t="n"/>
    </row>
    <row r="359">
      <c r="A359" s="1" t="n"/>
      <c r="B359" s="25" t="n"/>
      <c r="C359" s="26" t="n"/>
      <c r="D359" s="26" t="n"/>
      <c r="E359" s="28" t="n"/>
      <c r="F359" s="65">
        <f>IF(OR(D359="",E359=""),"",IFERROR(E359*INDEX(Catalogue!$E$7:$E$19,MATCH(D359,Catalogue!$B$7:$B$19,0)),"#N/A"))</f>
        <v/>
      </c>
      <c r="G359" s="64">
        <f>IF(OR(D359="",E359=""),"",IFERROR(E359*INDEX(Catalogue!$D$7:$D$19,MATCH(D359,Catalogue!$B$7:$B$19,0)),"#N/A"))</f>
        <v/>
      </c>
      <c r="H359" s="26" t="n"/>
      <c r="I359" s="2" t="n"/>
      <c r="J359" s="1" t="n"/>
    </row>
    <row r="360">
      <c r="A360" s="1" t="n"/>
      <c r="B360" s="25" t="n"/>
      <c r="C360" s="26" t="n"/>
      <c r="D360" s="26" t="n"/>
      <c r="E360" s="28" t="n"/>
      <c r="F360" s="65">
        <f>IF(OR(D360="",E360=""),"",IFERROR(E360*INDEX(Catalogue!$E$7:$E$19,MATCH(D360,Catalogue!$B$7:$B$19,0)),"#N/A"))</f>
        <v/>
      </c>
      <c r="G360" s="64">
        <f>IF(OR(D360="",E360=""),"",IFERROR(E360*INDEX(Catalogue!$D$7:$D$19,MATCH(D360,Catalogue!$B$7:$B$19,0)),"#N/A"))</f>
        <v/>
      </c>
      <c r="H360" s="26" t="n"/>
      <c r="I360" s="2" t="n"/>
      <c r="J360" s="1" t="n"/>
    </row>
    <row r="361">
      <c r="A361" s="1" t="n"/>
      <c r="B361" s="25" t="n"/>
      <c r="C361" s="26" t="n"/>
      <c r="D361" s="26" t="n"/>
      <c r="E361" s="28" t="n"/>
      <c r="F361" s="65">
        <f>IF(OR(D361="",E361=""),"",IFERROR(E361*INDEX(Catalogue!$E$7:$E$19,MATCH(D361,Catalogue!$B$7:$B$19,0)),"#N/A"))</f>
        <v/>
      </c>
      <c r="G361" s="64">
        <f>IF(OR(D361="",E361=""),"",IFERROR(E361*INDEX(Catalogue!$D$7:$D$19,MATCH(D361,Catalogue!$B$7:$B$19,0)),"#N/A"))</f>
        <v/>
      </c>
      <c r="H361" s="26" t="n"/>
      <c r="I361" s="2" t="n"/>
      <c r="J361" s="1" t="n"/>
    </row>
    <row r="362">
      <c r="A362" s="1" t="n"/>
      <c r="B362" s="25" t="n"/>
      <c r="C362" s="26" t="n"/>
      <c r="D362" s="26" t="n"/>
      <c r="E362" s="28" t="n"/>
      <c r="F362" s="65">
        <f>IF(OR(D362="",E362=""),"",IFERROR(E362*INDEX(Catalogue!$E$7:$E$19,MATCH(D362,Catalogue!$B$7:$B$19,0)),"#N/A"))</f>
        <v/>
      </c>
      <c r="G362" s="64">
        <f>IF(OR(D362="",E362=""),"",IFERROR(E362*INDEX(Catalogue!$D$7:$D$19,MATCH(D362,Catalogue!$B$7:$B$19,0)),"#N/A"))</f>
        <v/>
      </c>
      <c r="H362" s="26" t="n"/>
      <c r="I362" s="2" t="n"/>
      <c r="J362" s="1" t="n"/>
    </row>
    <row r="363">
      <c r="A363" s="1" t="n"/>
      <c r="B363" s="25" t="n"/>
      <c r="C363" s="26" t="n"/>
      <c r="D363" s="26" t="n"/>
      <c r="E363" s="28" t="n"/>
      <c r="F363" s="65">
        <f>IF(OR(D363="",E363=""),"",IFERROR(E363*INDEX(Catalogue!$E$7:$E$19,MATCH(D363,Catalogue!$B$7:$B$19,0)),"#N/A"))</f>
        <v/>
      </c>
      <c r="G363" s="64">
        <f>IF(OR(D363="",E363=""),"",IFERROR(E363*INDEX(Catalogue!$D$7:$D$19,MATCH(D363,Catalogue!$B$7:$B$19,0)),"#N/A"))</f>
        <v/>
      </c>
      <c r="H363" s="26" t="n"/>
      <c r="I363" s="2" t="n"/>
      <c r="J363" s="1" t="n"/>
    </row>
    <row r="364">
      <c r="A364" s="1" t="n"/>
      <c r="B364" s="25" t="n"/>
      <c r="C364" s="26" t="n"/>
      <c r="D364" s="26" t="n"/>
      <c r="E364" s="28" t="n"/>
      <c r="F364" s="65">
        <f>IF(OR(D364="",E364=""),"",IFERROR(E364*INDEX(Catalogue!$E$7:$E$19,MATCH(D364,Catalogue!$B$7:$B$19,0)),"#N/A"))</f>
        <v/>
      </c>
      <c r="G364" s="64">
        <f>IF(OR(D364="",E364=""),"",IFERROR(E364*INDEX(Catalogue!$D$7:$D$19,MATCH(D364,Catalogue!$B$7:$B$19,0)),"#N/A"))</f>
        <v/>
      </c>
      <c r="H364" s="26" t="n"/>
      <c r="I364" s="2" t="n"/>
      <c r="J364" s="1" t="n"/>
    </row>
    <row r="365">
      <c r="A365" s="1" t="n"/>
      <c r="B365" s="25" t="n"/>
      <c r="C365" s="26" t="n"/>
      <c r="D365" s="26" t="n"/>
      <c r="E365" s="28" t="n"/>
      <c r="F365" s="65">
        <f>IF(OR(D365="",E365=""),"",IFERROR(E365*INDEX(Catalogue!$E$7:$E$19,MATCH(D365,Catalogue!$B$7:$B$19,0)),"#N/A"))</f>
        <v/>
      </c>
      <c r="G365" s="64">
        <f>IF(OR(D365="",E365=""),"",IFERROR(E365*INDEX(Catalogue!$D$7:$D$19,MATCH(D365,Catalogue!$B$7:$B$19,0)),"#N/A"))</f>
        <v/>
      </c>
      <c r="H365" s="26" t="n"/>
      <c r="I365" s="2" t="n"/>
      <c r="J365" s="1" t="n"/>
    </row>
    <row r="366">
      <c r="A366" s="1" t="n"/>
      <c r="B366" s="25" t="n"/>
      <c r="C366" s="26" t="n"/>
      <c r="D366" s="26" t="n"/>
      <c r="E366" s="28" t="n"/>
      <c r="F366" s="65">
        <f>IF(OR(D366="",E366=""),"",IFERROR(E366*INDEX(Catalogue!$E$7:$E$19,MATCH(D366,Catalogue!$B$7:$B$19,0)),"#N/A"))</f>
        <v/>
      </c>
      <c r="G366" s="64">
        <f>IF(OR(D366="",E366=""),"",IFERROR(E366*INDEX(Catalogue!$D$7:$D$19,MATCH(D366,Catalogue!$B$7:$B$19,0)),"#N/A"))</f>
        <v/>
      </c>
      <c r="H366" s="26" t="n"/>
      <c r="I366" s="2" t="n"/>
      <c r="J366" s="1" t="n"/>
    </row>
    <row r="367">
      <c r="A367" s="1" t="n"/>
      <c r="B367" s="25" t="n"/>
      <c r="C367" s="26" t="n"/>
      <c r="D367" s="26" t="n"/>
      <c r="E367" s="28" t="n"/>
      <c r="F367" s="65">
        <f>IF(OR(D367="",E367=""),"",IFERROR(E367*INDEX(Catalogue!$E$7:$E$19,MATCH(D367,Catalogue!$B$7:$B$19,0)),"#N/A"))</f>
        <v/>
      </c>
      <c r="G367" s="64">
        <f>IF(OR(D367="",E367=""),"",IFERROR(E367*INDEX(Catalogue!$D$7:$D$19,MATCH(D367,Catalogue!$B$7:$B$19,0)),"#N/A"))</f>
        <v/>
      </c>
      <c r="H367" s="26" t="n"/>
      <c r="I367" s="2" t="n"/>
      <c r="J367" s="1" t="n"/>
    </row>
    <row r="368">
      <c r="A368" s="1" t="n"/>
      <c r="B368" s="25" t="n"/>
      <c r="C368" s="26" t="n"/>
      <c r="D368" s="26" t="n"/>
      <c r="E368" s="28" t="n"/>
      <c r="F368" s="65">
        <f>IF(OR(D368="",E368=""),"",IFERROR(E368*INDEX(Catalogue!$E$7:$E$19,MATCH(D368,Catalogue!$B$7:$B$19,0)),"#N/A"))</f>
        <v/>
      </c>
      <c r="G368" s="64">
        <f>IF(OR(D368="",E368=""),"",IFERROR(E368*INDEX(Catalogue!$D$7:$D$19,MATCH(D368,Catalogue!$B$7:$B$19,0)),"#N/A"))</f>
        <v/>
      </c>
      <c r="H368" s="26" t="n"/>
      <c r="I368" s="2" t="n"/>
      <c r="J368" s="1" t="n"/>
    </row>
    <row r="369">
      <c r="A369" s="1" t="n"/>
      <c r="B369" s="25" t="n"/>
      <c r="C369" s="26" t="n"/>
      <c r="D369" s="26" t="n"/>
      <c r="E369" s="28" t="n"/>
      <c r="F369" s="65">
        <f>IF(OR(D369="",E369=""),"",IFERROR(E369*INDEX(Catalogue!$E$7:$E$19,MATCH(D369,Catalogue!$B$7:$B$19,0)),"#N/A"))</f>
        <v/>
      </c>
      <c r="G369" s="64">
        <f>IF(OR(D369="",E369=""),"",IFERROR(E369*INDEX(Catalogue!$D$7:$D$19,MATCH(D369,Catalogue!$B$7:$B$19,0)),"#N/A"))</f>
        <v/>
      </c>
      <c r="H369" s="26" t="n"/>
      <c r="I369" s="2" t="n"/>
      <c r="J369" s="1" t="n"/>
    </row>
    <row r="370">
      <c r="A370" s="1" t="n"/>
      <c r="B370" s="25" t="n"/>
      <c r="C370" s="26" t="n"/>
      <c r="D370" s="26" t="n"/>
      <c r="E370" s="28" t="n"/>
      <c r="F370" s="65">
        <f>IF(OR(D370="",E370=""),"",IFERROR(E370*INDEX(Catalogue!$E$7:$E$19,MATCH(D370,Catalogue!$B$7:$B$19,0)),"#N/A"))</f>
        <v/>
      </c>
      <c r="G370" s="64">
        <f>IF(OR(D370="",E370=""),"",IFERROR(E370*INDEX(Catalogue!$D$7:$D$19,MATCH(D370,Catalogue!$B$7:$B$19,0)),"#N/A"))</f>
        <v/>
      </c>
      <c r="H370" s="26" t="n"/>
      <c r="I370" s="2" t="n"/>
      <c r="J370" s="1" t="n"/>
    </row>
    <row r="371">
      <c r="A371" s="1" t="n"/>
      <c r="B371" s="25" t="n"/>
      <c r="C371" s="26" t="n"/>
      <c r="D371" s="26" t="n"/>
      <c r="E371" s="28" t="n"/>
      <c r="F371" s="65">
        <f>IF(OR(D371="",E371=""),"",IFERROR(E371*INDEX(Catalogue!$E$7:$E$19,MATCH(D371,Catalogue!$B$7:$B$19,0)),"#N/A"))</f>
        <v/>
      </c>
      <c r="G371" s="64">
        <f>IF(OR(D371="",E371=""),"",IFERROR(E371*INDEX(Catalogue!$D$7:$D$19,MATCH(D371,Catalogue!$B$7:$B$19,0)),"#N/A"))</f>
        <v/>
      </c>
      <c r="H371" s="26" t="n"/>
      <c r="I371" s="2" t="n"/>
      <c r="J371" s="1" t="n"/>
    </row>
    <row r="372">
      <c r="A372" s="1" t="n"/>
      <c r="B372" s="25" t="n"/>
      <c r="C372" s="26" t="n"/>
      <c r="D372" s="26" t="n"/>
      <c r="E372" s="28" t="n"/>
      <c r="F372" s="65">
        <f>IF(OR(D372="",E372=""),"",IFERROR(E372*INDEX(Catalogue!$E$7:$E$19,MATCH(D372,Catalogue!$B$7:$B$19,0)),"#N/A"))</f>
        <v/>
      </c>
      <c r="G372" s="64">
        <f>IF(OR(D372="",E372=""),"",IFERROR(E372*INDEX(Catalogue!$D$7:$D$19,MATCH(D372,Catalogue!$B$7:$B$19,0)),"#N/A"))</f>
        <v/>
      </c>
      <c r="H372" s="26" t="n"/>
      <c r="I372" s="2" t="n"/>
      <c r="J372" s="1" t="n"/>
    </row>
    <row r="373">
      <c r="A373" s="1" t="n"/>
      <c r="B373" s="25" t="n"/>
      <c r="C373" s="26" t="n"/>
      <c r="D373" s="26" t="n"/>
      <c r="E373" s="28" t="n"/>
      <c r="F373" s="65">
        <f>IF(OR(D373="",E373=""),"",IFERROR(E373*INDEX(Catalogue!$E$7:$E$19,MATCH(D373,Catalogue!$B$7:$B$19,0)),"#N/A"))</f>
        <v/>
      </c>
      <c r="G373" s="64">
        <f>IF(OR(D373="",E373=""),"",IFERROR(E373*INDEX(Catalogue!$D$7:$D$19,MATCH(D373,Catalogue!$B$7:$B$19,0)),"#N/A"))</f>
        <v/>
      </c>
      <c r="H373" s="26" t="n"/>
      <c r="I373" s="2" t="n"/>
      <c r="J373" s="1" t="n"/>
    </row>
    <row r="374">
      <c r="A374" s="1" t="n"/>
      <c r="B374" s="25" t="n"/>
      <c r="C374" s="26" t="n"/>
      <c r="D374" s="26" t="n"/>
      <c r="E374" s="28" t="n"/>
      <c r="F374" s="65">
        <f>IF(OR(D374="",E374=""),"",IFERROR(E374*INDEX(Catalogue!$E$7:$E$19,MATCH(D374,Catalogue!$B$7:$B$19,0)),"#N/A"))</f>
        <v/>
      </c>
      <c r="G374" s="64">
        <f>IF(OR(D374="",E374=""),"",IFERROR(E374*INDEX(Catalogue!$D$7:$D$19,MATCH(D374,Catalogue!$B$7:$B$19,0)),"#N/A"))</f>
        <v/>
      </c>
      <c r="H374" s="26" t="n"/>
      <c r="I374" s="2" t="n"/>
      <c r="J374" s="1" t="n"/>
    </row>
    <row r="375">
      <c r="A375" s="1" t="n"/>
      <c r="B375" s="25" t="n"/>
      <c r="C375" s="26" t="n"/>
      <c r="D375" s="26" t="n"/>
      <c r="E375" s="28" t="n"/>
      <c r="F375" s="65">
        <f>IF(OR(D375="",E375=""),"",IFERROR(E375*INDEX(Catalogue!$E$7:$E$19,MATCH(D375,Catalogue!$B$7:$B$19,0)),"#N/A"))</f>
        <v/>
      </c>
      <c r="G375" s="64">
        <f>IF(OR(D375="",E375=""),"",IFERROR(E375*INDEX(Catalogue!$D$7:$D$19,MATCH(D375,Catalogue!$B$7:$B$19,0)),"#N/A"))</f>
        <v/>
      </c>
      <c r="H375" s="26" t="n"/>
      <c r="I375" s="2" t="n"/>
      <c r="J375" s="1" t="n"/>
    </row>
    <row r="376">
      <c r="A376" s="1" t="n"/>
      <c r="B376" s="25" t="n"/>
      <c r="C376" s="26" t="n"/>
      <c r="D376" s="26" t="n"/>
      <c r="E376" s="28" t="n"/>
      <c r="F376" s="65">
        <f>IF(OR(D376="",E376=""),"",IFERROR(E376*INDEX(Catalogue!$E$7:$E$19,MATCH(D376,Catalogue!$B$7:$B$19,0)),"#N/A"))</f>
        <v/>
      </c>
      <c r="G376" s="64">
        <f>IF(OR(D376="",E376=""),"",IFERROR(E376*INDEX(Catalogue!$D$7:$D$19,MATCH(D376,Catalogue!$B$7:$B$19,0)),"#N/A"))</f>
        <v/>
      </c>
      <c r="H376" s="26" t="n"/>
      <c r="I376" s="2" t="n"/>
      <c r="J376" s="1" t="n"/>
    </row>
    <row r="377">
      <c r="A377" s="1" t="n"/>
      <c r="B377" s="25" t="n"/>
      <c r="C377" s="26" t="n"/>
      <c r="D377" s="26" t="n"/>
      <c r="E377" s="28" t="n"/>
      <c r="F377" s="65">
        <f>IF(OR(D377="",E377=""),"",IFERROR(E377*INDEX(Catalogue!$E$7:$E$19,MATCH(D377,Catalogue!$B$7:$B$19,0)),"#N/A"))</f>
        <v/>
      </c>
      <c r="G377" s="64">
        <f>IF(OR(D377="",E377=""),"",IFERROR(E377*INDEX(Catalogue!$D$7:$D$19,MATCH(D377,Catalogue!$B$7:$B$19,0)),"#N/A"))</f>
        <v/>
      </c>
      <c r="H377" s="26" t="n"/>
      <c r="I377" s="2" t="n"/>
      <c r="J377" s="1" t="n"/>
    </row>
    <row r="378">
      <c r="A378" s="1" t="n"/>
      <c r="B378" s="25" t="n"/>
      <c r="C378" s="26" t="n"/>
      <c r="D378" s="26" t="n"/>
      <c r="E378" s="28" t="n"/>
      <c r="F378" s="65">
        <f>IF(OR(D378="",E378=""),"",IFERROR(E378*INDEX(Catalogue!$E$7:$E$19,MATCH(D378,Catalogue!$B$7:$B$19,0)),"#N/A"))</f>
        <v/>
      </c>
      <c r="G378" s="64">
        <f>IF(OR(D378="",E378=""),"",IFERROR(E378*INDEX(Catalogue!$D$7:$D$19,MATCH(D378,Catalogue!$B$7:$B$19,0)),"#N/A"))</f>
        <v/>
      </c>
      <c r="H378" s="26" t="n"/>
      <c r="I378" s="2" t="n"/>
      <c r="J378" s="1" t="n"/>
    </row>
    <row r="379">
      <c r="A379" s="1" t="n"/>
      <c r="B379" s="25" t="n"/>
      <c r="C379" s="26" t="n"/>
      <c r="D379" s="26" t="n"/>
      <c r="E379" s="28" t="n"/>
      <c r="F379" s="65">
        <f>IF(OR(D379="",E379=""),"",IFERROR(E379*INDEX(Catalogue!$E$7:$E$19,MATCH(D379,Catalogue!$B$7:$B$19,0)),"#N/A"))</f>
        <v/>
      </c>
      <c r="G379" s="64">
        <f>IF(OR(D379="",E379=""),"",IFERROR(E379*INDEX(Catalogue!$D$7:$D$19,MATCH(D379,Catalogue!$B$7:$B$19,0)),"#N/A"))</f>
        <v/>
      </c>
      <c r="H379" s="26" t="n"/>
      <c r="I379" s="2" t="n"/>
      <c r="J379" s="1" t="n"/>
    </row>
    <row r="380">
      <c r="A380" s="1" t="n"/>
      <c r="B380" s="25" t="n"/>
      <c r="C380" s="26" t="n"/>
      <c r="D380" s="26" t="n"/>
      <c r="E380" s="28" t="n"/>
      <c r="F380" s="65">
        <f>IF(OR(D380="",E380=""),"",IFERROR(E380*INDEX(Catalogue!$E$7:$E$19,MATCH(D380,Catalogue!$B$7:$B$19,0)),"#N/A"))</f>
        <v/>
      </c>
      <c r="G380" s="64">
        <f>IF(OR(D380="",E380=""),"",IFERROR(E380*INDEX(Catalogue!$D$7:$D$19,MATCH(D380,Catalogue!$B$7:$B$19,0)),"#N/A"))</f>
        <v/>
      </c>
      <c r="H380" s="26" t="n"/>
      <c r="I380" s="2" t="n"/>
      <c r="J380" s="1" t="n"/>
    </row>
    <row r="381">
      <c r="A381" s="1" t="n"/>
      <c r="B381" s="25" t="n"/>
      <c r="C381" s="26" t="n"/>
      <c r="D381" s="26" t="n"/>
      <c r="E381" s="28" t="n"/>
      <c r="F381" s="65">
        <f>IF(OR(D381="",E381=""),"",IFERROR(E381*INDEX(Catalogue!$E$7:$E$19,MATCH(D381,Catalogue!$B$7:$B$19,0)),"#N/A"))</f>
        <v/>
      </c>
      <c r="G381" s="64">
        <f>IF(OR(D381="",E381=""),"",IFERROR(E381*INDEX(Catalogue!$D$7:$D$19,MATCH(D381,Catalogue!$B$7:$B$19,0)),"#N/A"))</f>
        <v/>
      </c>
      <c r="H381" s="26" t="n"/>
      <c r="I381" s="2" t="n"/>
      <c r="J381" s="1" t="n"/>
    </row>
    <row r="382">
      <c r="A382" s="1" t="n"/>
      <c r="B382" s="25" t="n"/>
      <c r="C382" s="26" t="n"/>
      <c r="D382" s="26" t="n"/>
      <c r="E382" s="28" t="n"/>
      <c r="F382" s="65">
        <f>IF(OR(D382="",E382=""),"",IFERROR(E382*INDEX(Catalogue!$E$7:$E$19,MATCH(D382,Catalogue!$B$7:$B$19,0)),"#N/A"))</f>
        <v/>
      </c>
      <c r="G382" s="64">
        <f>IF(OR(D382="",E382=""),"",IFERROR(E382*INDEX(Catalogue!$D$7:$D$19,MATCH(D382,Catalogue!$B$7:$B$19,0)),"#N/A"))</f>
        <v/>
      </c>
      <c r="H382" s="26" t="n"/>
      <c r="I382" s="2" t="n"/>
      <c r="J382" s="1" t="n"/>
    </row>
    <row r="383">
      <c r="A383" s="1" t="n"/>
      <c r="B383" s="25" t="n"/>
      <c r="C383" s="26" t="n"/>
      <c r="D383" s="26" t="n"/>
      <c r="E383" s="28" t="n"/>
      <c r="F383" s="65">
        <f>IF(OR(D383="",E383=""),"",IFERROR(E383*INDEX(Catalogue!$E$7:$E$19,MATCH(D383,Catalogue!$B$7:$B$19,0)),"#N/A"))</f>
        <v/>
      </c>
      <c r="G383" s="64">
        <f>IF(OR(D383="",E383=""),"",IFERROR(E383*INDEX(Catalogue!$D$7:$D$19,MATCH(D383,Catalogue!$B$7:$B$19,0)),"#N/A"))</f>
        <v/>
      </c>
      <c r="H383" s="26" t="n"/>
      <c r="I383" s="2" t="n"/>
      <c r="J383" s="1" t="n"/>
    </row>
    <row r="384">
      <c r="A384" s="1" t="n"/>
      <c r="B384" s="25" t="n"/>
      <c r="C384" s="26" t="n"/>
      <c r="D384" s="26" t="n"/>
      <c r="E384" s="28" t="n"/>
      <c r="F384" s="65">
        <f>IF(OR(D384="",E384=""),"",IFERROR(E384*INDEX(Catalogue!$E$7:$E$19,MATCH(D384,Catalogue!$B$7:$B$19,0)),"#N/A"))</f>
        <v/>
      </c>
      <c r="G384" s="64">
        <f>IF(OR(D384="",E384=""),"",IFERROR(E384*INDEX(Catalogue!$D$7:$D$19,MATCH(D384,Catalogue!$B$7:$B$19,0)),"#N/A"))</f>
        <v/>
      </c>
      <c r="H384" s="26" t="n"/>
      <c r="I384" s="2" t="n"/>
      <c r="J384" s="1" t="n"/>
    </row>
    <row r="385">
      <c r="A385" s="1" t="n"/>
      <c r="B385" s="25" t="n"/>
      <c r="C385" s="26" t="n"/>
      <c r="D385" s="26" t="n"/>
      <c r="E385" s="28" t="n"/>
      <c r="F385" s="65">
        <f>IF(OR(D385="",E385=""),"",IFERROR(E385*INDEX(Catalogue!$E$7:$E$19,MATCH(D385,Catalogue!$B$7:$B$19,0)),"#N/A"))</f>
        <v/>
      </c>
      <c r="G385" s="64">
        <f>IF(OR(D385="",E385=""),"",IFERROR(E385*INDEX(Catalogue!$D$7:$D$19,MATCH(D385,Catalogue!$B$7:$B$19,0)),"#N/A"))</f>
        <v/>
      </c>
      <c r="H385" s="26" t="n"/>
      <c r="I385" s="2" t="n"/>
      <c r="J385" s="1" t="n"/>
    </row>
    <row r="386">
      <c r="A386" s="1" t="n"/>
      <c r="B386" s="25" t="n"/>
      <c r="C386" s="26" t="n"/>
      <c r="D386" s="26" t="n"/>
      <c r="E386" s="28" t="n"/>
      <c r="F386" s="65">
        <f>IF(OR(D386="",E386=""),"",IFERROR(E386*INDEX(Catalogue!$E$7:$E$19,MATCH(D386,Catalogue!$B$7:$B$19,0)),"#N/A"))</f>
        <v/>
      </c>
      <c r="G386" s="64">
        <f>IF(OR(D386="",E386=""),"",IFERROR(E386*INDEX(Catalogue!$D$7:$D$19,MATCH(D386,Catalogue!$B$7:$B$19,0)),"#N/A"))</f>
        <v/>
      </c>
      <c r="H386" s="26" t="n"/>
      <c r="I386" s="2" t="n"/>
      <c r="J386" s="1" t="n"/>
    </row>
    <row r="387">
      <c r="A387" s="1" t="n"/>
      <c r="B387" s="25" t="n"/>
      <c r="C387" s="26" t="n"/>
      <c r="D387" s="26" t="n"/>
      <c r="E387" s="28" t="n"/>
      <c r="F387" s="65">
        <f>IF(OR(D387="",E387=""),"",IFERROR(E387*INDEX(Catalogue!$E$7:$E$19,MATCH(D387,Catalogue!$B$7:$B$19,0)),"#N/A"))</f>
        <v/>
      </c>
      <c r="G387" s="64">
        <f>IF(OR(D387="",E387=""),"",IFERROR(E387*INDEX(Catalogue!$D$7:$D$19,MATCH(D387,Catalogue!$B$7:$B$19,0)),"#N/A"))</f>
        <v/>
      </c>
      <c r="H387" s="26" t="n"/>
      <c r="I387" s="2" t="n"/>
      <c r="J387" s="1" t="n"/>
    </row>
    <row r="388">
      <c r="A388" s="1" t="n"/>
      <c r="B388" s="25" t="n"/>
      <c r="C388" s="26" t="n"/>
      <c r="D388" s="26" t="n"/>
      <c r="E388" s="28" t="n"/>
      <c r="F388" s="65">
        <f>IF(OR(D388="",E388=""),"",IFERROR(E388*INDEX(Catalogue!$E$7:$E$19,MATCH(D388,Catalogue!$B$7:$B$19,0)),"#N/A"))</f>
        <v/>
      </c>
      <c r="G388" s="64">
        <f>IF(OR(D388="",E388=""),"",IFERROR(E388*INDEX(Catalogue!$D$7:$D$19,MATCH(D388,Catalogue!$B$7:$B$19,0)),"#N/A"))</f>
        <v/>
      </c>
      <c r="H388" s="26" t="n"/>
      <c r="I388" s="2" t="n"/>
      <c r="J388" s="1" t="n"/>
    </row>
    <row r="389">
      <c r="A389" s="1" t="n"/>
      <c r="B389" s="25" t="n"/>
      <c r="C389" s="26" t="n"/>
      <c r="D389" s="26" t="n"/>
      <c r="E389" s="28" t="n"/>
      <c r="F389" s="65">
        <f>IF(OR(D389="",E389=""),"",IFERROR(E389*INDEX(Catalogue!$E$7:$E$19,MATCH(D389,Catalogue!$B$7:$B$19,0)),"#N/A"))</f>
        <v/>
      </c>
      <c r="G389" s="64">
        <f>IF(OR(D389="",E389=""),"",IFERROR(E389*INDEX(Catalogue!$D$7:$D$19,MATCH(D389,Catalogue!$B$7:$B$19,0)),"#N/A"))</f>
        <v/>
      </c>
      <c r="H389" s="26" t="n"/>
      <c r="I389" s="2" t="n"/>
      <c r="J389" s="1" t="n"/>
    </row>
    <row r="390">
      <c r="A390" s="1" t="n"/>
      <c r="B390" s="25" t="n"/>
      <c r="C390" s="26" t="n"/>
      <c r="D390" s="26" t="n"/>
      <c r="E390" s="28" t="n"/>
      <c r="F390" s="65">
        <f>IF(OR(D390="",E390=""),"",IFERROR(E390*INDEX(Catalogue!$E$7:$E$19,MATCH(D390,Catalogue!$B$7:$B$19,0)),"#N/A"))</f>
        <v/>
      </c>
      <c r="G390" s="64">
        <f>IF(OR(D390="",E390=""),"",IFERROR(E390*INDEX(Catalogue!$D$7:$D$19,MATCH(D390,Catalogue!$B$7:$B$19,0)),"#N/A"))</f>
        <v/>
      </c>
      <c r="H390" s="26" t="n"/>
      <c r="I390" s="2" t="n"/>
      <c r="J390" s="1" t="n"/>
    </row>
    <row r="391">
      <c r="A391" s="1" t="n"/>
      <c r="B391" s="25" t="n"/>
      <c r="C391" s="26" t="n"/>
      <c r="D391" s="26" t="n"/>
      <c r="E391" s="28" t="n"/>
      <c r="F391" s="65">
        <f>IF(OR(D391="",E391=""),"",IFERROR(E391*INDEX(Catalogue!$E$7:$E$19,MATCH(D391,Catalogue!$B$7:$B$19,0)),"#N/A"))</f>
        <v/>
      </c>
      <c r="G391" s="64">
        <f>IF(OR(D391="",E391=""),"",IFERROR(E391*INDEX(Catalogue!$D$7:$D$19,MATCH(D391,Catalogue!$B$7:$B$19,0)),"#N/A"))</f>
        <v/>
      </c>
      <c r="H391" s="26" t="n"/>
      <c r="I391" s="2" t="n"/>
      <c r="J391" s="1" t="n"/>
    </row>
    <row r="392">
      <c r="A392" s="1" t="n"/>
      <c r="B392" s="25" t="n"/>
      <c r="C392" s="26" t="n"/>
      <c r="D392" s="26" t="n"/>
      <c r="E392" s="28" t="n"/>
      <c r="F392" s="65">
        <f>IF(OR(D392="",E392=""),"",IFERROR(E392*INDEX(Catalogue!$E$7:$E$19,MATCH(D392,Catalogue!$B$7:$B$19,0)),"#N/A"))</f>
        <v/>
      </c>
      <c r="G392" s="64">
        <f>IF(OR(D392="",E392=""),"",IFERROR(E392*INDEX(Catalogue!$D$7:$D$19,MATCH(D392,Catalogue!$B$7:$B$19,0)),"#N/A"))</f>
        <v/>
      </c>
      <c r="H392" s="26" t="n"/>
      <c r="I392" s="2" t="n"/>
      <c r="J392" s="1" t="n"/>
    </row>
    <row r="393">
      <c r="A393" s="1" t="n"/>
      <c r="B393" s="25" t="n"/>
      <c r="C393" s="26" t="n"/>
      <c r="D393" s="26" t="n"/>
      <c r="E393" s="28" t="n"/>
      <c r="F393" s="65">
        <f>IF(OR(D393="",E393=""),"",IFERROR(E393*INDEX(Catalogue!$E$7:$E$19,MATCH(D393,Catalogue!$B$7:$B$19,0)),"#N/A"))</f>
        <v/>
      </c>
      <c r="G393" s="64">
        <f>IF(OR(D393="",E393=""),"",IFERROR(E393*INDEX(Catalogue!$D$7:$D$19,MATCH(D393,Catalogue!$B$7:$B$19,0)),"#N/A"))</f>
        <v/>
      </c>
      <c r="H393" s="26" t="n"/>
      <c r="I393" s="2" t="n"/>
      <c r="J393" s="1" t="n"/>
    </row>
    <row r="394">
      <c r="A394" s="1" t="n"/>
      <c r="B394" s="25" t="n"/>
      <c r="C394" s="26" t="n"/>
      <c r="D394" s="26" t="n"/>
      <c r="E394" s="28" t="n"/>
      <c r="F394" s="65">
        <f>IF(OR(D394="",E394=""),"",IFERROR(E394*INDEX(Catalogue!$E$7:$E$19,MATCH(D394,Catalogue!$B$7:$B$19,0)),"#N/A"))</f>
        <v/>
      </c>
      <c r="G394" s="64">
        <f>IF(OR(D394="",E394=""),"",IFERROR(E394*INDEX(Catalogue!$D$7:$D$19,MATCH(D394,Catalogue!$B$7:$B$19,0)),"#N/A"))</f>
        <v/>
      </c>
      <c r="H394" s="26" t="n"/>
      <c r="I394" s="2" t="n"/>
      <c r="J394" s="1" t="n"/>
    </row>
    <row r="395">
      <c r="A395" s="1" t="n"/>
      <c r="B395" s="25" t="n"/>
      <c r="C395" s="26" t="n"/>
      <c r="D395" s="26" t="n"/>
      <c r="E395" s="28" t="n"/>
      <c r="F395" s="65">
        <f>IF(OR(D395="",E395=""),"",IFERROR(E395*INDEX(Catalogue!$E$7:$E$19,MATCH(D395,Catalogue!$B$7:$B$19,0)),"#N/A"))</f>
        <v/>
      </c>
      <c r="G395" s="64">
        <f>IF(OR(D395="",E395=""),"",IFERROR(E395*INDEX(Catalogue!$D$7:$D$19,MATCH(D395,Catalogue!$B$7:$B$19,0)),"#N/A"))</f>
        <v/>
      </c>
      <c r="H395" s="26" t="n"/>
      <c r="I395" s="2" t="n"/>
      <c r="J395" s="1" t="n"/>
    </row>
    <row r="396">
      <c r="A396" s="1" t="n"/>
      <c r="B396" s="25" t="n"/>
      <c r="C396" s="26" t="n"/>
      <c r="D396" s="26" t="n"/>
      <c r="E396" s="28" t="n"/>
      <c r="F396" s="65">
        <f>IF(OR(D396="",E396=""),"",IFERROR(E396*INDEX(Catalogue!$E$7:$E$19,MATCH(D396,Catalogue!$B$7:$B$19,0)),"#N/A"))</f>
        <v/>
      </c>
      <c r="G396" s="64">
        <f>IF(OR(D396="",E396=""),"",IFERROR(E396*INDEX(Catalogue!$D$7:$D$19,MATCH(D396,Catalogue!$B$7:$B$19,0)),"#N/A"))</f>
        <v/>
      </c>
      <c r="H396" s="26" t="n"/>
      <c r="I396" s="2" t="n"/>
      <c r="J396" s="1" t="n"/>
    </row>
    <row r="397">
      <c r="A397" s="1" t="n"/>
      <c r="B397" s="25" t="n"/>
      <c r="C397" s="26" t="n"/>
      <c r="D397" s="26" t="n"/>
      <c r="E397" s="28" t="n"/>
      <c r="F397" s="65">
        <f>IF(OR(D397="",E397=""),"",IFERROR(E397*INDEX(Catalogue!$E$7:$E$19,MATCH(D397,Catalogue!$B$7:$B$19,0)),"#N/A"))</f>
        <v/>
      </c>
      <c r="G397" s="64">
        <f>IF(OR(D397="",E397=""),"",IFERROR(E397*INDEX(Catalogue!$D$7:$D$19,MATCH(D397,Catalogue!$B$7:$B$19,0)),"#N/A"))</f>
        <v/>
      </c>
      <c r="H397" s="26" t="n"/>
      <c r="I397" s="2" t="n"/>
      <c r="J397" s="1" t="n"/>
    </row>
    <row r="398">
      <c r="A398" s="1" t="n"/>
      <c r="B398" s="25" t="n"/>
      <c r="C398" s="26" t="n"/>
      <c r="D398" s="26" t="n"/>
      <c r="E398" s="28" t="n"/>
      <c r="F398" s="65">
        <f>IF(OR(D398="",E398=""),"",IFERROR(E398*INDEX(Catalogue!$E$7:$E$19,MATCH(D398,Catalogue!$B$7:$B$19,0)),"#N/A"))</f>
        <v/>
      </c>
      <c r="G398" s="64">
        <f>IF(OR(D398="",E398=""),"",IFERROR(E398*INDEX(Catalogue!$D$7:$D$19,MATCH(D398,Catalogue!$B$7:$B$19,0)),"#N/A"))</f>
        <v/>
      </c>
      <c r="H398" s="26" t="n"/>
      <c r="I398" s="2" t="n"/>
      <c r="J398" s="1" t="n"/>
    </row>
    <row r="399">
      <c r="A399" s="1" t="n"/>
      <c r="B399" s="25" t="n"/>
      <c r="C399" s="26" t="n"/>
      <c r="D399" s="26" t="n"/>
      <c r="E399" s="28" t="n"/>
      <c r="F399" s="65">
        <f>IF(OR(D399="",E399=""),"",IFERROR(E399*INDEX(Catalogue!$E$7:$E$19,MATCH(D399,Catalogue!$B$7:$B$19,0)),"#N/A"))</f>
        <v/>
      </c>
      <c r="G399" s="64">
        <f>IF(OR(D399="",E399=""),"",IFERROR(E399*INDEX(Catalogue!$D$7:$D$19,MATCH(D399,Catalogue!$B$7:$B$19,0)),"#N/A"))</f>
        <v/>
      </c>
      <c r="H399" s="26" t="n"/>
      <c r="I399" s="2" t="n"/>
      <c r="J399" s="1" t="n"/>
    </row>
    <row r="400">
      <c r="A400" s="1" t="n"/>
      <c r="B400" s="25" t="n"/>
      <c r="C400" s="26" t="n"/>
      <c r="D400" s="26" t="n"/>
      <c r="E400" s="28" t="n"/>
      <c r="F400" s="65">
        <f>IF(OR(D400="",E400=""),"",IFERROR(E400*INDEX(Catalogue!$E$7:$E$19,MATCH(D400,Catalogue!$B$7:$B$19,0)),"#N/A"))</f>
        <v/>
      </c>
      <c r="G400" s="64">
        <f>IF(OR(D400="",E400=""),"",IFERROR(E400*INDEX(Catalogue!$D$7:$D$19,MATCH(D400,Catalogue!$B$7:$B$19,0)),"#N/A"))</f>
        <v/>
      </c>
      <c r="H400" s="26" t="n"/>
      <c r="I400" s="2" t="n"/>
      <c r="J400" s="1" t="n"/>
    </row>
    <row r="401">
      <c r="A401" s="1" t="n"/>
      <c r="B401" s="25" t="n"/>
      <c r="C401" s="26" t="n"/>
      <c r="D401" s="26" t="n"/>
      <c r="E401" s="28" t="n"/>
      <c r="F401" s="65">
        <f>IF(OR(D401="",E401=""),"",IFERROR(E401*INDEX(Catalogue!$E$7:$E$19,MATCH(D401,Catalogue!$B$7:$B$19,0)),"#N/A"))</f>
        <v/>
      </c>
      <c r="G401" s="64">
        <f>IF(OR(D401="",E401=""),"",IFERROR(E401*INDEX(Catalogue!$D$7:$D$19,MATCH(D401,Catalogue!$B$7:$B$19,0)),"#N/A"))</f>
        <v/>
      </c>
      <c r="H401" s="26" t="n"/>
      <c r="I401" s="2" t="n"/>
      <c r="J401" s="1" t="n"/>
    </row>
    <row r="402">
      <c r="A402" s="1" t="n"/>
      <c r="B402" s="25" t="n"/>
      <c r="C402" s="26" t="n"/>
      <c r="D402" s="26" t="n"/>
      <c r="E402" s="28" t="n"/>
      <c r="F402" s="65">
        <f>IF(OR(D402="",E402=""),"",IFERROR(E402*INDEX(Catalogue!$E$7:$E$19,MATCH(D402,Catalogue!$B$7:$B$19,0)),"#N/A"))</f>
        <v/>
      </c>
      <c r="G402" s="64">
        <f>IF(OR(D402="",E402=""),"",IFERROR(E402*INDEX(Catalogue!$D$7:$D$19,MATCH(D402,Catalogue!$B$7:$B$19,0)),"#N/A"))</f>
        <v/>
      </c>
      <c r="H402" s="26" t="n"/>
      <c r="I402" s="2" t="n"/>
      <c r="J402" s="1" t="n"/>
    </row>
    <row r="403">
      <c r="A403" s="1" t="n"/>
      <c r="B403" s="25" t="n"/>
      <c r="C403" s="26" t="n"/>
      <c r="D403" s="26" t="n"/>
      <c r="E403" s="28" t="n"/>
      <c r="F403" s="65">
        <f>IF(OR(D403="",E403=""),"",IFERROR(E403*INDEX(Catalogue!$E$7:$E$19,MATCH(D403,Catalogue!$B$7:$B$19,0)),"#N/A"))</f>
        <v/>
      </c>
      <c r="G403" s="64">
        <f>IF(OR(D403="",E403=""),"",IFERROR(E403*INDEX(Catalogue!$D$7:$D$19,MATCH(D403,Catalogue!$B$7:$B$19,0)),"#N/A"))</f>
        <v/>
      </c>
      <c r="H403" s="26" t="n"/>
      <c r="I403" s="2" t="n"/>
      <c r="J403" s="1" t="n"/>
    </row>
    <row r="404">
      <c r="A404" s="1" t="n"/>
      <c r="B404" s="25" t="n"/>
      <c r="C404" s="26" t="n"/>
      <c r="D404" s="26" t="n"/>
      <c r="E404" s="28" t="n"/>
      <c r="F404" s="65">
        <f>IF(OR(D404="",E404=""),"",IFERROR(E404*INDEX(Catalogue!$E$7:$E$19,MATCH(D404,Catalogue!$B$7:$B$19,0)),"#N/A"))</f>
        <v/>
      </c>
      <c r="G404" s="64">
        <f>IF(OR(D404="",E404=""),"",IFERROR(E404*INDEX(Catalogue!$D$7:$D$19,MATCH(D404,Catalogue!$B$7:$B$19,0)),"#N/A"))</f>
        <v/>
      </c>
      <c r="H404" s="26" t="n"/>
      <c r="I404" s="2" t="n"/>
      <c r="J404" s="1" t="n"/>
    </row>
    <row r="405">
      <c r="A405" s="1" t="n"/>
      <c r="B405" s="25" t="n"/>
      <c r="C405" s="26" t="n"/>
      <c r="D405" s="26" t="n"/>
      <c r="E405" s="28" t="n"/>
      <c r="F405" s="65">
        <f>IF(OR(D405="",E405=""),"",IFERROR(E405*INDEX(Catalogue!$E$7:$E$19,MATCH(D405,Catalogue!$B$7:$B$19,0)),"#N/A"))</f>
        <v/>
      </c>
      <c r="G405" s="64">
        <f>IF(OR(D405="",E405=""),"",IFERROR(E405*INDEX(Catalogue!$D$7:$D$19,MATCH(D405,Catalogue!$B$7:$B$19,0)),"#N/A"))</f>
        <v/>
      </c>
      <c r="H405" s="26" t="n"/>
      <c r="I405" s="2" t="n"/>
      <c r="J405" s="1" t="n"/>
    </row>
    <row r="406">
      <c r="A406" s="1" t="n"/>
      <c r="B406" s="25" t="n"/>
      <c r="C406" s="26" t="n"/>
      <c r="D406" s="26" t="n"/>
      <c r="E406" s="28" t="n"/>
      <c r="F406" s="65">
        <f>IF(OR(D406="",E406=""),"",IFERROR(E406*INDEX(Catalogue!$E$7:$E$19,MATCH(D406,Catalogue!$B$7:$B$19,0)),"#N/A"))</f>
        <v/>
      </c>
      <c r="G406" s="64">
        <f>IF(OR(D406="",E406=""),"",IFERROR(E406*INDEX(Catalogue!$D$7:$D$19,MATCH(D406,Catalogue!$B$7:$B$19,0)),"#N/A"))</f>
        <v/>
      </c>
      <c r="H406" s="26" t="n"/>
      <c r="I406" s="2" t="n"/>
      <c r="J406" s="1" t="n"/>
    </row>
    <row r="407">
      <c r="A407" s="1" t="n"/>
      <c r="B407" s="25" t="n"/>
      <c r="C407" s="26" t="n"/>
      <c r="D407" s="26" t="n"/>
      <c r="E407" s="28" t="n"/>
      <c r="F407" s="65">
        <f>IF(OR(D407="",E407=""),"",IFERROR(E407*INDEX(Catalogue!$E$7:$E$19,MATCH(D407,Catalogue!$B$7:$B$19,0)),"#N/A"))</f>
        <v/>
      </c>
      <c r="G407" s="64">
        <f>IF(OR(D407="",E407=""),"",IFERROR(E407*INDEX(Catalogue!$D$7:$D$19,MATCH(D407,Catalogue!$B$7:$B$19,0)),"#N/A"))</f>
        <v/>
      </c>
      <c r="H407" s="26" t="n"/>
      <c r="I407" s="2" t="n"/>
      <c r="J407" s="1" t="n"/>
    </row>
    <row r="408">
      <c r="A408" s="1" t="n"/>
      <c r="B408" s="25" t="n"/>
      <c r="C408" s="26" t="n"/>
      <c r="D408" s="26" t="n"/>
      <c r="E408" s="28" t="n"/>
      <c r="F408" s="65">
        <f>IF(OR(D408="",E408=""),"",IFERROR(E408*INDEX(Catalogue!$E$7:$E$19,MATCH(D408,Catalogue!$B$7:$B$19,0)),"#N/A"))</f>
        <v/>
      </c>
      <c r="G408" s="64">
        <f>IF(OR(D408="",E408=""),"",IFERROR(E408*INDEX(Catalogue!$D$7:$D$19,MATCH(D408,Catalogue!$B$7:$B$19,0)),"#N/A"))</f>
        <v/>
      </c>
      <c r="H408" s="26" t="n"/>
      <c r="I408" s="2" t="n"/>
      <c r="J408" s="1" t="n"/>
    </row>
    <row r="409">
      <c r="A409" s="1" t="n"/>
      <c r="B409" s="25" t="n"/>
      <c r="C409" s="26" t="n"/>
      <c r="D409" s="26" t="n"/>
      <c r="E409" s="28" t="n"/>
      <c r="F409" s="65">
        <f>IF(OR(D409="",E409=""),"",IFERROR(E409*INDEX(Catalogue!$E$7:$E$19,MATCH(D409,Catalogue!$B$7:$B$19,0)),"#N/A"))</f>
        <v/>
      </c>
      <c r="G409" s="64">
        <f>IF(OR(D409="",E409=""),"",IFERROR(E409*INDEX(Catalogue!$D$7:$D$19,MATCH(D409,Catalogue!$B$7:$B$19,0)),"#N/A"))</f>
        <v/>
      </c>
      <c r="H409" s="26" t="n"/>
      <c r="I409" s="2" t="n"/>
      <c r="J409" s="1" t="n"/>
    </row>
    <row r="410">
      <c r="A410" s="1" t="n"/>
      <c r="B410" s="25" t="n"/>
      <c r="C410" s="26" t="n"/>
      <c r="D410" s="26" t="n"/>
      <c r="E410" s="28" t="n"/>
      <c r="F410" s="65">
        <f>IF(OR(D410="",E410=""),"",IFERROR(E410*INDEX(Catalogue!$E$7:$E$19,MATCH(D410,Catalogue!$B$7:$B$19,0)),"#N/A"))</f>
        <v/>
      </c>
      <c r="G410" s="64">
        <f>IF(OR(D410="",E410=""),"",IFERROR(E410*INDEX(Catalogue!$D$7:$D$19,MATCH(D410,Catalogue!$B$7:$B$19,0)),"#N/A"))</f>
        <v/>
      </c>
      <c r="H410" s="26" t="n"/>
      <c r="I410" s="2" t="n"/>
      <c r="J410" s="1" t="n"/>
    </row>
    <row r="411">
      <c r="A411" s="1" t="n"/>
      <c r="B411" s="25" t="n"/>
      <c r="C411" s="26" t="n"/>
      <c r="D411" s="26" t="n"/>
      <c r="E411" s="28" t="n"/>
      <c r="F411" s="65">
        <f>IF(OR(D411="",E411=""),"",IFERROR(E411*INDEX(Catalogue!$E$7:$E$19,MATCH(D411,Catalogue!$B$7:$B$19,0)),"#N/A"))</f>
        <v/>
      </c>
      <c r="G411" s="64">
        <f>IF(OR(D411="",E411=""),"",IFERROR(E411*INDEX(Catalogue!$D$7:$D$19,MATCH(D411,Catalogue!$B$7:$B$19,0)),"#N/A"))</f>
        <v/>
      </c>
      <c r="H411" s="26" t="n"/>
      <c r="I411" s="2" t="n"/>
      <c r="J411" s="1" t="n"/>
    </row>
    <row r="412">
      <c r="A412" s="1" t="n"/>
      <c r="B412" s="25" t="n"/>
      <c r="C412" s="26" t="n"/>
      <c r="D412" s="26" t="n"/>
      <c r="E412" s="28" t="n"/>
      <c r="F412" s="65">
        <f>IF(OR(D412="",E412=""),"",IFERROR(E412*INDEX(Catalogue!$E$7:$E$19,MATCH(D412,Catalogue!$B$7:$B$19,0)),"#N/A"))</f>
        <v/>
      </c>
      <c r="G412" s="64">
        <f>IF(OR(D412="",E412=""),"",IFERROR(E412*INDEX(Catalogue!$D$7:$D$19,MATCH(D412,Catalogue!$B$7:$B$19,0)),"#N/A"))</f>
        <v/>
      </c>
      <c r="H412" s="26" t="n"/>
      <c r="I412" s="2" t="n"/>
      <c r="J412" s="1" t="n"/>
    </row>
    <row r="413">
      <c r="A413" s="1" t="n"/>
      <c r="B413" s="25" t="n"/>
      <c r="C413" s="26" t="n"/>
      <c r="D413" s="26" t="n"/>
      <c r="E413" s="28" t="n"/>
      <c r="F413" s="65">
        <f>IF(OR(D413="",E413=""),"",IFERROR(E413*INDEX(Catalogue!$E$7:$E$19,MATCH(D413,Catalogue!$B$7:$B$19,0)),"#N/A"))</f>
        <v/>
      </c>
      <c r="G413" s="64">
        <f>IF(OR(D413="",E413=""),"",IFERROR(E413*INDEX(Catalogue!$D$7:$D$19,MATCH(D413,Catalogue!$B$7:$B$19,0)),"#N/A"))</f>
        <v/>
      </c>
      <c r="H413" s="26" t="n"/>
      <c r="I413" s="2" t="n"/>
      <c r="J413" s="1" t="n"/>
    </row>
    <row r="414">
      <c r="A414" s="1" t="n"/>
      <c r="B414" s="25" t="n"/>
      <c r="C414" s="26" t="n"/>
      <c r="D414" s="26" t="n"/>
      <c r="E414" s="28" t="n"/>
      <c r="F414" s="65">
        <f>IF(OR(D414="",E414=""),"",IFERROR(E414*INDEX(Catalogue!$E$7:$E$19,MATCH(D414,Catalogue!$B$7:$B$19,0)),"#N/A"))</f>
        <v/>
      </c>
      <c r="G414" s="64">
        <f>IF(OR(D414="",E414=""),"",IFERROR(E414*INDEX(Catalogue!$D$7:$D$19,MATCH(D414,Catalogue!$B$7:$B$19,0)),"#N/A"))</f>
        <v/>
      </c>
      <c r="H414" s="26" t="n"/>
      <c r="I414" s="2" t="n"/>
      <c r="J414" s="1" t="n"/>
    </row>
    <row r="415">
      <c r="A415" s="1" t="n"/>
      <c r="B415" s="25" t="n"/>
      <c r="C415" s="26" t="n"/>
      <c r="D415" s="26" t="n"/>
      <c r="E415" s="28" t="n"/>
      <c r="F415" s="65">
        <f>IF(OR(D415="",E415=""),"",IFERROR(E415*INDEX(Catalogue!$E$7:$E$19,MATCH(D415,Catalogue!$B$7:$B$19,0)),"#N/A"))</f>
        <v/>
      </c>
      <c r="G415" s="64">
        <f>IF(OR(D415="",E415=""),"",IFERROR(E415*INDEX(Catalogue!$D$7:$D$19,MATCH(D415,Catalogue!$B$7:$B$19,0)),"#N/A"))</f>
        <v/>
      </c>
      <c r="H415" s="26" t="n"/>
      <c r="I415" s="2" t="n"/>
      <c r="J415" s="1" t="n"/>
    </row>
    <row r="416">
      <c r="A416" s="1" t="n"/>
      <c r="B416" s="25" t="n"/>
      <c r="C416" s="26" t="n"/>
      <c r="D416" s="26" t="n"/>
      <c r="E416" s="28" t="n"/>
      <c r="F416" s="65">
        <f>IF(OR(D416="",E416=""),"",IFERROR(E416*INDEX(Catalogue!$E$7:$E$19,MATCH(D416,Catalogue!$B$7:$B$19,0)),"#N/A"))</f>
        <v/>
      </c>
      <c r="G416" s="64">
        <f>IF(OR(D416="",E416=""),"",IFERROR(E416*INDEX(Catalogue!$D$7:$D$19,MATCH(D416,Catalogue!$B$7:$B$19,0)),"#N/A"))</f>
        <v/>
      </c>
      <c r="H416" s="26" t="n"/>
      <c r="I416" s="2" t="n"/>
      <c r="J416" s="1" t="n"/>
    </row>
    <row r="417">
      <c r="A417" s="1" t="n"/>
      <c r="B417" s="25" t="n"/>
      <c r="C417" s="26" t="n"/>
      <c r="D417" s="26" t="n"/>
      <c r="E417" s="28" t="n"/>
      <c r="F417" s="65">
        <f>IF(OR(D417="",E417=""),"",IFERROR(E417*INDEX(Catalogue!$E$7:$E$19,MATCH(D417,Catalogue!$B$7:$B$19,0)),"#N/A"))</f>
        <v/>
      </c>
      <c r="G417" s="64">
        <f>IF(OR(D417="",E417=""),"",IFERROR(E417*INDEX(Catalogue!$D$7:$D$19,MATCH(D417,Catalogue!$B$7:$B$19,0)),"#N/A"))</f>
        <v/>
      </c>
      <c r="H417" s="26" t="n"/>
      <c r="I417" s="2" t="n"/>
      <c r="J417" s="1" t="n"/>
    </row>
    <row r="418">
      <c r="A418" s="1" t="n"/>
      <c r="B418" s="25" t="n"/>
      <c r="C418" s="26" t="n"/>
      <c r="D418" s="26" t="n"/>
      <c r="E418" s="28" t="n"/>
      <c r="F418" s="65">
        <f>IF(OR(D418="",E418=""),"",IFERROR(E418*INDEX(Catalogue!$E$7:$E$19,MATCH(D418,Catalogue!$B$7:$B$19,0)),"#N/A"))</f>
        <v/>
      </c>
      <c r="G418" s="64">
        <f>IF(OR(D418="",E418=""),"",IFERROR(E418*INDEX(Catalogue!$D$7:$D$19,MATCH(D418,Catalogue!$B$7:$B$19,0)),"#N/A"))</f>
        <v/>
      </c>
      <c r="H418" s="26" t="n"/>
      <c r="I418" s="2" t="n"/>
      <c r="J418" s="1" t="n"/>
    </row>
    <row r="419">
      <c r="A419" s="1" t="n"/>
      <c r="B419" s="25" t="n"/>
      <c r="C419" s="26" t="n"/>
      <c r="D419" s="26" t="n"/>
      <c r="E419" s="28" t="n"/>
      <c r="F419" s="65">
        <f>IF(OR(D419="",E419=""),"",IFERROR(E419*INDEX(Catalogue!$E$7:$E$19,MATCH(D419,Catalogue!$B$7:$B$19,0)),"#N/A"))</f>
        <v/>
      </c>
      <c r="G419" s="64">
        <f>IF(OR(D419="",E419=""),"",IFERROR(E419*INDEX(Catalogue!$D$7:$D$19,MATCH(D419,Catalogue!$B$7:$B$19,0)),"#N/A"))</f>
        <v/>
      </c>
      <c r="H419" s="26" t="n"/>
      <c r="I419" s="2" t="n"/>
      <c r="J419" s="1" t="n"/>
    </row>
    <row r="420">
      <c r="A420" s="1" t="n"/>
      <c r="B420" s="25" t="n"/>
      <c r="C420" s="26" t="n"/>
      <c r="D420" s="26" t="n"/>
      <c r="E420" s="28" t="n"/>
      <c r="F420" s="65">
        <f>IF(OR(D420="",E420=""),"",IFERROR(E420*INDEX(Catalogue!$E$7:$E$19,MATCH(D420,Catalogue!$B$7:$B$19,0)),"#N/A"))</f>
        <v/>
      </c>
      <c r="G420" s="64">
        <f>IF(OR(D420="",E420=""),"",IFERROR(E420*INDEX(Catalogue!$D$7:$D$19,MATCH(D420,Catalogue!$B$7:$B$19,0)),"#N/A"))</f>
        <v/>
      </c>
      <c r="H420" s="26" t="n"/>
      <c r="I420" s="2" t="n"/>
      <c r="J420" s="1" t="n"/>
    </row>
    <row r="421">
      <c r="A421" s="1" t="n"/>
      <c r="B421" s="25" t="n"/>
      <c r="C421" s="26" t="n"/>
      <c r="D421" s="26" t="n"/>
      <c r="E421" s="28" t="n"/>
      <c r="F421" s="65">
        <f>IF(OR(D421="",E421=""),"",IFERROR(E421*INDEX(Catalogue!$E$7:$E$19,MATCH(D421,Catalogue!$B$7:$B$19,0)),"#N/A"))</f>
        <v/>
      </c>
      <c r="G421" s="64">
        <f>IF(OR(D421="",E421=""),"",IFERROR(E421*INDEX(Catalogue!$D$7:$D$19,MATCH(D421,Catalogue!$B$7:$B$19,0)),"#N/A"))</f>
        <v/>
      </c>
      <c r="H421" s="26" t="n"/>
      <c r="I421" s="2" t="n"/>
      <c r="J421" s="1" t="n"/>
    </row>
    <row r="422">
      <c r="A422" s="1" t="n"/>
      <c r="B422" s="25" t="n"/>
      <c r="C422" s="26" t="n"/>
      <c r="D422" s="26" t="n"/>
      <c r="E422" s="28" t="n"/>
      <c r="F422" s="65">
        <f>IF(OR(D422="",E422=""),"",IFERROR(E422*INDEX(Catalogue!$E$7:$E$19,MATCH(D422,Catalogue!$B$7:$B$19,0)),"#N/A"))</f>
        <v/>
      </c>
      <c r="G422" s="64">
        <f>IF(OR(D422="",E422=""),"",IFERROR(E422*INDEX(Catalogue!$D$7:$D$19,MATCH(D422,Catalogue!$B$7:$B$19,0)),"#N/A"))</f>
        <v/>
      </c>
      <c r="H422" s="26" t="n"/>
      <c r="I422" s="2" t="n"/>
      <c r="J422" s="1" t="n"/>
    </row>
    <row r="423">
      <c r="A423" s="1" t="n"/>
      <c r="B423" s="25" t="n"/>
      <c r="C423" s="26" t="n"/>
      <c r="D423" s="26" t="n"/>
      <c r="E423" s="28" t="n"/>
      <c r="F423" s="65">
        <f>IF(OR(D423="",E423=""),"",IFERROR(E423*INDEX(Catalogue!$E$7:$E$19,MATCH(D423,Catalogue!$B$7:$B$19,0)),"#N/A"))</f>
        <v/>
      </c>
      <c r="G423" s="64">
        <f>IF(OR(D423="",E423=""),"",IFERROR(E423*INDEX(Catalogue!$D$7:$D$19,MATCH(D423,Catalogue!$B$7:$B$19,0)),"#N/A"))</f>
        <v/>
      </c>
      <c r="H423" s="26" t="n"/>
      <c r="I423" s="2" t="n"/>
      <c r="J423" s="1" t="n"/>
    </row>
    <row r="424">
      <c r="A424" s="1" t="n"/>
      <c r="B424" s="25" t="n"/>
      <c r="C424" s="26" t="n"/>
      <c r="D424" s="26" t="n"/>
      <c r="E424" s="28" t="n"/>
      <c r="F424" s="65">
        <f>IF(OR(D424="",E424=""),"",IFERROR(E424*INDEX(Catalogue!$E$7:$E$19,MATCH(D424,Catalogue!$B$7:$B$19,0)),"#N/A"))</f>
        <v/>
      </c>
      <c r="G424" s="64">
        <f>IF(OR(D424="",E424=""),"",IFERROR(E424*INDEX(Catalogue!$D$7:$D$19,MATCH(D424,Catalogue!$B$7:$B$19,0)),"#N/A"))</f>
        <v/>
      </c>
      <c r="H424" s="26" t="n"/>
      <c r="I424" s="2" t="n"/>
      <c r="J424" s="1" t="n"/>
    </row>
    <row r="425">
      <c r="A425" s="1" t="n"/>
      <c r="B425" s="25" t="n"/>
      <c r="C425" s="26" t="n"/>
      <c r="D425" s="26" t="n"/>
      <c r="E425" s="28" t="n"/>
      <c r="F425" s="65">
        <f>IF(OR(D425="",E425=""),"",IFERROR(E425*INDEX(Catalogue!$E$7:$E$19,MATCH(D425,Catalogue!$B$7:$B$19,0)),"#N/A"))</f>
        <v/>
      </c>
      <c r="G425" s="64">
        <f>IF(OR(D425="",E425=""),"",IFERROR(E425*INDEX(Catalogue!$D$7:$D$19,MATCH(D425,Catalogue!$B$7:$B$19,0)),"#N/A"))</f>
        <v/>
      </c>
      <c r="H425" s="26" t="n"/>
      <c r="I425" s="2" t="n"/>
      <c r="J425" s="1" t="n"/>
    </row>
    <row r="426">
      <c r="A426" s="1" t="n"/>
      <c r="B426" s="25" t="n"/>
      <c r="C426" s="26" t="n"/>
      <c r="D426" s="26" t="n"/>
      <c r="E426" s="28" t="n"/>
      <c r="F426" s="65">
        <f>IF(OR(D426="",E426=""),"",IFERROR(E426*INDEX(Catalogue!$E$7:$E$19,MATCH(D426,Catalogue!$B$7:$B$19,0)),"#N/A"))</f>
        <v/>
      </c>
      <c r="G426" s="64">
        <f>IF(OR(D426="",E426=""),"",IFERROR(E426*INDEX(Catalogue!$D$7:$D$19,MATCH(D426,Catalogue!$B$7:$B$19,0)),"#N/A"))</f>
        <v/>
      </c>
      <c r="H426" s="26" t="n"/>
      <c r="I426" s="2" t="n"/>
      <c r="J426" s="1" t="n"/>
    </row>
    <row r="427">
      <c r="A427" s="1" t="n"/>
      <c r="B427" s="25" t="n"/>
      <c r="C427" s="26" t="n"/>
      <c r="D427" s="26" t="n"/>
      <c r="E427" s="28" t="n"/>
      <c r="F427" s="65">
        <f>IF(OR(D427="",E427=""),"",IFERROR(E427*INDEX(Catalogue!$E$7:$E$19,MATCH(D427,Catalogue!$B$7:$B$19,0)),"#N/A"))</f>
        <v/>
      </c>
      <c r="G427" s="64">
        <f>IF(OR(D427="",E427=""),"",IFERROR(E427*INDEX(Catalogue!$D$7:$D$19,MATCH(D427,Catalogue!$B$7:$B$19,0)),"#N/A"))</f>
        <v/>
      </c>
      <c r="H427" s="26" t="n"/>
      <c r="I427" s="2" t="n"/>
      <c r="J427" s="1" t="n"/>
    </row>
    <row r="428">
      <c r="A428" s="1" t="n"/>
      <c r="B428" s="25" t="n"/>
      <c r="C428" s="26" t="n"/>
      <c r="D428" s="26" t="n"/>
      <c r="E428" s="28" t="n"/>
      <c r="F428" s="65">
        <f>IF(OR(D428="",E428=""),"",IFERROR(E428*INDEX(Catalogue!$E$7:$E$19,MATCH(D428,Catalogue!$B$7:$B$19,0)),"#N/A"))</f>
        <v/>
      </c>
      <c r="G428" s="64">
        <f>IF(OR(D428="",E428=""),"",IFERROR(E428*INDEX(Catalogue!$D$7:$D$19,MATCH(D428,Catalogue!$B$7:$B$19,0)),"#N/A"))</f>
        <v/>
      </c>
      <c r="H428" s="26" t="n"/>
      <c r="I428" s="2" t="n"/>
      <c r="J428" s="1" t="n"/>
    </row>
    <row r="429">
      <c r="A429" s="1" t="n"/>
      <c r="B429" s="25" t="n"/>
      <c r="C429" s="26" t="n"/>
      <c r="D429" s="26" t="n"/>
      <c r="E429" s="28" t="n"/>
      <c r="F429" s="65">
        <f>IF(OR(D429="",E429=""),"",IFERROR(E429*INDEX(Catalogue!$E$7:$E$19,MATCH(D429,Catalogue!$B$7:$B$19,0)),"#N/A"))</f>
        <v/>
      </c>
      <c r="G429" s="64">
        <f>IF(OR(D429="",E429=""),"",IFERROR(E429*INDEX(Catalogue!$D$7:$D$19,MATCH(D429,Catalogue!$B$7:$B$19,0)),"#N/A"))</f>
        <v/>
      </c>
      <c r="H429" s="26" t="n"/>
      <c r="I429" s="2" t="n"/>
      <c r="J429" s="1" t="n"/>
    </row>
    <row r="430">
      <c r="A430" s="1" t="n"/>
      <c r="B430" s="25" t="n"/>
      <c r="C430" s="26" t="n"/>
      <c r="D430" s="26" t="n"/>
      <c r="E430" s="28" t="n"/>
      <c r="F430" s="65">
        <f>IF(OR(D430="",E430=""),"",IFERROR(E430*INDEX(Catalogue!$E$7:$E$19,MATCH(D430,Catalogue!$B$7:$B$19,0)),"#N/A"))</f>
        <v/>
      </c>
      <c r="G430" s="64">
        <f>IF(OR(D430="",E430=""),"",IFERROR(E430*INDEX(Catalogue!$D$7:$D$19,MATCH(D430,Catalogue!$B$7:$B$19,0)),"#N/A"))</f>
        <v/>
      </c>
      <c r="H430" s="26" t="n"/>
      <c r="I430" s="2" t="n"/>
      <c r="J430" s="1" t="n"/>
    </row>
    <row r="431">
      <c r="A431" s="1" t="n"/>
      <c r="B431" s="25" t="n"/>
      <c r="C431" s="26" t="n"/>
      <c r="D431" s="26" t="n"/>
      <c r="E431" s="28" t="n"/>
      <c r="F431" s="65">
        <f>IF(OR(D431="",E431=""),"",IFERROR(E431*INDEX(Catalogue!$E$7:$E$19,MATCH(D431,Catalogue!$B$7:$B$19,0)),"#N/A"))</f>
        <v/>
      </c>
      <c r="G431" s="64">
        <f>IF(OR(D431="",E431=""),"",IFERROR(E431*INDEX(Catalogue!$D$7:$D$19,MATCH(D431,Catalogue!$B$7:$B$19,0)),"#N/A"))</f>
        <v/>
      </c>
      <c r="H431" s="26" t="n"/>
      <c r="I431" s="2" t="n"/>
      <c r="J431" s="1" t="n"/>
    </row>
    <row r="432">
      <c r="A432" s="1" t="n"/>
      <c r="B432" s="25" t="n"/>
      <c r="C432" s="26" t="n"/>
      <c r="D432" s="26" t="n"/>
      <c r="E432" s="28" t="n"/>
      <c r="F432" s="65">
        <f>IF(OR(D432="",E432=""),"",IFERROR(E432*INDEX(Catalogue!$E$7:$E$19,MATCH(D432,Catalogue!$B$7:$B$19,0)),"#N/A"))</f>
        <v/>
      </c>
      <c r="G432" s="64">
        <f>IF(OR(D432="",E432=""),"",IFERROR(E432*INDEX(Catalogue!$D$7:$D$19,MATCH(D432,Catalogue!$B$7:$B$19,0)),"#N/A"))</f>
        <v/>
      </c>
      <c r="H432" s="26" t="n"/>
      <c r="I432" s="2" t="n"/>
      <c r="J432" s="1" t="n"/>
    </row>
    <row r="433">
      <c r="A433" s="1" t="n"/>
      <c r="B433" s="25" t="n"/>
      <c r="C433" s="26" t="n"/>
      <c r="D433" s="26" t="n"/>
      <c r="E433" s="28" t="n"/>
      <c r="F433" s="65">
        <f>IF(OR(D433="",E433=""),"",IFERROR(E433*INDEX(Catalogue!$E$7:$E$19,MATCH(D433,Catalogue!$B$7:$B$19,0)),"#N/A"))</f>
        <v/>
      </c>
      <c r="G433" s="64">
        <f>IF(OR(D433="",E433=""),"",IFERROR(E433*INDEX(Catalogue!$D$7:$D$19,MATCH(D433,Catalogue!$B$7:$B$19,0)),"#N/A"))</f>
        <v/>
      </c>
      <c r="H433" s="26" t="n"/>
      <c r="I433" s="2" t="n"/>
      <c r="J433" s="1" t="n"/>
    </row>
    <row r="434">
      <c r="A434" s="1" t="n"/>
      <c r="B434" s="25" t="n"/>
      <c r="C434" s="26" t="n"/>
      <c r="D434" s="26" t="n"/>
      <c r="E434" s="28" t="n"/>
      <c r="F434" s="65">
        <f>IF(OR(D434="",E434=""),"",IFERROR(E434*INDEX(Catalogue!$E$7:$E$19,MATCH(D434,Catalogue!$B$7:$B$19,0)),"#N/A"))</f>
        <v/>
      </c>
      <c r="G434" s="64">
        <f>IF(OR(D434="",E434=""),"",IFERROR(E434*INDEX(Catalogue!$D$7:$D$19,MATCH(D434,Catalogue!$B$7:$B$19,0)),"#N/A"))</f>
        <v/>
      </c>
      <c r="H434" s="26" t="n"/>
      <c r="I434" s="2" t="n"/>
      <c r="J434" s="1" t="n"/>
    </row>
    <row r="435">
      <c r="A435" s="1" t="n"/>
      <c r="B435" s="25" t="n"/>
      <c r="C435" s="26" t="n"/>
      <c r="D435" s="26" t="n"/>
      <c r="E435" s="28" t="n"/>
      <c r="F435" s="65">
        <f>IF(OR(D435="",E435=""),"",IFERROR(E435*INDEX(Catalogue!$E$7:$E$19,MATCH(D435,Catalogue!$B$7:$B$19,0)),"#N/A"))</f>
        <v/>
      </c>
      <c r="G435" s="64">
        <f>IF(OR(D435="",E435=""),"",IFERROR(E435*INDEX(Catalogue!$D$7:$D$19,MATCH(D435,Catalogue!$B$7:$B$19,0)),"#N/A"))</f>
        <v/>
      </c>
      <c r="H435" s="26" t="n"/>
      <c r="I435" s="2" t="n"/>
      <c r="J435" s="1" t="n"/>
    </row>
    <row r="436">
      <c r="A436" s="1" t="n"/>
      <c r="B436" s="25" t="n"/>
      <c r="C436" s="26" t="n"/>
      <c r="D436" s="26" t="n"/>
      <c r="E436" s="28" t="n"/>
      <c r="F436" s="65">
        <f>IF(OR(D436="",E436=""),"",IFERROR(E436*INDEX(Catalogue!$E$7:$E$19,MATCH(D436,Catalogue!$B$7:$B$19,0)),"#N/A"))</f>
        <v/>
      </c>
      <c r="G436" s="64">
        <f>IF(OR(D436="",E436=""),"",IFERROR(E436*INDEX(Catalogue!$D$7:$D$19,MATCH(D436,Catalogue!$B$7:$B$19,0)),"#N/A"))</f>
        <v/>
      </c>
      <c r="H436" s="26" t="n"/>
      <c r="I436" s="2" t="n"/>
      <c r="J436" s="1" t="n"/>
    </row>
    <row r="437">
      <c r="A437" s="1" t="n"/>
      <c r="B437" s="25" t="n"/>
      <c r="C437" s="26" t="n"/>
      <c r="D437" s="26" t="n"/>
      <c r="E437" s="28" t="n"/>
      <c r="F437" s="65">
        <f>IF(OR(D437="",E437=""),"",IFERROR(E437*INDEX(Catalogue!$E$7:$E$19,MATCH(D437,Catalogue!$B$7:$B$19,0)),"#N/A"))</f>
        <v/>
      </c>
      <c r="G437" s="64">
        <f>IF(OR(D437="",E437=""),"",IFERROR(E437*INDEX(Catalogue!$D$7:$D$19,MATCH(D437,Catalogue!$B$7:$B$19,0)),"#N/A"))</f>
        <v/>
      </c>
      <c r="H437" s="26" t="n"/>
      <c r="I437" s="2" t="n"/>
      <c r="J437" s="1" t="n"/>
    </row>
    <row r="438">
      <c r="A438" s="1" t="n"/>
      <c r="B438" s="25" t="n"/>
      <c r="C438" s="26" t="n"/>
      <c r="D438" s="26" t="n"/>
      <c r="E438" s="28" t="n"/>
      <c r="F438" s="65">
        <f>IF(OR(D438="",E438=""),"",IFERROR(E438*INDEX(Catalogue!$E$7:$E$19,MATCH(D438,Catalogue!$B$7:$B$19,0)),"#N/A"))</f>
        <v/>
      </c>
      <c r="G438" s="64">
        <f>IF(OR(D438="",E438=""),"",IFERROR(E438*INDEX(Catalogue!$D$7:$D$19,MATCH(D438,Catalogue!$B$7:$B$19,0)),"#N/A"))</f>
        <v/>
      </c>
      <c r="H438" s="26" t="n"/>
      <c r="I438" s="2" t="n"/>
      <c r="J438" s="1" t="n"/>
    </row>
    <row r="439">
      <c r="A439" s="1" t="n"/>
      <c r="B439" s="25" t="n"/>
      <c r="C439" s="26" t="n"/>
      <c r="D439" s="26" t="n"/>
      <c r="E439" s="28" t="n"/>
      <c r="F439" s="65">
        <f>IF(OR(D439="",E439=""),"",IFERROR(E439*INDEX(Catalogue!$E$7:$E$19,MATCH(D439,Catalogue!$B$7:$B$19,0)),"#N/A"))</f>
        <v/>
      </c>
      <c r="G439" s="64">
        <f>IF(OR(D439="",E439=""),"",IFERROR(E439*INDEX(Catalogue!$D$7:$D$19,MATCH(D439,Catalogue!$B$7:$B$19,0)),"#N/A"))</f>
        <v/>
      </c>
      <c r="H439" s="26" t="n"/>
      <c r="I439" s="2" t="n"/>
      <c r="J439" s="1" t="n"/>
    </row>
    <row r="440">
      <c r="A440" s="1" t="n"/>
      <c r="B440" s="25" t="n"/>
      <c r="C440" s="26" t="n"/>
      <c r="D440" s="26" t="n"/>
      <c r="E440" s="28" t="n"/>
      <c r="F440" s="65">
        <f>IF(OR(D440="",E440=""),"",IFERROR(E440*INDEX(Catalogue!$E$7:$E$19,MATCH(D440,Catalogue!$B$7:$B$19,0)),"#N/A"))</f>
        <v/>
      </c>
      <c r="G440" s="64">
        <f>IF(OR(D440="",E440=""),"",IFERROR(E440*INDEX(Catalogue!$D$7:$D$19,MATCH(D440,Catalogue!$B$7:$B$19,0)),"#N/A"))</f>
        <v/>
      </c>
      <c r="H440" s="26" t="n"/>
      <c r="I440" s="2" t="n"/>
      <c r="J440" s="1" t="n"/>
    </row>
    <row r="441">
      <c r="A441" s="1" t="n"/>
      <c r="B441" s="25" t="n"/>
      <c r="C441" s="26" t="n"/>
      <c r="D441" s="26" t="n"/>
      <c r="E441" s="28" t="n"/>
      <c r="F441" s="65">
        <f>IF(OR(D441="",E441=""),"",IFERROR(E441*INDEX(Catalogue!$E$7:$E$19,MATCH(D441,Catalogue!$B$7:$B$19,0)),"#N/A"))</f>
        <v/>
      </c>
      <c r="G441" s="64">
        <f>IF(OR(D441="",E441=""),"",IFERROR(E441*INDEX(Catalogue!$D$7:$D$19,MATCH(D441,Catalogue!$B$7:$B$19,0)),"#N/A"))</f>
        <v/>
      </c>
      <c r="H441" s="26" t="n"/>
      <c r="I441" s="2" t="n"/>
      <c r="J441" s="1" t="n"/>
    </row>
    <row r="442">
      <c r="A442" s="1" t="n"/>
      <c r="B442" s="25" t="n"/>
      <c r="C442" s="26" t="n"/>
      <c r="D442" s="26" t="n"/>
      <c r="E442" s="28" t="n"/>
      <c r="F442" s="65">
        <f>IF(OR(D442="",E442=""),"",IFERROR(E442*INDEX(Catalogue!$E$7:$E$19,MATCH(D442,Catalogue!$B$7:$B$19,0)),"#N/A"))</f>
        <v/>
      </c>
      <c r="G442" s="64">
        <f>IF(OR(D442="",E442=""),"",IFERROR(E442*INDEX(Catalogue!$D$7:$D$19,MATCH(D442,Catalogue!$B$7:$B$19,0)),"#N/A"))</f>
        <v/>
      </c>
      <c r="H442" s="26" t="n"/>
      <c r="I442" s="2" t="n"/>
      <c r="J442" s="1" t="n"/>
    </row>
    <row r="443">
      <c r="A443" s="1" t="n"/>
      <c r="B443" s="25" t="n"/>
      <c r="C443" s="26" t="n"/>
      <c r="D443" s="26" t="n"/>
      <c r="E443" s="28" t="n"/>
      <c r="F443" s="65">
        <f>IF(OR(D443="",E443=""),"",IFERROR(E443*INDEX(Catalogue!$E$7:$E$19,MATCH(D443,Catalogue!$B$7:$B$19,0)),"#N/A"))</f>
        <v/>
      </c>
      <c r="G443" s="64">
        <f>IF(OR(D443="",E443=""),"",IFERROR(E443*INDEX(Catalogue!$D$7:$D$19,MATCH(D443,Catalogue!$B$7:$B$19,0)),"#N/A"))</f>
        <v/>
      </c>
      <c r="H443" s="26" t="n"/>
      <c r="I443" s="2" t="n"/>
      <c r="J443" s="1" t="n"/>
    </row>
    <row r="444">
      <c r="A444" s="1" t="n"/>
      <c r="B444" s="25" t="n"/>
      <c r="C444" s="26" t="n"/>
      <c r="D444" s="26" t="n"/>
      <c r="E444" s="28" t="n"/>
      <c r="F444" s="65">
        <f>IF(OR(D444="",E444=""),"",IFERROR(E444*INDEX(Catalogue!$E$7:$E$19,MATCH(D444,Catalogue!$B$7:$B$19,0)),"#N/A"))</f>
        <v/>
      </c>
      <c r="G444" s="64">
        <f>IF(OR(D444="",E444=""),"",IFERROR(E444*INDEX(Catalogue!$D$7:$D$19,MATCH(D444,Catalogue!$B$7:$B$19,0)),"#N/A"))</f>
        <v/>
      </c>
      <c r="H444" s="26" t="n"/>
      <c r="I444" s="2" t="n"/>
      <c r="J444" s="1" t="n"/>
    </row>
    <row r="445">
      <c r="A445" s="1" t="n"/>
      <c r="B445" s="25" t="n"/>
      <c r="C445" s="26" t="n"/>
      <c r="D445" s="26" t="n"/>
      <c r="E445" s="28" t="n"/>
      <c r="F445" s="65">
        <f>IF(OR(D445="",E445=""),"",IFERROR(E445*INDEX(Catalogue!$E$7:$E$19,MATCH(D445,Catalogue!$B$7:$B$19,0)),"#N/A"))</f>
        <v/>
      </c>
      <c r="G445" s="64">
        <f>IF(OR(D445="",E445=""),"",IFERROR(E445*INDEX(Catalogue!$D$7:$D$19,MATCH(D445,Catalogue!$B$7:$B$19,0)),"#N/A"))</f>
        <v/>
      </c>
      <c r="H445" s="26" t="n"/>
      <c r="I445" s="2" t="n"/>
      <c r="J445" s="1" t="n"/>
    </row>
    <row r="446">
      <c r="A446" s="1" t="n"/>
      <c r="B446" s="25" t="n"/>
      <c r="C446" s="26" t="n"/>
      <c r="D446" s="26" t="n"/>
      <c r="E446" s="28" t="n"/>
      <c r="F446" s="65">
        <f>IF(OR(D446="",E446=""),"",IFERROR(E446*INDEX(Catalogue!$E$7:$E$19,MATCH(D446,Catalogue!$B$7:$B$19,0)),"#N/A"))</f>
        <v/>
      </c>
      <c r="G446" s="64">
        <f>IF(OR(D446="",E446=""),"",IFERROR(E446*INDEX(Catalogue!$D$7:$D$19,MATCH(D446,Catalogue!$B$7:$B$19,0)),"#N/A"))</f>
        <v/>
      </c>
      <c r="H446" s="26" t="n"/>
      <c r="I446" s="2" t="n"/>
      <c r="J446" s="1" t="n"/>
    </row>
    <row r="447">
      <c r="A447" s="1" t="n"/>
      <c r="B447" s="25" t="n"/>
      <c r="C447" s="26" t="n"/>
      <c r="D447" s="26" t="n"/>
      <c r="E447" s="28" t="n"/>
      <c r="F447" s="65">
        <f>IF(OR(D447="",E447=""),"",IFERROR(E447*INDEX(Catalogue!$E$7:$E$19,MATCH(D447,Catalogue!$B$7:$B$19,0)),"#N/A"))</f>
        <v/>
      </c>
      <c r="G447" s="64">
        <f>IF(OR(D447="",E447=""),"",IFERROR(E447*INDEX(Catalogue!$D$7:$D$19,MATCH(D447,Catalogue!$B$7:$B$19,0)),"#N/A"))</f>
        <v/>
      </c>
      <c r="H447" s="26" t="n"/>
      <c r="I447" s="2" t="n"/>
      <c r="J447" s="1" t="n"/>
    </row>
    <row r="448">
      <c r="A448" s="1" t="n"/>
      <c r="B448" s="25" t="n"/>
      <c r="C448" s="26" t="n"/>
      <c r="D448" s="26" t="n"/>
      <c r="E448" s="28" t="n"/>
      <c r="F448" s="65">
        <f>IF(OR(D448="",E448=""),"",IFERROR(E448*INDEX(Catalogue!$E$7:$E$19,MATCH(D448,Catalogue!$B$7:$B$19,0)),"#N/A"))</f>
        <v/>
      </c>
      <c r="G448" s="64">
        <f>IF(OR(D448="",E448=""),"",IFERROR(E448*INDEX(Catalogue!$D$7:$D$19,MATCH(D448,Catalogue!$B$7:$B$19,0)),"#N/A"))</f>
        <v/>
      </c>
      <c r="H448" s="26" t="n"/>
      <c r="I448" s="2" t="n"/>
      <c r="J448" s="1" t="n"/>
    </row>
    <row r="449">
      <c r="A449" s="1" t="n"/>
      <c r="B449" s="25" t="n"/>
      <c r="C449" s="26" t="n"/>
      <c r="D449" s="26" t="n"/>
      <c r="E449" s="28" t="n"/>
      <c r="F449" s="65">
        <f>IF(OR(D449="",E449=""),"",IFERROR(E449*INDEX(Catalogue!$E$7:$E$19,MATCH(D449,Catalogue!$B$7:$B$19,0)),"#N/A"))</f>
        <v/>
      </c>
      <c r="G449" s="64">
        <f>IF(OR(D449="",E449=""),"",IFERROR(E449*INDEX(Catalogue!$D$7:$D$19,MATCH(D449,Catalogue!$B$7:$B$19,0)),"#N/A"))</f>
        <v/>
      </c>
      <c r="H449" s="26" t="n"/>
      <c r="I449" s="2" t="n"/>
      <c r="J449" s="1" t="n"/>
    </row>
    <row r="450">
      <c r="A450" s="1" t="n"/>
      <c r="B450" s="25" t="n"/>
      <c r="C450" s="26" t="n"/>
      <c r="D450" s="26" t="n"/>
      <c r="E450" s="28" t="n"/>
      <c r="F450" s="65">
        <f>IF(OR(D450="",E450=""),"",IFERROR(E450*INDEX(Catalogue!$E$7:$E$19,MATCH(D450,Catalogue!$B$7:$B$19,0)),"#N/A"))</f>
        <v/>
      </c>
      <c r="G450" s="64">
        <f>IF(OR(D450="",E450=""),"",IFERROR(E450*INDEX(Catalogue!$D$7:$D$19,MATCH(D450,Catalogue!$B$7:$B$19,0)),"#N/A"))</f>
        <v/>
      </c>
      <c r="H450" s="26" t="n"/>
      <c r="I450" s="2" t="n"/>
      <c r="J450" s="1" t="n"/>
    </row>
    <row r="451">
      <c r="A451" s="1" t="n"/>
      <c r="B451" s="25" t="n"/>
      <c r="C451" s="26" t="n"/>
      <c r="D451" s="26" t="n"/>
      <c r="E451" s="28" t="n"/>
      <c r="F451" s="65">
        <f>IF(OR(D451="",E451=""),"",IFERROR(E451*INDEX(Catalogue!$E$7:$E$19,MATCH(D451,Catalogue!$B$7:$B$19,0)),"#N/A"))</f>
        <v/>
      </c>
      <c r="G451" s="64">
        <f>IF(OR(D451="",E451=""),"",IFERROR(E451*INDEX(Catalogue!$D$7:$D$19,MATCH(D451,Catalogue!$B$7:$B$19,0)),"#N/A"))</f>
        <v/>
      </c>
      <c r="H451" s="26" t="n"/>
      <c r="I451" s="2" t="n"/>
      <c r="J451" s="1" t="n"/>
    </row>
    <row r="452">
      <c r="A452" s="1" t="n"/>
      <c r="B452" s="25" t="n"/>
      <c r="C452" s="26" t="n"/>
      <c r="D452" s="26" t="n"/>
      <c r="E452" s="28" t="n"/>
      <c r="F452" s="65">
        <f>IF(OR(D452="",E452=""),"",IFERROR(E452*INDEX(Catalogue!$E$7:$E$19,MATCH(D452,Catalogue!$B$7:$B$19,0)),"#N/A"))</f>
        <v/>
      </c>
      <c r="G452" s="64">
        <f>IF(OR(D452="",E452=""),"",IFERROR(E452*INDEX(Catalogue!$D$7:$D$19,MATCH(D452,Catalogue!$B$7:$B$19,0)),"#N/A"))</f>
        <v/>
      </c>
      <c r="H452" s="26" t="n"/>
      <c r="I452" s="2" t="n"/>
      <c r="J452" s="1" t="n"/>
    </row>
    <row r="453">
      <c r="A453" s="1" t="n"/>
      <c r="B453" s="25" t="n"/>
      <c r="C453" s="26" t="n"/>
      <c r="D453" s="26" t="n"/>
      <c r="E453" s="28" t="n"/>
      <c r="F453" s="65">
        <f>IF(OR(D453="",E453=""),"",IFERROR(E453*INDEX(Catalogue!$E$7:$E$19,MATCH(D453,Catalogue!$B$7:$B$19,0)),"#N/A"))</f>
        <v/>
      </c>
      <c r="G453" s="64">
        <f>IF(OR(D453="",E453=""),"",IFERROR(E453*INDEX(Catalogue!$D$7:$D$19,MATCH(D453,Catalogue!$B$7:$B$19,0)),"#N/A"))</f>
        <v/>
      </c>
      <c r="H453" s="26" t="n"/>
      <c r="I453" s="2" t="n"/>
      <c r="J453" s="1" t="n"/>
    </row>
    <row r="454">
      <c r="A454" s="1" t="n"/>
      <c r="B454" s="25" t="n"/>
      <c r="C454" s="26" t="n"/>
      <c r="D454" s="26" t="n"/>
      <c r="E454" s="28" t="n"/>
      <c r="F454" s="65">
        <f>IF(OR(D454="",E454=""),"",IFERROR(E454*INDEX(Catalogue!$E$7:$E$19,MATCH(D454,Catalogue!$B$7:$B$19,0)),"#N/A"))</f>
        <v/>
      </c>
      <c r="G454" s="64">
        <f>IF(OR(D454="",E454=""),"",IFERROR(E454*INDEX(Catalogue!$D$7:$D$19,MATCH(D454,Catalogue!$B$7:$B$19,0)),"#N/A"))</f>
        <v/>
      </c>
      <c r="H454" s="26" t="n"/>
      <c r="I454" s="2" t="n"/>
      <c r="J454" s="1" t="n"/>
    </row>
    <row r="455">
      <c r="A455" s="1" t="n"/>
      <c r="B455" s="25" t="n"/>
      <c r="C455" s="26" t="n"/>
      <c r="D455" s="26" t="n"/>
      <c r="E455" s="28" t="n"/>
      <c r="F455" s="65">
        <f>IF(OR(D455="",E455=""),"",IFERROR(E455*INDEX(Catalogue!$E$7:$E$19,MATCH(D455,Catalogue!$B$7:$B$19,0)),"#N/A"))</f>
        <v/>
      </c>
      <c r="G455" s="64">
        <f>IF(OR(D455="",E455=""),"",IFERROR(E455*INDEX(Catalogue!$D$7:$D$19,MATCH(D455,Catalogue!$B$7:$B$19,0)),"#N/A"))</f>
        <v/>
      </c>
      <c r="H455" s="26" t="n"/>
      <c r="I455" s="2" t="n"/>
      <c r="J455" s="1" t="n"/>
    </row>
    <row r="456">
      <c r="A456" s="1" t="n"/>
      <c r="B456" s="25" t="n"/>
      <c r="C456" s="26" t="n"/>
      <c r="D456" s="26" t="n"/>
      <c r="E456" s="28" t="n"/>
      <c r="F456" s="65">
        <f>IF(OR(D456="",E456=""),"",IFERROR(E456*INDEX(Catalogue!$E$7:$E$19,MATCH(D456,Catalogue!$B$7:$B$19,0)),"#N/A"))</f>
        <v/>
      </c>
      <c r="G456" s="64">
        <f>IF(OR(D456="",E456=""),"",IFERROR(E456*INDEX(Catalogue!$D$7:$D$19,MATCH(D456,Catalogue!$B$7:$B$19,0)),"#N/A"))</f>
        <v/>
      </c>
      <c r="H456" s="26" t="n"/>
      <c r="I456" s="2" t="n"/>
      <c r="J456" s="1" t="n"/>
    </row>
    <row r="457">
      <c r="A457" s="1" t="n"/>
      <c r="B457" s="25" t="n"/>
      <c r="C457" s="26" t="n"/>
      <c r="D457" s="26" t="n"/>
      <c r="E457" s="28" t="n"/>
      <c r="F457" s="65">
        <f>IF(OR(D457="",E457=""),"",IFERROR(E457*INDEX(Catalogue!$E$7:$E$19,MATCH(D457,Catalogue!$B$7:$B$19,0)),"#N/A"))</f>
        <v/>
      </c>
      <c r="G457" s="64">
        <f>IF(OR(D457="",E457=""),"",IFERROR(E457*INDEX(Catalogue!$D$7:$D$19,MATCH(D457,Catalogue!$B$7:$B$19,0)),"#N/A"))</f>
        <v/>
      </c>
      <c r="H457" s="26" t="n"/>
      <c r="I457" s="2" t="n"/>
      <c r="J457" s="1" t="n"/>
    </row>
    <row r="458">
      <c r="A458" s="1" t="n"/>
      <c r="B458" s="25" t="n"/>
      <c r="C458" s="26" t="n"/>
      <c r="D458" s="26" t="n"/>
      <c r="E458" s="28" t="n"/>
      <c r="F458" s="65">
        <f>IF(OR(D458="",E458=""),"",IFERROR(E458*INDEX(Catalogue!$E$7:$E$19,MATCH(D458,Catalogue!$B$7:$B$19,0)),"#N/A"))</f>
        <v/>
      </c>
      <c r="G458" s="64">
        <f>IF(OR(D458="",E458=""),"",IFERROR(E458*INDEX(Catalogue!$D$7:$D$19,MATCH(D458,Catalogue!$B$7:$B$19,0)),"#N/A"))</f>
        <v/>
      </c>
      <c r="H458" s="26" t="n"/>
      <c r="I458" s="2" t="n"/>
      <c r="J458" s="1" t="n"/>
    </row>
    <row r="459">
      <c r="A459" s="1" t="n"/>
      <c r="B459" s="25" t="n"/>
      <c r="C459" s="26" t="n"/>
      <c r="D459" s="26" t="n"/>
      <c r="E459" s="28" t="n"/>
      <c r="F459" s="65">
        <f>IF(OR(D459="",E459=""),"",IFERROR(E459*INDEX(Catalogue!$E$7:$E$19,MATCH(D459,Catalogue!$B$7:$B$19,0)),"#N/A"))</f>
        <v/>
      </c>
      <c r="G459" s="64">
        <f>IF(OR(D459="",E459=""),"",IFERROR(E459*INDEX(Catalogue!$D$7:$D$19,MATCH(D459,Catalogue!$B$7:$B$19,0)),"#N/A"))</f>
        <v/>
      </c>
      <c r="H459" s="26" t="n"/>
      <c r="I459" s="2" t="n"/>
      <c r="J459" s="1" t="n"/>
    </row>
    <row r="460">
      <c r="A460" s="1" t="n"/>
      <c r="B460" s="25" t="n"/>
      <c r="C460" s="26" t="n"/>
      <c r="D460" s="26" t="n"/>
      <c r="E460" s="28" t="n"/>
      <c r="F460" s="65">
        <f>IF(OR(D460="",E460=""),"",IFERROR(E460*INDEX(Catalogue!$E$7:$E$19,MATCH(D460,Catalogue!$B$7:$B$19,0)),"#N/A"))</f>
        <v/>
      </c>
      <c r="G460" s="64">
        <f>IF(OR(D460="",E460=""),"",IFERROR(E460*INDEX(Catalogue!$D$7:$D$19,MATCH(D460,Catalogue!$B$7:$B$19,0)),"#N/A"))</f>
        <v/>
      </c>
      <c r="H460" s="26" t="n"/>
      <c r="I460" s="2" t="n"/>
      <c r="J460" s="1" t="n"/>
    </row>
    <row r="461">
      <c r="A461" s="1" t="n"/>
      <c r="B461" s="25" t="n"/>
      <c r="C461" s="26" t="n"/>
      <c r="D461" s="26" t="n"/>
      <c r="E461" s="28" t="n"/>
      <c r="F461" s="65">
        <f>IF(OR(D461="",E461=""),"",IFERROR(E461*INDEX(Catalogue!$E$7:$E$19,MATCH(D461,Catalogue!$B$7:$B$19,0)),"#N/A"))</f>
        <v/>
      </c>
      <c r="G461" s="64">
        <f>IF(OR(D461="",E461=""),"",IFERROR(E461*INDEX(Catalogue!$D$7:$D$19,MATCH(D461,Catalogue!$B$7:$B$19,0)),"#N/A"))</f>
        <v/>
      </c>
      <c r="H461" s="26" t="n"/>
      <c r="I461" s="2" t="n"/>
      <c r="J461" s="1" t="n"/>
    </row>
    <row r="462">
      <c r="A462" s="1" t="n"/>
      <c r="B462" s="25" t="n"/>
      <c r="C462" s="26" t="n"/>
      <c r="D462" s="26" t="n"/>
      <c r="E462" s="28" t="n"/>
      <c r="F462" s="65">
        <f>IF(OR(D462="",E462=""),"",IFERROR(E462*INDEX(Catalogue!$E$7:$E$19,MATCH(D462,Catalogue!$B$7:$B$19,0)),"#N/A"))</f>
        <v/>
      </c>
      <c r="G462" s="64">
        <f>IF(OR(D462="",E462=""),"",IFERROR(E462*INDEX(Catalogue!$D$7:$D$19,MATCH(D462,Catalogue!$B$7:$B$19,0)),"#N/A"))</f>
        <v/>
      </c>
      <c r="H462" s="26" t="n"/>
      <c r="I462" s="2" t="n"/>
      <c r="J462" s="1" t="n"/>
    </row>
    <row r="463">
      <c r="A463" s="1" t="n"/>
      <c r="B463" s="25" t="n"/>
      <c r="C463" s="26" t="n"/>
      <c r="D463" s="26" t="n"/>
      <c r="E463" s="28" t="n"/>
      <c r="F463" s="65">
        <f>IF(OR(D463="",E463=""),"",IFERROR(E463*INDEX(Catalogue!$E$7:$E$19,MATCH(D463,Catalogue!$B$7:$B$19,0)),"#N/A"))</f>
        <v/>
      </c>
      <c r="G463" s="64">
        <f>IF(OR(D463="",E463=""),"",IFERROR(E463*INDEX(Catalogue!$D$7:$D$19,MATCH(D463,Catalogue!$B$7:$B$19,0)),"#N/A"))</f>
        <v/>
      </c>
      <c r="H463" s="26" t="n"/>
      <c r="I463" s="2" t="n"/>
      <c r="J463" s="1" t="n"/>
    </row>
    <row r="464">
      <c r="A464" s="1" t="n"/>
      <c r="B464" s="25" t="n"/>
      <c r="C464" s="26" t="n"/>
      <c r="D464" s="26" t="n"/>
      <c r="E464" s="28" t="n"/>
      <c r="F464" s="65">
        <f>IF(OR(D464="",E464=""),"",IFERROR(E464*INDEX(Catalogue!$E$7:$E$19,MATCH(D464,Catalogue!$B$7:$B$19,0)),"#N/A"))</f>
        <v/>
      </c>
      <c r="G464" s="64">
        <f>IF(OR(D464="",E464=""),"",IFERROR(E464*INDEX(Catalogue!$D$7:$D$19,MATCH(D464,Catalogue!$B$7:$B$19,0)),"#N/A"))</f>
        <v/>
      </c>
      <c r="H464" s="26" t="n"/>
      <c r="I464" s="2" t="n"/>
      <c r="J464" s="1" t="n"/>
    </row>
    <row r="465">
      <c r="A465" s="1" t="n"/>
      <c r="B465" s="25" t="n"/>
      <c r="C465" s="26" t="n"/>
      <c r="D465" s="26" t="n"/>
      <c r="E465" s="28" t="n"/>
      <c r="F465" s="65">
        <f>IF(OR(D465="",E465=""),"",IFERROR(E465*INDEX(Catalogue!$E$7:$E$19,MATCH(D465,Catalogue!$B$7:$B$19,0)),"#N/A"))</f>
        <v/>
      </c>
      <c r="G465" s="64">
        <f>IF(OR(D465="",E465=""),"",IFERROR(E465*INDEX(Catalogue!$D$7:$D$19,MATCH(D465,Catalogue!$B$7:$B$19,0)),"#N/A"))</f>
        <v/>
      </c>
      <c r="H465" s="26" t="n"/>
      <c r="I465" s="2" t="n"/>
      <c r="J465" s="1" t="n"/>
    </row>
    <row r="466">
      <c r="A466" s="1" t="n"/>
      <c r="B466" s="25" t="n"/>
      <c r="C466" s="26" t="n"/>
      <c r="D466" s="26" t="n"/>
      <c r="E466" s="28" t="n"/>
      <c r="F466" s="65">
        <f>IF(OR(D466="",E466=""),"",IFERROR(E466*INDEX(Catalogue!$E$7:$E$19,MATCH(D466,Catalogue!$B$7:$B$19,0)),"#N/A"))</f>
        <v/>
      </c>
      <c r="G466" s="64">
        <f>IF(OR(D466="",E466=""),"",IFERROR(E466*INDEX(Catalogue!$D$7:$D$19,MATCH(D466,Catalogue!$B$7:$B$19,0)),"#N/A"))</f>
        <v/>
      </c>
      <c r="H466" s="26" t="n"/>
      <c r="I466" s="2" t="n"/>
      <c r="J466" s="1" t="n"/>
    </row>
    <row r="467">
      <c r="A467" s="1" t="n"/>
      <c r="B467" s="25" t="n"/>
      <c r="C467" s="26" t="n"/>
      <c r="D467" s="26" t="n"/>
      <c r="E467" s="28" t="n"/>
      <c r="F467" s="65">
        <f>IF(OR(D467="",E467=""),"",IFERROR(E467*INDEX(Catalogue!$E$7:$E$19,MATCH(D467,Catalogue!$B$7:$B$19,0)),"#N/A"))</f>
        <v/>
      </c>
      <c r="G467" s="64">
        <f>IF(OR(D467="",E467=""),"",IFERROR(E467*INDEX(Catalogue!$D$7:$D$19,MATCH(D467,Catalogue!$B$7:$B$19,0)),"#N/A"))</f>
        <v/>
      </c>
      <c r="H467" s="26" t="n"/>
      <c r="I467" s="2" t="n"/>
      <c r="J467" s="1" t="n"/>
    </row>
    <row r="468">
      <c r="A468" s="1" t="n"/>
      <c r="B468" s="25" t="n"/>
      <c r="C468" s="26" t="n"/>
      <c r="D468" s="26" t="n"/>
      <c r="E468" s="28" t="n"/>
      <c r="F468" s="65">
        <f>IF(OR(D468="",E468=""),"",IFERROR(E468*INDEX(Catalogue!$E$7:$E$19,MATCH(D468,Catalogue!$B$7:$B$19,0)),"#N/A"))</f>
        <v/>
      </c>
      <c r="G468" s="64">
        <f>IF(OR(D468="",E468=""),"",IFERROR(E468*INDEX(Catalogue!$D$7:$D$19,MATCH(D468,Catalogue!$B$7:$B$19,0)),"#N/A"))</f>
        <v/>
      </c>
      <c r="H468" s="26" t="n"/>
      <c r="I468" s="2" t="n"/>
      <c r="J468" s="1" t="n"/>
    </row>
    <row r="469">
      <c r="A469" s="1" t="n"/>
      <c r="B469" s="25" t="n"/>
      <c r="C469" s="26" t="n"/>
      <c r="D469" s="26" t="n"/>
      <c r="E469" s="28" t="n"/>
      <c r="F469" s="65">
        <f>IF(OR(D469="",E469=""),"",IFERROR(E469*INDEX(Catalogue!$E$7:$E$19,MATCH(D469,Catalogue!$B$7:$B$19,0)),"#N/A"))</f>
        <v/>
      </c>
      <c r="G469" s="64">
        <f>IF(OR(D469="",E469=""),"",IFERROR(E469*INDEX(Catalogue!$D$7:$D$19,MATCH(D469,Catalogue!$B$7:$B$19,0)),"#N/A"))</f>
        <v/>
      </c>
      <c r="H469" s="26" t="n"/>
      <c r="I469" s="2" t="n"/>
      <c r="J469" s="1" t="n"/>
    </row>
    <row r="470">
      <c r="A470" s="1" t="n"/>
      <c r="B470" s="25" t="n"/>
      <c r="C470" s="26" t="n"/>
      <c r="D470" s="26" t="n"/>
      <c r="E470" s="28" t="n"/>
      <c r="F470" s="65">
        <f>IF(OR(D470="",E470=""),"",IFERROR(E470*INDEX(Catalogue!$E$7:$E$19,MATCH(D470,Catalogue!$B$7:$B$19,0)),"#N/A"))</f>
        <v/>
      </c>
      <c r="G470" s="64">
        <f>IF(OR(D470="",E470=""),"",IFERROR(E470*INDEX(Catalogue!$D$7:$D$19,MATCH(D470,Catalogue!$B$7:$B$19,0)),"#N/A"))</f>
        <v/>
      </c>
      <c r="H470" s="26" t="n"/>
      <c r="I470" s="2" t="n"/>
      <c r="J470" s="1" t="n"/>
    </row>
    <row r="471">
      <c r="A471" s="1" t="n"/>
      <c r="B471" s="25" t="n"/>
      <c r="C471" s="26" t="n"/>
      <c r="D471" s="26" t="n"/>
      <c r="E471" s="28" t="n"/>
      <c r="F471" s="65">
        <f>IF(OR(D471="",E471=""),"",IFERROR(E471*INDEX(Catalogue!$E$7:$E$19,MATCH(D471,Catalogue!$B$7:$B$19,0)),"#N/A"))</f>
        <v/>
      </c>
      <c r="G471" s="64">
        <f>IF(OR(D471="",E471=""),"",IFERROR(E471*INDEX(Catalogue!$D$7:$D$19,MATCH(D471,Catalogue!$B$7:$B$19,0)),"#N/A"))</f>
        <v/>
      </c>
      <c r="H471" s="26" t="n"/>
      <c r="I471" s="2" t="n"/>
      <c r="J471" s="1" t="n"/>
    </row>
    <row r="472">
      <c r="A472" s="1" t="n"/>
      <c r="B472" s="25" t="n"/>
      <c r="C472" s="26" t="n"/>
      <c r="D472" s="26" t="n"/>
      <c r="E472" s="28" t="n"/>
      <c r="F472" s="65">
        <f>IF(OR(D472="",E472=""),"",IFERROR(E472*INDEX(Catalogue!$E$7:$E$19,MATCH(D472,Catalogue!$B$7:$B$19,0)),"#N/A"))</f>
        <v/>
      </c>
      <c r="G472" s="64">
        <f>IF(OR(D472="",E472=""),"",IFERROR(E472*INDEX(Catalogue!$D$7:$D$19,MATCH(D472,Catalogue!$B$7:$B$19,0)),"#N/A"))</f>
        <v/>
      </c>
      <c r="H472" s="26" t="n"/>
      <c r="I472" s="2" t="n"/>
      <c r="J472" s="1" t="n"/>
    </row>
    <row r="473">
      <c r="A473" s="1" t="n"/>
      <c r="B473" s="25" t="n"/>
      <c r="C473" s="26" t="n"/>
      <c r="D473" s="26" t="n"/>
      <c r="E473" s="28" t="n"/>
      <c r="F473" s="65">
        <f>IF(OR(D473="",E473=""),"",IFERROR(E473*INDEX(Catalogue!$E$7:$E$19,MATCH(D473,Catalogue!$B$7:$B$19,0)),"#N/A"))</f>
        <v/>
      </c>
      <c r="G473" s="64">
        <f>IF(OR(D473="",E473=""),"",IFERROR(E473*INDEX(Catalogue!$D$7:$D$19,MATCH(D473,Catalogue!$B$7:$B$19,0)),"#N/A"))</f>
        <v/>
      </c>
      <c r="H473" s="26" t="n"/>
      <c r="I473" s="2" t="n"/>
      <c r="J473" s="1" t="n"/>
    </row>
    <row r="474">
      <c r="A474" s="1" t="n"/>
      <c r="B474" s="25" t="n"/>
      <c r="C474" s="26" t="n"/>
      <c r="D474" s="26" t="n"/>
      <c r="E474" s="28" t="n"/>
      <c r="F474" s="65">
        <f>IF(OR(D474="",E474=""),"",IFERROR(E474*INDEX(Catalogue!$E$7:$E$19,MATCH(D474,Catalogue!$B$7:$B$19,0)),"#N/A"))</f>
        <v/>
      </c>
      <c r="G474" s="64">
        <f>IF(OR(D474="",E474=""),"",IFERROR(E474*INDEX(Catalogue!$D$7:$D$19,MATCH(D474,Catalogue!$B$7:$B$19,0)),"#N/A"))</f>
        <v/>
      </c>
      <c r="H474" s="26" t="n"/>
      <c r="I474" s="2" t="n"/>
      <c r="J474" s="1" t="n"/>
    </row>
    <row r="475">
      <c r="A475" s="1" t="n"/>
      <c r="B475" s="25" t="n"/>
      <c r="C475" s="26" t="n"/>
      <c r="D475" s="26" t="n"/>
      <c r="E475" s="28" t="n"/>
      <c r="F475" s="65">
        <f>IF(OR(D475="",E475=""),"",IFERROR(E475*INDEX(Catalogue!$E$7:$E$19,MATCH(D475,Catalogue!$B$7:$B$19,0)),"#N/A"))</f>
        <v/>
      </c>
      <c r="G475" s="64">
        <f>IF(OR(D475="",E475=""),"",IFERROR(E475*INDEX(Catalogue!$D$7:$D$19,MATCH(D475,Catalogue!$B$7:$B$19,0)),"#N/A"))</f>
        <v/>
      </c>
      <c r="H475" s="26" t="n"/>
      <c r="I475" s="2" t="n"/>
      <c r="J475" s="1" t="n"/>
    </row>
    <row r="476">
      <c r="A476" s="1" t="n"/>
      <c r="B476" s="25" t="n"/>
      <c r="C476" s="26" t="n"/>
      <c r="D476" s="26" t="n"/>
      <c r="E476" s="28" t="n"/>
      <c r="F476" s="65">
        <f>IF(OR(D476="",E476=""),"",IFERROR(E476*INDEX(Catalogue!$E$7:$E$19,MATCH(D476,Catalogue!$B$7:$B$19,0)),"#N/A"))</f>
        <v/>
      </c>
      <c r="G476" s="64">
        <f>IF(OR(D476="",E476=""),"",IFERROR(E476*INDEX(Catalogue!$D$7:$D$19,MATCH(D476,Catalogue!$B$7:$B$19,0)),"#N/A"))</f>
        <v/>
      </c>
      <c r="H476" s="26" t="n"/>
      <c r="I476" s="2" t="n"/>
      <c r="J476" s="1" t="n"/>
    </row>
    <row r="477">
      <c r="A477" s="1" t="n"/>
      <c r="B477" s="25" t="n"/>
      <c r="C477" s="26" t="n"/>
      <c r="D477" s="26" t="n"/>
      <c r="E477" s="28" t="n"/>
      <c r="F477" s="65">
        <f>IF(OR(D477="",E477=""),"",IFERROR(E477*INDEX(Catalogue!$E$7:$E$19,MATCH(D477,Catalogue!$B$7:$B$19,0)),"#N/A"))</f>
        <v/>
      </c>
      <c r="G477" s="64">
        <f>IF(OR(D477="",E477=""),"",IFERROR(E477*INDEX(Catalogue!$D$7:$D$19,MATCH(D477,Catalogue!$B$7:$B$19,0)),"#N/A"))</f>
        <v/>
      </c>
      <c r="H477" s="26" t="n"/>
      <c r="I477" s="2" t="n"/>
      <c r="J477" s="1" t="n"/>
    </row>
    <row r="478">
      <c r="A478" s="1" t="n"/>
      <c r="B478" s="25" t="n"/>
      <c r="C478" s="26" t="n"/>
      <c r="D478" s="26" t="n"/>
      <c r="E478" s="28" t="n"/>
      <c r="F478" s="65">
        <f>IF(OR(D478="",E478=""),"",IFERROR(E478*INDEX(Catalogue!$E$7:$E$19,MATCH(D478,Catalogue!$B$7:$B$19,0)),"#N/A"))</f>
        <v/>
      </c>
      <c r="G478" s="64">
        <f>IF(OR(D478="",E478=""),"",IFERROR(E478*INDEX(Catalogue!$D$7:$D$19,MATCH(D478,Catalogue!$B$7:$B$19,0)),"#N/A"))</f>
        <v/>
      </c>
      <c r="H478" s="26" t="n"/>
      <c r="I478" s="2" t="n"/>
      <c r="J478" s="1" t="n"/>
    </row>
    <row r="479">
      <c r="A479" s="1" t="n"/>
      <c r="B479" s="25" t="n"/>
      <c r="C479" s="26" t="n"/>
      <c r="D479" s="26" t="n"/>
      <c r="E479" s="28" t="n"/>
      <c r="F479" s="65">
        <f>IF(OR(D479="",E479=""),"",IFERROR(E479*INDEX(Catalogue!$E$7:$E$19,MATCH(D479,Catalogue!$B$7:$B$19,0)),"#N/A"))</f>
        <v/>
      </c>
      <c r="G479" s="64">
        <f>IF(OR(D479="",E479=""),"",IFERROR(E479*INDEX(Catalogue!$D$7:$D$19,MATCH(D479,Catalogue!$B$7:$B$19,0)),"#N/A"))</f>
        <v/>
      </c>
      <c r="H479" s="26" t="n"/>
      <c r="I479" s="2" t="n"/>
      <c r="J479" s="1" t="n"/>
    </row>
    <row r="480">
      <c r="A480" s="1" t="n"/>
      <c r="B480" s="25" t="n"/>
      <c r="C480" s="26" t="n"/>
      <c r="D480" s="26" t="n"/>
      <c r="E480" s="28" t="n"/>
      <c r="F480" s="65">
        <f>IF(OR(D480="",E480=""),"",IFERROR(E480*INDEX(Catalogue!$E$7:$E$19,MATCH(D480,Catalogue!$B$7:$B$19,0)),"#N/A"))</f>
        <v/>
      </c>
      <c r="G480" s="64">
        <f>IF(OR(D480="",E480=""),"",IFERROR(E480*INDEX(Catalogue!$D$7:$D$19,MATCH(D480,Catalogue!$B$7:$B$19,0)),"#N/A"))</f>
        <v/>
      </c>
      <c r="H480" s="26" t="n"/>
      <c r="I480" s="2" t="n"/>
      <c r="J480" s="1" t="n"/>
    </row>
    <row r="481">
      <c r="A481" s="1" t="n"/>
      <c r="B481" s="25" t="n"/>
      <c r="C481" s="26" t="n"/>
      <c r="D481" s="26" t="n"/>
      <c r="E481" s="28" t="n"/>
      <c r="F481" s="65">
        <f>IF(OR(D481="",E481=""),"",IFERROR(E481*INDEX(Catalogue!$E$7:$E$19,MATCH(D481,Catalogue!$B$7:$B$19,0)),"#N/A"))</f>
        <v/>
      </c>
      <c r="G481" s="64">
        <f>IF(OR(D481="",E481=""),"",IFERROR(E481*INDEX(Catalogue!$D$7:$D$19,MATCH(D481,Catalogue!$B$7:$B$19,0)),"#N/A"))</f>
        <v/>
      </c>
      <c r="H481" s="26" t="n"/>
      <c r="I481" s="2" t="n"/>
      <c r="J481" s="1" t="n"/>
    </row>
    <row r="482">
      <c r="A482" s="1" t="n"/>
      <c r="B482" s="25" t="n"/>
      <c r="C482" s="26" t="n"/>
      <c r="D482" s="26" t="n"/>
      <c r="E482" s="28" t="n"/>
      <c r="F482" s="65">
        <f>IF(OR(D482="",E482=""),"",IFERROR(E482*INDEX(Catalogue!$E$7:$E$19,MATCH(D482,Catalogue!$B$7:$B$19,0)),"#N/A"))</f>
        <v/>
      </c>
      <c r="G482" s="64">
        <f>IF(OR(D482="",E482=""),"",IFERROR(E482*INDEX(Catalogue!$D$7:$D$19,MATCH(D482,Catalogue!$B$7:$B$19,0)),"#N/A"))</f>
        <v/>
      </c>
      <c r="H482" s="26" t="n"/>
      <c r="I482" s="2" t="n"/>
      <c r="J482" s="1" t="n"/>
    </row>
    <row r="483">
      <c r="A483" s="1" t="n"/>
      <c r="B483" s="25" t="n"/>
      <c r="C483" s="26" t="n"/>
      <c r="D483" s="26" t="n"/>
      <c r="E483" s="28" t="n"/>
      <c r="F483" s="65">
        <f>IF(OR(D483="",E483=""),"",IFERROR(E483*INDEX(Catalogue!$E$7:$E$19,MATCH(D483,Catalogue!$B$7:$B$19,0)),"#N/A"))</f>
        <v/>
      </c>
      <c r="G483" s="64">
        <f>IF(OR(D483="",E483=""),"",IFERROR(E483*INDEX(Catalogue!$D$7:$D$19,MATCH(D483,Catalogue!$B$7:$B$19,0)),"#N/A"))</f>
        <v/>
      </c>
      <c r="H483" s="26" t="n"/>
      <c r="I483" s="2" t="n"/>
      <c r="J483" s="1" t="n"/>
    </row>
    <row r="484">
      <c r="A484" s="1" t="n"/>
      <c r="B484" s="25" t="n"/>
      <c r="C484" s="26" t="n"/>
      <c r="D484" s="26" t="n"/>
      <c r="E484" s="28" t="n"/>
      <c r="F484" s="65">
        <f>IF(OR(D484="",E484=""),"",IFERROR(E484*INDEX(Catalogue!$E$7:$E$19,MATCH(D484,Catalogue!$B$7:$B$19,0)),"#N/A"))</f>
        <v/>
      </c>
      <c r="G484" s="64">
        <f>IF(OR(D484="",E484=""),"",IFERROR(E484*INDEX(Catalogue!$D$7:$D$19,MATCH(D484,Catalogue!$B$7:$B$19,0)),"#N/A"))</f>
        <v/>
      </c>
      <c r="H484" s="26" t="n"/>
      <c r="I484" s="2" t="n"/>
      <c r="J484" s="1" t="n"/>
    </row>
    <row r="485">
      <c r="A485" s="1" t="n"/>
      <c r="B485" s="25" t="n"/>
      <c r="C485" s="26" t="n"/>
      <c r="D485" s="26" t="n"/>
      <c r="E485" s="28" t="n"/>
      <c r="F485" s="65">
        <f>IF(OR(D485="",E485=""),"",IFERROR(E485*INDEX(Catalogue!$E$7:$E$19,MATCH(D485,Catalogue!$B$7:$B$19,0)),"#N/A"))</f>
        <v/>
      </c>
      <c r="G485" s="64">
        <f>IF(OR(D485="",E485=""),"",IFERROR(E485*INDEX(Catalogue!$D$7:$D$19,MATCH(D485,Catalogue!$B$7:$B$19,0)),"#N/A"))</f>
        <v/>
      </c>
      <c r="H485" s="26" t="n"/>
      <c r="I485" s="2" t="n"/>
      <c r="J485" s="1" t="n"/>
    </row>
    <row r="486">
      <c r="A486" s="1" t="n"/>
      <c r="B486" s="25" t="n"/>
      <c r="C486" s="26" t="n"/>
      <c r="D486" s="26" t="n"/>
      <c r="E486" s="28" t="n"/>
      <c r="F486" s="65">
        <f>IF(OR(D486="",E486=""),"",IFERROR(E486*INDEX(Catalogue!$E$7:$E$19,MATCH(D486,Catalogue!$B$7:$B$19,0)),"#N/A"))</f>
        <v/>
      </c>
      <c r="G486" s="64">
        <f>IF(OR(D486="",E486=""),"",IFERROR(E486*INDEX(Catalogue!$D$7:$D$19,MATCH(D486,Catalogue!$B$7:$B$19,0)),"#N/A"))</f>
        <v/>
      </c>
      <c r="H486" s="26" t="n"/>
      <c r="I486" s="2" t="n"/>
      <c r="J486" s="1" t="n"/>
    </row>
    <row r="487">
      <c r="A487" s="1" t="n"/>
      <c r="B487" s="25" t="n"/>
      <c r="C487" s="26" t="n"/>
      <c r="D487" s="26" t="n"/>
      <c r="E487" s="28" t="n"/>
      <c r="F487" s="65">
        <f>IF(OR(D487="",E487=""),"",IFERROR(E487*INDEX(Catalogue!$E$7:$E$19,MATCH(D487,Catalogue!$B$7:$B$19,0)),"#N/A"))</f>
        <v/>
      </c>
      <c r="G487" s="64">
        <f>IF(OR(D487="",E487=""),"",IFERROR(E487*INDEX(Catalogue!$D$7:$D$19,MATCH(D487,Catalogue!$B$7:$B$19,0)),"#N/A"))</f>
        <v/>
      </c>
      <c r="H487" s="26" t="n"/>
      <c r="I487" s="2" t="n"/>
      <c r="J487" s="1" t="n"/>
    </row>
    <row r="488">
      <c r="A488" s="1" t="n"/>
      <c r="B488" s="25" t="n"/>
      <c r="C488" s="26" t="n"/>
      <c r="D488" s="26" t="n"/>
      <c r="E488" s="28" t="n"/>
      <c r="F488" s="65">
        <f>IF(OR(D488="",E488=""),"",IFERROR(E488*INDEX(Catalogue!$E$7:$E$19,MATCH(D488,Catalogue!$B$7:$B$19,0)),"#N/A"))</f>
        <v/>
      </c>
      <c r="G488" s="64">
        <f>IF(OR(D488="",E488=""),"",IFERROR(E488*INDEX(Catalogue!$D$7:$D$19,MATCH(D488,Catalogue!$B$7:$B$19,0)),"#N/A"))</f>
        <v/>
      </c>
      <c r="H488" s="26" t="n"/>
      <c r="I488" s="2" t="n"/>
      <c r="J488" s="1" t="n"/>
    </row>
    <row r="489">
      <c r="A489" s="1" t="n"/>
      <c r="B489" s="25" t="n"/>
      <c r="C489" s="26" t="n"/>
      <c r="D489" s="26" t="n"/>
      <c r="E489" s="28" t="n"/>
      <c r="F489" s="65">
        <f>IF(OR(D489="",E489=""),"",IFERROR(E489*INDEX(Catalogue!$E$7:$E$19,MATCH(D489,Catalogue!$B$7:$B$19,0)),"#N/A"))</f>
        <v/>
      </c>
      <c r="G489" s="64">
        <f>IF(OR(D489="",E489=""),"",IFERROR(E489*INDEX(Catalogue!$D$7:$D$19,MATCH(D489,Catalogue!$B$7:$B$19,0)),"#N/A"))</f>
        <v/>
      </c>
      <c r="H489" s="26" t="n"/>
      <c r="I489" s="2" t="n"/>
      <c r="J489" s="1" t="n"/>
    </row>
    <row r="490">
      <c r="A490" s="1" t="n"/>
      <c r="B490" s="25" t="n"/>
      <c r="C490" s="26" t="n"/>
      <c r="D490" s="26" t="n"/>
      <c r="E490" s="28" t="n"/>
      <c r="F490" s="65">
        <f>IF(OR(D490="",E490=""),"",IFERROR(E490*INDEX(Catalogue!$E$7:$E$19,MATCH(D490,Catalogue!$B$7:$B$19,0)),"#N/A"))</f>
        <v/>
      </c>
      <c r="G490" s="64">
        <f>IF(OR(D490="",E490=""),"",IFERROR(E490*INDEX(Catalogue!$D$7:$D$19,MATCH(D490,Catalogue!$B$7:$B$19,0)),"#N/A"))</f>
        <v/>
      </c>
      <c r="H490" s="26" t="n"/>
      <c r="I490" s="2" t="n"/>
      <c r="J490" s="1" t="n"/>
    </row>
    <row r="491">
      <c r="A491" s="1" t="n"/>
      <c r="B491" s="25" t="n"/>
      <c r="C491" s="26" t="n"/>
      <c r="D491" s="26" t="n"/>
      <c r="E491" s="28" t="n"/>
      <c r="F491" s="65">
        <f>IF(OR(D491="",E491=""),"",IFERROR(E491*INDEX(Catalogue!$E$7:$E$19,MATCH(D491,Catalogue!$B$7:$B$19,0)),"#N/A"))</f>
        <v/>
      </c>
      <c r="G491" s="64">
        <f>IF(OR(D491="",E491=""),"",IFERROR(E491*INDEX(Catalogue!$D$7:$D$19,MATCH(D491,Catalogue!$B$7:$B$19,0)),"#N/A"))</f>
        <v/>
      </c>
      <c r="H491" s="26" t="n"/>
      <c r="I491" s="2" t="n"/>
      <c r="J491" s="1" t="n"/>
    </row>
    <row r="492">
      <c r="A492" s="1" t="n"/>
      <c r="B492" s="25" t="n"/>
      <c r="C492" s="26" t="n"/>
      <c r="D492" s="26" t="n"/>
      <c r="E492" s="28" t="n"/>
      <c r="F492" s="65">
        <f>IF(OR(D492="",E492=""),"",IFERROR(E492*INDEX(Catalogue!$E$7:$E$19,MATCH(D492,Catalogue!$B$7:$B$19,0)),"#N/A"))</f>
        <v/>
      </c>
      <c r="G492" s="64">
        <f>IF(OR(D492="",E492=""),"",IFERROR(E492*INDEX(Catalogue!$D$7:$D$19,MATCH(D492,Catalogue!$B$7:$B$19,0)),"#N/A"))</f>
        <v/>
      </c>
      <c r="H492" s="26" t="n"/>
      <c r="I492" s="2" t="n"/>
      <c r="J492" s="1" t="n"/>
    </row>
    <row r="493">
      <c r="A493" s="1" t="n"/>
      <c r="B493" s="25" t="n"/>
      <c r="C493" s="26" t="n"/>
      <c r="D493" s="26" t="n"/>
      <c r="E493" s="28" t="n"/>
      <c r="F493" s="65">
        <f>IF(OR(D493="",E493=""),"",IFERROR(E493*INDEX(Catalogue!$E$7:$E$19,MATCH(D493,Catalogue!$B$7:$B$19,0)),"#N/A"))</f>
        <v/>
      </c>
      <c r="G493" s="64">
        <f>IF(OR(D493="",E493=""),"",IFERROR(E493*INDEX(Catalogue!$D$7:$D$19,MATCH(D493,Catalogue!$B$7:$B$19,0)),"#N/A"))</f>
        <v/>
      </c>
      <c r="H493" s="26" t="n"/>
      <c r="I493" s="2" t="n"/>
      <c r="J493" s="1" t="n"/>
    </row>
    <row r="494">
      <c r="A494" s="1" t="n"/>
      <c r="B494" s="25" t="n"/>
      <c r="C494" s="26" t="n"/>
      <c r="D494" s="26" t="n"/>
      <c r="E494" s="28" t="n"/>
      <c r="F494" s="65">
        <f>IF(OR(D494="",E494=""),"",IFERROR(E494*INDEX(Catalogue!$E$7:$E$19,MATCH(D494,Catalogue!$B$7:$B$19,0)),"#N/A"))</f>
        <v/>
      </c>
      <c r="G494" s="64">
        <f>IF(OR(D494="",E494=""),"",IFERROR(E494*INDEX(Catalogue!$D$7:$D$19,MATCH(D494,Catalogue!$B$7:$B$19,0)),"#N/A"))</f>
        <v/>
      </c>
      <c r="H494" s="26" t="n"/>
      <c r="I494" s="2" t="n"/>
      <c r="J494" s="1" t="n"/>
    </row>
    <row r="495">
      <c r="A495" s="1" t="n"/>
      <c r="B495" s="25" t="n"/>
      <c r="C495" s="26" t="n"/>
      <c r="D495" s="26" t="n"/>
      <c r="E495" s="28" t="n"/>
      <c r="F495" s="65">
        <f>IF(OR(D495="",E495=""),"",IFERROR(E495*INDEX(Catalogue!$E$7:$E$19,MATCH(D495,Catalogue!$B$7:$B$19,0)),"#N/A"))</f>
        <v/>
      </c>
      <c r="G495" s="64">
        <f>IF(OR(D495="",E495=""),"",IFERROR(E495*INDEX(Catalogue!$D$7:$D$19,MATCH(D495,Catalogue!$B$7:$B$19,0)),"#N/A"))</f>
        <v/>
      </c>
      <c r="H495" s="26" t="n"/>
      <c r="I495" s="2" t="n"/>
      <c r="J495" s="1" t="n"/>
    </row>
    <row r="496">
      <c r="A496" s="1" t="n"/>
      <c r="B496" s="25" t="n"/>
      <c r="C496" s="26" t="n"/>
      <c r="D496" s="26" t="n"/>
      <c r="E496" s="28" t="n"/>
      <c r="F496" s="65">
        <f>IF(OR(D496="",E496=""),"",IFERROR(E496*INDEX(Catalogue!$E$7:$E$19,MATCH(D496,Catalogue!$B$7:$B$19,0)),"#N/A"))</f>
        <v/>
      </c>
      <c r="G496" s="64">
        <f>IF(OR(D496="",E496=""),"",IFERROR(E496*INDEX(Catalogue!$D$7:$D$19,MATCH(D496,Catalogue!$B$7:$B$19,0)),"#N/A"))</f>
        <v/>
      </c>
      <c r="H496" s="26" t="n"/>
      <c r="I496" s="2" t="n"/>
      <c r="J496" s="1" t="n"/>
    </row>
    <row r="497">
      <c r="A497" s="1" t="n"/>
      <c r="B497" s="25" t="n"/>
      <c r="C497" s="26" t="n"/>
      <c r="D497" s="26" t="n"/>
      <c r="E497" s="28" t="n"/>
      <c r="F497" s="65">
        <f>IF(OR(D497="",E497=""),"",IFERROR(E497*INDEX(Catalogue!$E$7:$E$19,MATCH(D497,Catalogue!$B$7:$B$19,0)),"#N/A"))</f>
        <v/>
      </c>
      <c r="G497" s="64">
        <f>IF(OR(D497="",E497=""),"",IFERROR(E497*INDEX(Catalogue!$D$7:$D$19,MATCH(D497,Catalogue!$B$7:$B$19,0)),"#N/A"))</f>
        <v/>
      </c>
      <c r="H497" s="26" t="n"/>
      <c r="I497" s="2" t="n"/>
      <c r="J497" s="1" t="n"/>
    </row>
    <row r="498">
      <c r="A498" s="1" t="n"/>
      <c r="B498" s="25" t="n"/>
      <c r="C498" s="26" t="n"/>
      <c r="D498" s="26" t="n"/>
      <c r="E498" s="28" t="n"/>
      <c r="F498" s="65">
        <f>IF(OR(D498="",E498=""),"",IFERROR(E498*INDEX(Catalogue!$E$7:$E$19,MATCH(D498,Catalogue!$B$7:$B$19,0)),"#N/A"))</f>
        <v/>
      </c>
      <c r="G498" s="64">
        <f>IF(OR(D498="",E498=""),"",IFERROR(E498*INDEX(Catalogue!$D$7:$D$19,MATCH(D498,Catalogue!$B$7:$B$19,0)),"#N/A"))</f>
        <v/>
      </c>
      <c r="H498" s="26" t="n"/>
      <c r="I498" s="2" t="n"/>
      <c r="J498" s="1" t="n"/>
    </row>
    <row r="499">
      <c r="A499" s="1" t="n"/>
      <c r="B499" s="25" t="n"/>
      <c r="C499" s="26" t="n"/>
      <c r="D499" s="26" t="n"/>
      <c r="E499" s="28" t="n"/>
      <c r="F499" s="65">
        <f>IF(OR(D499="",E499=""),"",IFERROR(E499*INDEX(Catalogue!$E$7:$E$19,MATCH(D499,Catalogue!$B$7:$B$19,0)),"#N/A"))</f>
        <v/>
      </c>
      <c r="G499" s="64">
        <f>IF(OR(D499="",E499=""),"",IFERROR(E499*INDEX(Catalogue!$D$7:$D$19,MATCH(D499,Catalogue!$B$7:$B$19,0)),"#N/A"))</f>
        <v/>
      </c>
      <c r="H499" s="26" t="n"/>
      <c r="I499" s="2" t="n"/>
      <c r="J499" s="1" t="n"/>
    </row>
    <row r="500">
      <c r="A500" s="1" t="n"/>
      <c r="B500" s="25" t="n"/>
      <c r="C500" s="26" t="n"/>
      <c r="D500" s="26" t="n"/>
      <c r="E500" s="28" t="n"/>
      <c r="F500" s="65">
        <f>IF(OR(D500="",E500=""),"",IFERROR(E500*INDEX(Catalogue!$E$7:$E$19,MATCH(D500,Catalogue!$B$7:$B$19,0)),"#N/A"))</f>
        <v/>
      </c>
      <c r="G500" s="64">
        <f>IF(OR(D500="",E500=""),"",IFERROR(E500*INDEX(Catalogue!$D$7:$D$19,MATCH(D500,Catalogue!$B$7:$B$19,0)),"#N/A"))</f>
        <v/>
      </c>
      <c r="H500" s="26" t="n"/>
      <c r="I500" s="2" t="n"/>
      <c r="J500" s="1" t="n"/>
    </row>
    <row r="501">
      <c r="A501" s="1" t="n"/>
      <c r="B501" s="25" t="n"/>
      <c r="C501" s="26" t="n"/>
      <c r="D501" s="26" t="n"/>
      <c r="E501" s="28" t="n"/>
      <c r="F501" s="65">
        <f>IF(OR(D501="",E501=""),"",IFERROR(E501*INDEX(Catalogue!$E$7:$E$19,MATCH(D501,Catalogue!$B$7:$B$19,0)),"#N/A"))</f>
        <v/>
      </c>
      <c r="G501" s="64">
        <f>IF(OR(D501="",E501=""),"",IFERROR(E501*INDEX(Catalogue!$D$7:$D$19,MATCH(D501,Catalogue!$B$7:$B$19,0)),"#N/A"))</f>
        <v/>
      </c>
      <c r="H501" s="26" t="n"/>
      <c r="I501" s="2" t="n"/>
      <c r="J501" s="1" t="n"/>
    </row>
    <row r="502">
      <c r="A502" s="1" t="n"/>
      <c r="B502" s="25" t="n"/>
      <c r="C502" s="26" t="n"/>
      <c r="D502" s="26" t="n"/>
      <c r="E502" s="28" t="n"/>
      <c r="F502" s="65">
        <f>IF(OR(D502="",E502=""),"",IFERROR(E502*INDEX(Catalogue!$E$7:$E$19,MATCH(D502,Catalogue!$B$7:$B$19,0)),"#N/A"))</f>
        <v/>
      </c>
      <c r="G502" s="64">
        <f>IF(OR(D502="",E502=""),"",IFERROR(E502*INDEX(Catalogue!$D$7:$D$19,MATCH(D502,Catalogue!$B$7:$B$19,0)),"#N/A"))</f>
        <v/>
      </c>
      <c r="H502" s="26" t="n"/>
      <c r="I502" s="2" t="n"/>
      <c r="J502" s="1" t="n"/>
    </row>
    <row r="503">
      <c r="A503" s="1" t="n"/>
      <c r="B503" s="25" t="n"/>
      <c r="C503" s="26" t="n"/>
      <c r="D503" s="26" t="n"/>
      <c r="E503" s="28" t="n"/>
      <c r="F503" s="65">
        <f>IF(OR(D503="",E503=""),"",IFERROR(E503*INDEX(Catalogue!$E$7:$E$19,MATCH(D503,Catalogue!$B$7:$B$19,0)),"#N/A"))</f>
        <v/>
      </c>
      <c r="G503" s="64">
        <f>IF(OR(D503="",E503=""),"",IFERROR(E503*INDEX(Catalogue!$D$7:$D$19,MATCH(D503,Catalogue!$B$7:$B$19,0)),"#N/A"))</f>
        <v/>
      </c>
      <c r="H503" s="26" t="n"/>
      <c r="I503" s="2" t="n"/>
      <c r="J503" s="1" t="n"/>
    </row>
    <row r="504">
      <c r="A504" s="1" t="n"/>
      <c r="B504" s="25" t="n"/>
      <c r="C504" s="26" t="n"/>
      <c r="D504" s="26" t="n"/>
      <c r="E504" s="28" t="n"/>
      <c r="F504" s="65">
        <f>IF(OR(D504="",E504=""),"",IFERROR(E504*INDEX(Catalogue!$E$7:$E$19,MATCH(D504,Catalogue!$B$7:$B$19,0)),"#N/A"))</f>
        <v/>
      </c>
      <c r="G504" s="64">
        <f>IF(OR(D504="",E504=""),"",IFERROR(E504*INDEX(Catalogue!$D$7:$D$19,MATCH(D504,Catalogue!$B$7:$B$19,0)),"#N/A"))</f>
        <v/>
      </c>
      <c r="H504" s="26" t="n"/>
      <c r="I504" s="2" t="n"/>
      <c r="J504" s="1" t="n"/>
    </row>
    <row r="505">
      <c r="A505" s="1" t="n"/>
      <c r="B505" s="25" t="n"/>
      <c r="C505" s="26" t="n"/>
      <c r="D505" s="26" t="n"/>
      <c r="E505" s="28" t="n"/>
      <c r="F505" s="65">
        <f>IF(OR(D505="",E505=""),"",IFERROR(E505*INDEX(Catalogue!$E$7:$E$19,MATCH(D505,Catalogue!$B$7:$B$19,0)),"#N/A"))</f>
        <v/>
      </c>
      <c r="G505" s="64">
        <f>IF(OR(D505="",E505=""),"",IFERROR(E505*INDEX(Catalogue!$D$7:$D$19,MATCH(D505,Catalogue!$B$7:$B$19,0)),"#N/A"))</f>
        <v/>
      </c>
      <c r="H505" s="26" t="n"/>
      <c r="I505" s="2" t="n"/>
      <c r="J505" s="1" t="n"/>
    </row>
    <row r="506">
      <c r="A506" s="1" t="n"/>
      <c r="B506" s="25" t="n"/>
      <c r="C506" s="26" t="n"/>
      <c r="D506" s="26" t="n"/>
      <c r="E506" s="28" t="n"/>
      <c r="F506" s="65">
        <f>IF(OR(D506="",E506=""),"",IFERROR(E506*INDEX(Catalogue!$E$7:$E$19,MATCH(D506,Catalogue!$B$7:$B$19,0)),"#N/A"))</f>
        <v/>
      </c>
      <c r="G506" s="64">
        <f>IF(OR(D506="",E506=""),"",IFERROR(E506*INDEX(Catalogue!$D$7:$D$19,MATCH(D506,Catalogue!$B$7:$B$19,0)),"#N/A"))</f>
        <v/>
      </c>
      <c r="H506" s="26" t="n"/>
      <c r="I506" s="2" t="n"/>
      <c r="J506" s="1" t="n"/>
    </row>
    <row r="507">
      <c r="A507" s="1" t="n"/>
      <c r="B507" s="2" t="n"/>
      <c r="C507" s="2" t="n"/>
      <c r="D507" s="2" t="n"/>
      <c r="E507" s="2" t="n"/>
      <c r="F507" s="2" t="n"/>
      <c r="G507" s="2" t="n"/>
      <c r="H507" s="2" t="n"/>
      <c r="I507" s="2" t="n"/>
      <c r="J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</row>
  </sheetData>
  <mergeCells count="2">
    <mergeCell ref="B4:H4"/>
    <mergeCell ref="B2:H2"/>
  </mergeCells>
  <dataValidations count="3">
    <dataValidation sqref="C7:C506" showDropDown="0" showInputMessage="0" showErrorMessage="1" allowBlank="1" error="Choisis dans la liste." type="list">
      <formula1>=Effectif!$C$7:$C$21</formula1>
    </dataValidation>
    <dataValidation sqref="D7:D506" showDropDown="0" showInputMessage="0" showErrorMessage="1" allowBlank="1" error="Choisis dans la liste." type="list">
      <formula1>"Téquila,Shot,Bière,Whisky,Limonade,Jus d'orange,Cola,Boisson énergisante,BlackRider,Burning Wheel,Ghost Road,Iron Beer,Midnight Shot"</formula1>
    </dataValidation>
    <dataValidation sqref="E7:E506" showDropDown="0" showInputMessage="0" showErrorMessage="1" allowBlank="1" error="Nombre entier." type="whole" operator="greaterThanOrEqual">
      <formula1>0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Feuil8">
    <outlinePr summaryBelow="1" summaryRight="1"/>
    <pageSetUpPr/>
  </sheetPr>
  <dimension ref="A1:M124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3" customWidth="1" min="8" max="8"/>
    <col width="16" customWidth="1" min="9" max="9"/>
    <col width="16" customWidth="1" min="10" max="10"/>
    <col width="3" customWidth="1" min="11" max="11"/>
    <col width="3" customWidth="1" min="12" max="12"/>
    <col width="3" customWidth="1" min="13" max="13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 ht="40" customHeight="1">
      <c r="A2" s="1" t="n"/>
      <c r="B2" s="9" t="inlineStr">
        <is>
          <t>STOCK — YELLOW JAKE</t>
        </is>
      </c>
      <c r="K2" s="2" t="n"/>
      <c r="L2" s="2" t="n"/>
      <c r="M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2" t="n"/>
      <c r="J3" s="10" t="inlineStr">
        <is>
          <t>⬅ Accueil</t>
        </is>
      </c>
      <c r="K3" s="2" t="n"/>
      <c r="L3" s="2" t="n"/>
      <c r="M3" s="1" t="n"/>
    </row>
    <row r="4">
      <c r="A4" s="1" t="n"/>
      <c r="B4" s="11" t="inlineStr">
        <is>
          <t>Stock actuel = stock de départ + production + ajustements − ventes (Historique + Archive). Cases blanches = stock de départ et seuil d'alerte.</t>
        </is>
      </c>
      <c r="K4" s="2" t="n"/>
      <c r="L4" s="2" t="n"/>
      <c r="M4" s="1" t="n"/>
    </row>
    <row r="5">
      <c r="A5" s="1" t="n"/>
      <c r="B5" s="2" t="n"/>
      <c r="C5" s="2" t="n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1" t="n"/>
    </row>
    <row r="6" ht="32" customHeight="1">
      <c r="A6" s="1" t="n"/>
      <c r="B6" s="23" t="inlineStr">
        <is>
          <t>Produit</t>
        </is>
      </c>
      <c r="C6" s="23" t="inlineStr">
        <is>
          <t>Stock de départ</t>
        </is>
      </c>
      <c r="D6" s="23" t="inlineStr">
        <is>
          <t>Produit (crafts)</t>
        </is>
      </c>
      <c r="E6" s="23" t="inlineStr">
        <is>
          <t>Ajustements</t>
        </is>
      </c>
      <c r="F6" s="23" t="inlineStr">
        <is>
          <t>Vendu (semaine + archive)</t>
        </is>
      </c>
      <c r="G6" s="23" t="inlineStr">
        <is>
          <t>Stock actuel</t>
        </is>
      </c>
      <c r="H6" s="23" t="inlineStr">
        <is>
          <t>Seuil d'alerte</t>
        </is>
      </c>
      <c r="I6" s="23" t="inlineStr">
        <is>
          <t>Statut</t>
        </is>
      </c>
      <c r="J6" s="23" t="inlineStr">
        <is>
          <t>Valeur du stock (coût)</t>
        </is>
      </c>
      <c r="K6" s="2" t="n"/>
      <c r="L6" s="2" t="n"/>
      <c r="M6" s="1" t="n"/>
    </row>
    <row r="7">
      <c r="A7" s="1" t="n"/>
      <c r="B7" s="66">
        <f>Catalogue!B7</f>
        <v/>
      </c>
      <c r="C7" s="28" t="n">
        <v>0</v>
      </c>
      <c r="D7" s="67">
        <f>SUMIFS(Production!$F$7:$F$506,Production!$D$7:$D$506,B7)</f>
        <v/>
      </c>
      <c r="E7" s="68">
        <f>SUMIFS($E$25:$E$124,$C$25:$C$124,B7)</f>
        <v/>
      </c>
      <c r="F7" s="67">
        <f>SUMIFS('Historique Semaine'!$H$7:$H$506,'Historique Semaine'!$F$7:$F$506,B7)+SUMIFS(Archive!$H$7:$H$2006,Archive!$F$7:$F$2006,B7)</f>
        <v/>
      </c>
      <c r="G7" s="65">
        <f>C7+D7+E7-F7</f>
        <v/>
      </c>
      <c r="H7" s="28" t="n">
        <v>10</v>
      </c>
      <c r="I7" s="24">
        <f>IF(G7&lt;0,"❌ Négatif",IF(G7&lt;=H7,"⚠️ À produire","✅ OK"))</f>
        <v/>
      </c>
      <c r="J7" s="64">
        <f>MAX(G7,0)*Catalogue!F7</f>
        <v/>
      </c>
      <c r="K7" s="2" t="n"/>
      <c r="L7" s="2" t="n"/>
      <c r="M7" s="1" t="n"/>
    </row>
    <row r="8">
      <c r="A8" s="1" t="n"/>
      <c r="B8" s="66">
        <f>Catalogue!B8</f>
        <v/>
      </c>
      <c r="C8" s="28" t="n">
        <v>0</v>
      </c>
      <c r="D8" s="67">
        <f>SUMIFS(Production!$F$7:$F$506,Production!$D$7:$D$506,B8)</f>
        <v/>
      </c>
      <c r="E8" s="68">
        <f>SUMIFS($E$25:$E$124,$C$25:$C$124,B8)</f>
        <v/>
      </c>
      <c r="F8" s="67">
        <f>SUMIFS('Historique Semaine'!$H$7:$H$506,'Historique Semaine'!$F$7:$F$506,B8)+SUMIFS(Archive!$H$7:$H$2006,Archive!$F$7:$F$2006,B8)</f>
        <v/>
      </c>
      <c r="G8" s="65">
        <f>C8+D8+E8-F8</f>
        <v/>
      </c>
      <c r="H8" s="28" t="n">
        <v>10</v>
      </c>
      <c r="I8" s="24">
        <f>IF(G8&lt;0,"❌ Négatif",IF(G8&lt;=H8,"⚠️ À produire","✅ OK"))</f>
        <v/>
      </c>
      <c r="J8" s="64">
        <f>MAX(G8,0)*Catalogue!F8</f>
        <v/>
      </c>
      <c r="K8" s="2" t="n"/>
      <c r="L8" s="2" t="n"/>
      <c r="M8" s="1" t="n"/>
    </row>
    <row r="9">
      <c r="A9" s="1" t="n"/>
      <c r="B9" s="66">
        <f>Catalogue!B9</f>
        <v/>
      </c>
      <c r="C9" s="28" t="n">
        <v>0</v>
      </c>
      <c r="D9" s="67">
        <f>SUMIFS(Production!$F$7:$F$506,Production!$D$7:$D$506,B9)</f>
        <v/>
      </c>
      <c r="E9" s="68">
        <f>SUMIFS($E$25:$E$124,$C$25:$C$124,B9)</f>
        <v/>
      </c>
      <c r="F9" s="67">
        <f>SUMIFS('Historique Semaine'!$H$7:$H$506,'Historique Semaine'!$F$7:$F$506,B9)+SUMIFS(Archive!$H$7:$H$2006,Archive!$F$7:$F$2006,B9)</f>
        <v/>
      </c>
      <c r="G9" s="65">
        <f>C9+D9+E9-F9</f>
        <v/>
      </c>
      <c r="H9" s="28" t="n">
        <v>10</v>
      </c>
      <c r="I9" s="24">
        <f>IF(G9&lt;0,"❌ Négatif",IF(G9&lt;=H9,"⚠️ À produire","✅ OK"))</f>
        <v/>
      </c>
      <c r="J9" s="64">
        <f>MAX(G9,0)*Catalogue!F9</f>
        <v/>
      </c>
      <c r="K9" s="2" t="n"/>
      <c r="L9" s="2" t="n"/>
      <c r="M9" s="1" t="n"/>
    </row>
    <row r="10">
      <c r="A10" s="1" t="n"/>
      <c r="B10" s="66">
        <f>Catalogue!B10</f>
        <v/>
      </c>
      <c r="C10" s="28" t="n">
        <v>0</v>
      </c>
      <c r="D10" s="67">
        <f>SUMIFS(Production!$F$7:$F$506,Production!$D$7:$D$506,B10)</f>
        <v/>
      </c>
      <c r="E10" s="68">
        <f>SUMIFS($E$25:$E$124,$C$25:$C$124,B10)</f>
        <v/>
      </c>
      <c r="F10" s="67">
        <f>SUMIFS('Historique Semaine'!$H$7:$H$506,'Historique Semaine'!$F$7:$F$506,B10)+SUMIFS(Archive!$H$7:$H$2006,Archive!$F$7:$F$2006,B10)</f>
        <v/>
      </c>
      <c r="G10" s="65">
        <f>C10+D10+E10-F10</f>
        <v/>
      </c>
      <c r="H10" s="28" t="n">
        <v>10</v>
      </c>
      <c r="I10" s="24">
        <f>IF(G10&lt;0,"❌ Négatif",IF(G10&lt;=H10,"⚠️ À produire","✅ OK"))</f>
        <v/>
      </c>
      <c r="J10" s="64">
        <f>MAX(G10,0)*Catalogue!F10</f>
        <v/>
      </c>
      <c r="K10" s="2" t="n"/>
      <c r="L10" s="2" t="n"/>
      <c r="M10" s="1" t="n"/>
    </row>
    <row r="11">
      <c r="A11" s="1" t="n"/>
      <c r="B11" s="66">
        <f>Catalogue!B11</f>
        <v/>
      </c>
      <c r="C11" s="28" t="n">
        <v>0</v>
      </c>
      <c r="D11" s="67">
        <f>SUMIFS(Production!$F$7:$F$506,Production!$D$7:$D$506,B11)</f>
        <v/>
      </c>
      <c r="E11" s="68">
        <f>SUMIFS($E$25:$E$124,$C$25:$C$124,B11)</f>
        <v/>
      </c>
      <c r="F11" s="67">
        <f>SUMIFS('Historique Semaine'!$H$7:$H$506,'Historique Semaine'!$F$7:$F$506,B11)+SUMIFS(Archive!$H$7:$H$2006,Archive!$F$7:$F$2006,B11)</f>
        <v/>
      </c>
      <c r="G11" s="65">
        <f>C11+D11+E11-F11</f>
        <v/>
      </c>
      <c r="H11" s="28" t="n">
        <v>10</v>
      </c>
      <c r="I11" s="24">
        <f>IF(G11&lt;0,"❌ Négatif",IF(G11&lt;=H11,"⚠️ À produire","✅ OK"))</f>
        <v/>
      </c>
      <c r="J11" s="64">
        <f>MAX(G11,0)*Catalogue!F11</f>
        <v/>
      </c>
      <c r="K11" s="2" t="n"/>
      <c r="L11" s="2" t="n"/>
      <c r="M11" s="1" t="n"/>
    </row>
    <row r="12">
      <c r="A12" s="1" t="n"/>
      <c r="B12" s="66">
        <f>Catalogue!B12</f>
        <v/>
      </c>
      <c r="C12" s="28" t="n">
        <v>0</v>
      </c>
      <c r="D12" s="67">
        <f>SUMIFS(Production!$F$7:$F$506,Production!$D$7:$D$506,B12)</f>
        <v/>
      </c>
      <c r="E12" s="68">
        <f>SUMIFS($E$25:$E$124,$C$25:$C$124,B12)</f>
        <v/>
      </c>
      <c r="F12" s="67">
        <f>SUMIFS('Historique Semaine'!$H$7:$H$506,'Historique Semaine'!$F$7:$F$506,B12)+SUMIFS(Archive!$H$7:$H$2006,Archive!$F$7:$F$2006,B12)</f>
        <v/>
      </c>
      <c r="G12" s="65">
        <f>C12+D12+E12-F12</f>
        <v/>
      </c>
      <c r="H12" s="28" t="n">
        <v>10</v>
      </c>
      <c r="I12" s="24">
        <f>IF(G12&lt;0,"❌ Négatif",IF(G12&lt;=H12,"⚠️ À produire","✅ OK"))</f>
        <v/>
      </c>
      <c r="J12" s="64">
        <f>MAX(G12,0)*Catalogue!F12</f>
        <v/>
      </c>
      <c r="K12" s="2" t="n"/>
      <c r="L12" s="2" t="n"/>
      <c r="M12" s="1" t="n"/>
    </row>
    <row r="13">
      <c r="A13" s="1" t="n"/>
      <c r="B13" s="66">
        <f>Catalogue!B13</f>
        <v/>
      </c>
      <c r="C13" s="28" t="n">
        <v>0</v>
      </c>
      <c r="D13" s="67">
        <f>SUMIFS(Production!$F$7:$F$506,Production!$D$7:$D$506,B13)</f>
        <v/>
      </c>
      <c r="E13" s="68">
        <f>SUMIFS($E$25:$E$124,$C$25:$C$124,B13)</f>
        <v/>
      </c>
      <c r="F13" s="67">
        <f>SUMIFS('Historique Semaine'!$H$7:$H$506,'Historique Semaine'!$F$7:$F$506,B13)+SUMIFS(Archive!$H$7:$H$2006,Archive!$F$7:$F$2006,B13)</f>
        <v/>
      </c>
      <c r="G13" s="65">
        <f>C13+D13+E13-F13</f>
        <v/>
      </c>
      <c r="H13" s="28" t="n">
        <v>10</v>
      </c>
      <c r="I13" s="24">
        <f>IF(G13&lt;0,"❌ Négatif",IF(G13&lt;=H13,"⚠️ À produire","✅ OK"))</f>
        <v/>
      </c>
      <c r="J13" s="64">
        <f>MAX(G13,0)*Catalogue!F13</f>
        <v/>
      </c>
      <c r="K13" s="2" t="n"/>
      <c r="L13" s="2" t="n"/>
      <c r="M13" s="1" t="n"/>
    </row>
    <row r="14">
      <c r="A14" s="1" t="n"/>
      <c r="B14" s="66">
        <f>Catalogue!B14</f>
        <v/>
      </c>
      <c r="C14" s="28" t="n">
        <v>0</v>
      </c>
      <c r="D14" s="67">
        <f>SUMIFS(Production!$F$7:$F$506,Production!$D$7:$D$506,B14)</f>
        <v/>
      </c>
      <c r="E14" s="68">
        <f>SUMIFS($E$25:$E$124,$C$25:$C$124,B14)</f>
        <v/>
      </c>
      <c r="F14" s="67">
        <f>SUMIFS('Historique Semaine'!$H$7:$H$506,'Historique Semaine'!$F$7:$F$506,B14)+SUMIFS(Archive!$H$7:$H$2006,Archive!$F$7:$F$2006,B14)</f>
        <v/>
      </c>
      <c r="G14" s="65">
        <f>C14+D14+E14-F14</f>
        <v/>
      </c>
      <c r="H14" s="28" t="n">
        <v>10</v>
      </c>
      <c r="I14" s="24">
        <f>IF(G14&lt;0,"❌ Négatif",IF(G14&lt;=H14,"⚠️ À produire","✅ OK"))</f>
        <v/>
      </c>
      <c r="J14" s="64">
        <f>MAX(G14,0)*Catalogue!F14</f>
        <v/>
      </c>
      <c r="K14" s="2" t="n"/>
      <c r="L14" s="2" t="n"/>
      <c r="M14" s="1" t="n"/>
    </row>
    <row r="15">
      <c r="A15" s="1" t="n"/>
      <c r="B15" s="66">
        <f>Catalogue!B15</f>
        <v/>
      </c>
      <c r="C15" s="28" t="n">
        <v>0</v>
      </c>
      <c r="D15" s="67">
        <f>SUMIFS(Production!$F$7:$F$506,Production!$D$7:$D$506,B15)</f>
        <v/>
      </c>
      <c r="E15" s="68">
        <f>SUMIFS($E$25:$E$124,$C$25:$C$124,B15)</f>
        <v/>
      </c>
      <c r="F15" s="67">
        <f>SUMIFS('Historique Semaine'!$H$7:$H$506,'Historique Semaine'!$F$7:$F$506,B15)+SUMIFS(Archive!$H$7:$H$2006,Archive!$F$7:$F$2006,B15)</f>
        <v/>
      </c>
      <c r="G15" s="65">
        <f>C15+D15+E15-F15</f>
        <v/>
      </c>
      <c r="H15" s="28" t="n">
        <v>10</v>
      </c>
      <c r="I15" s="24">
        <f>IF(G15&lt;0,"❌ Négatif",IF(G15&lt;=H15,"⚠️ À produire","✅ OK"))</f>
        <v/>
      </c>
      <c r="J15" s="64">
        <f>MAX(G15,0)*Catalogue!F15</f>
        <v/>
      </c>
      <c r="K15" s="2" t="n"/>
      <c r="L15" s="2" t="n"/>
      <c r="M15" s="1" t="n"/>
    </row>
    <row r="16">
      <c r="A16" s="1" t="n"/>
      <c r="B16" s="66">
        <f>Catalogue!B16</f>
        <v/>
      </c>
      <c r="C16" s="28" t="n">
        <v>0</v>
      </c>
      <c r="D16" s="67">
        <f>SUMIFS(Production!$F$7:$F$506,Production!$D$7:$D$506,B16)</f>
        <v/>
      </c>
      <c r="E16" s="68">
        <f>SUMIFS($E$25:$E$124,$C$25:$C$124,B16)</f>
        <v/>
      </c>
      <c r="F16" s="67">
        <f>SUMIFS('Historique Semaine'!$H$7:$H$506,'Historique Semaine'!$F$7:$F$506,B16)+SUMIFS(Archive!$H$7:$H$2006,Archive!$F$7:$F$2006,B16)</f>
        <v/>
      </c>
      <c r="G16" s="65">
        <f>C16+D16+E16-F16</f>
        <v/>
      </c>
      <c r="H16" s="28" t="n">
        <v>10</v>
      </c>
      <c r="I16" s="24">
        <f>IF(G16&lt;0,"❌ Négatif",IF(G16&lt;=H16,"⚠️ À produire","✅ OK"))</f>
        <v/>
      </c>
      <c r="J16" s="64">
        <f>MAX(G16,0)*Catalogue!F16</f>
        <v/>
      </c>
      <c r="K16" s="2" t="n"/>
      <c r="L16" s="2" t="n"/>
      <c r="M16" s="1" t="n"/>
    </row>
    <row r="17">
      <c r="A17" s="1" t="n"/>
      <c r="B17" s="66">
        <f>Catalogue!B17</f>
        <v/>
      </c>
      <c r="C17" s="28" t="n">
        <v>0</v>
      </c>
      <c r="D17" s="67">
        <f>SUMIFS(Production!$F$7:$F$506,Production!$D$7:$D$506,B17)</f>
        <v/>
      </c>
      <c r="E17" s="68">
        <f>SUMIFS($E$25:$E$124,$C$25:$C$124,B17)</f>
        <v/>
      </c>
      <c r="F17" s="67">
        <f>SUMIFS('Historique Semaine'!$H$7:$H$506,'Historique Semaine'!$F$7:$F$506,B17)+SUMIFS(Archive!$H$7:$H$2006,Archive!$F$7:$F$2006,B17)</f>
        <v/>
      </c>
      <c r="G17" s="65">
        <f>C17+D17+E17-F17</f>
        <v/>
      </c>
      <c r="H17" s="28" t="n">
        <v>10</v>
      </c>
      <c r="I17" s="24">
        <f>IF(G17&lt;0,"❌ Négatif",IF(G17&lt;=H17,"⚠️ À produire","✅ OK"))</f>
        <v/>
      </c>
      <c r="J17" s="64">
        <f>MAX(G17,0)*Catalogue!F17</f>
        <v/>
      </c>
      <c r="K17" s="2" t="n"/>
      <c r="L17" s="2" t="n"/>
      <c r="M17" s="1" t="n"/>
    </row>
    <row r="18">
      <c r="A18" s="1" t="n"/>
      <c r="B18" s="66">
        <f>Catalogue!B18</f>
        <v/>
      </c>
      <c r="C18" s="28" t="n">
        <v>0</v>
      </c>
      <c r="D18" s="67">
        <f>SUMIFS(Production!$F$7:$F$506,Production!$D$7:$D$506,B18)</f>
        <v/>
      </c>
      <c r="E18" s="68">
        <f>SUMIFS($E$25:$E$124,$C$25:$C$124,B18)</f>
        <v/>
      </c>
      <c r="F18" s="67">
        <f>SUMIFS('Historique Semaine'!$H$7:$H$506,'Historique Semaine'!$F$7:$F$506,B18)+SUMIFS(Archive!$H$7:$H$2006,Archive!$F$7:$F$2006,B18)</f>
        <v/>
      </c>
      <c r="G18" s="65">
        <f>C18+D18+E18-F18</f>
        <v/>
      </c>
      <c r="H18" s="28" t="n">
        <v>10</v>
      </c>
      <c r="I18" s="24">
        <f>IF(G18&lt;0,"❌ Négatif",IF(G18&lt;=H18,"⚠️ À produire","✅ OK"))</f>
        <v/>
      </c>
      <c r="J18" s="64">
        <f>MAX(G18,0)*Catalogue!F18</f>
        <v/>
      </c>
      <c r="K18" s="2" t="n"/>
      <c r="L18" s="2" t="n"/>
      <c r="M18" s="1" t="n"/>
    </row>
    <row r="19">
      <c r="A19" s="1" t="n"/>
      <c r="B19" s="66">
        <f>Catalogue!B19</f>
        <v/>
      </c>
      <c r="C19" s="28" t="n">
        <v>0</v>
      </c>
      <c r="D19" s="67">
        <f>SUMIFS(Production!$F$7:$F$506,Production!$D$7:$D$506,B19)</f>
        <v/>
      </c>
      <c r="E19" s="68">
        <f>SUMIFS($E$25:$E$124,$C$25:$C$124,B19)</f>
        <v/>
      </c>
      <c r="F19" s="67">
        <f>SUMIFS('Historique Semaine'!$H$7:$H$506,'Historique Semaine'!$F$7:$F$506,B19)+SUMIFS(Archive!$H$7:$H$2006,Archive!$F$7:$F$2006,B19)</f>
        <v/>
      </c>
      <c r="G19" s="65">
        <f>C19+D19+E19-F19</f>
        <v/>
      </c>
      <c r="H19" s="28" t="n">
        <v>10</v>
      </c>
      <c r="I19" s="24">
        <f>IF(G19&lt;0,"❌ Négatif",IF(G19&lt;=H19,"⚠️ À produire","✅ OK"))</f>
        <v/>
      </c>
      <c r="J19" s="64">
        <f>MAX(G19,0)*Catalogue!F19</f>
        <v/>
      </c>
      <c r="K19" s="2" t="n"/>
      <c r="L19" s="2" t="n"/>
      <c r="M19" s="1" t="n"/>
    </row>
    <row r="20">
      <c r="A20" s="1" t="n"/>
      <c r="B20" s="69" t="inlineStr">
        <is>
          <t>TOTAL</t>
        </is>
      </c>
      <c r="C20" s="70">
        <f>SUM(C7:C19)</f>
        <v/>
      </c>
      <c r="D20" s="70">
        <f>SUM(D7:D19)</f>
        <v/>
      </c>
      <c r="E20" s="70">
        <f>SUM(E7:E19)</f>
        <v/>
      </c>
      <c r="F20" s="70">
        <f>SUM(F7:F19)</f>
        <v/>
      </c>
      <c r="G20" s="70">
        <f>SUM(G7:G19)</f>
        <v/>
      </c>
      <c r="H20" s="2" t="n"/>
      <c r="I20" s="2" t="n"/>
      <c r="J20" s="22">
        <f>SUM(J7:J19)</f>
        <v/>
      </c>
      <c r="K20" s="2" t="n"/>
      <c r="L20" s="2" t="n"/>
      <c r="M20" s="1" t="n"/>
    </row>
    <row r="21">
      <c r="A21" s="1" t="n"/>
      <c r="B21" s="2" t="n"/>
      <c r="C21" s="2" t="n"/>
      <c r="D21" s="2" t="n"/>
      <c r="E21" s="2" t="n"/>
      <c r="F21" s="2" t="n"/>
      <c r="G21" s="2" t="n"/>
      <c r="H21" s="2" t="n"/>
      <c r="I21" s="2" t="n"/>
      <c r="J21" s="2" t="n"/>
      <c r="K21" s="2" t="n"/>
      <c r="L21" s="2" t="n"/>
      <c r="M21" s="1" t="n"/>
    </row>
    <row r="22">
      <c r="A22" s="1" t="n"/>
      <c r="B22" s="2" t="n"/>
      <c r="C22" s="2" t="n"/>
      <c r="D22" s="2" t="n"/>
      <c r="E22" s="2" t="n"/>
      <c r="F22" s="2" t="n"/>
      <c r="G22" s="2" t="n"/>
      <c r="H22" s="2" t="n"/>
      <c r="I22" s="2" t="n"/>
      <c r="J22" s="2" t="n"/>
      <c r="K22" s="2" t="n"/>
      <c r="L22" s="2" t="n"/>
      <c r="M22" s="1" t="n"/>
    </row>
    <row r="23">
      <c r="A23" s="1" t="n"/>
      <c r="B23" s="57" t="inlineStr">
        <is>
          <t>AJUSTEMENTS DE STOCK (casse, perte, correction d'inventaire)</t>
        </is>
      </c>
      <c r="G23" s="2" t="n"/>
      <c r="H23" s="2" t="n"/>
      <c r="I23" s="2" t="n"/>
      <c r="J23" s="2" t="n"/>
      <c r="K23" s="2" t="n"/>
      <c r="L23" s="2" t="n"/>
      <c r="M23" s="1" t="n"/>
    </row>
    <row r="24" ht="32" customHeight="1">
      <c r="A24" s="1" t="n"/>
      <c r="B24" s="23" t="inlineStr">
        <is>
          <t>Date</t>
        </is>
      </c>
      <c r="C24" s="23" t="inlineStr">
        <is>
          <t>Produit</t>
        </is>
      </c>
      <c r="D24" s="23" t="inlineStr">
        <is>
          <t>Type</t>
        </is>
      </c>
      <c r="E24" s="23" t="inlineStr">
        <is>
          <t>Quantité (+/−)</t>
        </is>
      </c>
      <c r="F24" s="23" t="inlineStr">
        <is>
          <t>Remarque</t>
        </is>
      </c>
      <c r="G24" s="2" t="n"/>
      <c r="H24" s="2" t="n"/>
      <c r="I24" s="2" t="n"/>
      <c r="J24" s="2" t="n"/>
      <c r="K24" s="2" t="n"/>
      <c r="L24" s="2" t="n"/>
      <c r="M24" s="1" t="n"/>
    </row>
    <row r="25">
      <c r="A25" s="1" t="n"/>
      <c r="B25" s="25" t="n"/>
      <c r="C25" s="26" t="n"/>
      <c r="D25" s="26" t="n"/>
      <c r="E25" s="71" t="n"/>
      <c r="F25" s="26" t="n"/>
      <c r="G25" s="11" t="inlineStr">
        <is>
          <t>Perte = quantité négative (ex. −3). Ajout ou correction à la hausse = quantité positive.</t>
        </is>
      </c>
      <c r="K25" s="2" t="n"/>
      <c r="L25" s="2" t="n"/>
      <c r="M25" s="1" t="n"/>
    </row>
    <row r="26">
      <c r="A26" s="1" t="n"/>
      <c r="B26" s="25" t="n"/>
      <c r="C26" s="26" t="n"/>
      <c r="D26" s="26" t="n"/>
      <c r="E26" s="71" t="n"/>
      <c r="F26" s="26" t="n"/>
      <c r="K26" s="2" t="n"/>
      <c r="L26" s="2" t="n"/>
      <c r="M26" s="1" t="n"/>
    </row>
    <row r="27">
      <c r="A27" s="1" t="n"/>
      <c r="B27" s="25" t="n"/>
      <c r="C27" s="26" t="n"/>
      <c r="D27" s="26" t="n"/>
      <c r="E27" s="71" t="n"/>
      <c r="F27" s="26" t="n"/>
      <c r="K27" s="2" t="n"/>
      <c r="L27" s="2" t="n"/>
      <c r="M27" s="1" t="n"/>
    </row>
    <row r="28">
      <c r="A28" s="1" t="n"/>
      <c r="B28" s="25" t="n"/>
      <c r="C28" s="26" t="n"/>
      <c r="D28" s="26" t="n"/>
      <c r="E28" s="71" t="n"/>
      <c r="F28" s="26" t="n"/>
      <c r="G28" s="2" t="n"/>
      <c r="H28" s="2" t="n"/>
      <c r="I28" s="2" t="n"/>
      <c r="J28" s="2" t="n"/>
      <c r="K28" s="2" t="n"/>
      <c r="L28" s="2" t="n"/>
      <c r="M28" s="1" t="n"/>
    </row>
    <row r="29">
      <c r="A29" s="1" t="n"/>
      <c r="B29" s="25" t="n"/>
      <c r="C29" s="26" t="n"/>
      <c r="D29" s="26" t="n"/>
      <c r="E29" s="71" t="n"/>
      <c r="F29" s="26" t="n"/>
      <c r="G29" s="2" t="n"/>
      <c r="H29" s="2" t="n"/>
      <c r="I29" s="2" t="n"/>
      <c r="J29" s="2" t="n"/>
      <c r="K29" s="2" t="n"/>
      <c r="L29" s="2" t="n"/>
      <c r="M29" s="1" t="n"/>
    </row>
    <row r="30">
      <c r="A30" s="1" t="n"/>
      <c r="B30" s="25" t="n"/>
      <c r="C30" s="26" t="n"/>
      <c r="D30" s="26" t="n"/>
      <c r="E30" s="71" t="n"/>
      <c r="F30" s="26" t="n"/>
      <c r="G30" s="2" t="n"/>
      <c r="H30" s="2" t="n"/>
      <c r="I30" s="2" t="n"/>
      <c r="J30" s="2" t="n"/>
      <c r="K30" s="2" t="n"/>
      <c r="L30" s="2" t="n"/>
      <c r="M30" s="1" t="n"/>
    </row>
    <row r="31">
      <c r="A31" s="1" t="n"/>
      <c r="B31" s="25" t="n"/>
      <c r="C31" s="26" t="n"/>
      <c r="D31" s="26" t="n"/>
      <c r="E31" s="71" t="n"/>
      <c r="F31" s="26" t="n"/>
      <c r="G31" s="2" t="n"/>
      <c r="H31" s="2" t="n"/>
      <c r="I31" s="2" t="n"/>
      <c r="J31" s="2" t="n"/>
      <c r="K31" s="2" t="n"/>
      <c r="L31" s="2" t="n"/>
      <c r="M31" s="1" t="n"/>
    </row>
    <row r="32">
      <c r="A32" s="1" t="n"/>
      <c r="B32" s="25" t="n"/>
      <c r="C32" s="26" t="n"/>
      <c r="D32" s="26" t="n"/>
      <c r="E32" s="71" t="n"/>
      <c r="F32" s="26" t="n"/>
      <c r="G32" s="2" t="n"/>
      <c r="H32" s="2" t="n"/>
      <c r="I32" s="2" t="n"/>
      <c r="J32" s="2" t="n"/>
      <c r="K32" s="2" t="n"/>
      <c r="L32" s="2" t="n"/>
      <c r="M32" s="1" t="n"/>
    </row>
    <row r="33">
      <c r="A33" s="1" t="n"/>
      <c r="B33" s="25" t="n"/>
      <c r="C33" s="26" t="n"/>
      <c r="D33" s="26" t="n"/>
      <c r="E33" s="71" t="n"/>
      <c r="F33" s="26" t="n"/>
      <c r="G33" s="1" t="n"/>
      <c r="H33" s="1" t="n"/>
      <c r="I33" s="1" t="n"/>
      <c r="J33" s="1" t="n"/>
      <c r="K33" s="1" t="n"/>
      <c r="L33" s="1" t="n"/>
      <c r="M33" s="1" t="n"/>
    </row>
    <row r="34">
      <c r="B34" s="25" t="n"/>
      <c r="C34" s="26" t="n"/>
      <c r="D34" s="26" t="n"/>
      <c r="E34" s="71" t="n"/>
      <c r="F34" s="26" t="n"/>
    </row>
    <row r="35">
      <c r="B35" s="25" t="n"/>
      <c r="C35" s="26" t="n"/>
      <c r="D35" s="26" t="n"/>
      <c r="E35" s="71" t="n"/>
      <c r="F35" s="26" t="n"/>
    </row>
    <row r="36">
      <c r="B36" s="25" t="n"/>
      <c r="C36" s="26" t="n"/>
      <c r="D36" s="26" t="n"/>
      <c r="E36" s="71" t="n"/>
      <c r="F36" s="26" t="n"/>
    </row>
    <row r="37">
      <c r="B37" s="25" t="n"/>
      <c r="C37" s="26" t="n"/>
      <c r="D37" s="26" t="n"/>
      <c r="E37" s="71" t="n"/>
      <c r="F37" s="26" t="n"/>
    </row>
    <row r="38">
      <c r="B38" s="25" t="n"/>
      <c r="C38" s="26" t="n"/>
      <c r="D38" s="26" t="n"/>
      <c r="E38" s="71" t="n"/>
      <c r="F38" s="26" t="n"/>
    </row>
    <row r="39">
      <c r="B39" s="25" t="n"/>
      <c r="C39" s="26" t="n"/>
      <c r="D39" s="26" t="n"/>
      <c r="E39" s="71" t="n"/>
      <c r="F39" s="26" t="n"/>
    </row>
    <row r="40">
      <c r="B40" s="25" t="n"/>
      <c r="C40" s="26" t="n"/>
      <c r="D40" s="26" t="n"/>
      <c r="E40" s="71" t="n"/>
      <c r="F40" s="26" t="n"/>
    </row>
    <row r="41">
      <c r="B41" s="25" t="n"/>
      <c r="C41" s="26" t="n"/>
      <c r="D41" s="26" t="n"/>
      <c r="E41" s="71" t="n"/>
      <c r="F41" s="26" t="n"/>
    </row>
    <row r="42">
      <c r="B42" s="25" t="n"/>
      <c r="C42" s="26" t="n"/>
      <c r="D42" s="26" t="n"/>
      <c r="E42" s="71" t="n"/>
      <c r="F42" s="26" t="n"/>
    </row>
    <row r="43">
      <c r="B43" s="25" t="n"/>
      <c r="C43" s="26" t="n"/>
      <c r="D43" s="26" t="n"/>
      <c r="E43" s="71" t="n"/>
      <c r="F43" s="26" t="n"/>
    </row>
    <row r="44">
      <c r="B44" s="25" t="n"/>
      <c r="C44" s="26" t="n"/>
      <c r="D44" s="26" t="n"/>
      <c r="E44" s="71" t="n"/>
      <c r="F44" s="26" t="n"/>
    </row>
    <row r="45">
      <c r="B45" s="25" t="n"/>
      <c r="C45" s="26" t="n"/>
      <c r="D45" s="26" t="n"/>
      <c r="E45" s="71" t="n"/>
      <c r="F45" s="26" t="n"/>
    </row>
    <row r="46">
      <c r="B46" s="25" t="n"/>
      <c r="C46" s="26" t="n"/>
      <c r="D46" s="26" t="n"/>
      <c r="E46" s="71" t="n"/>
      <c r="F46" s="26" t="n"/>
    </row>
    <row r="47">
      <c r="B47" s="25" t="n"/>
      <c r="C47" s="26" t="n"/>
      <c r="D47" s="26" t="n"/>
      <c r="E47" s="71" t="n"/>
      <c r="F47" s="26" t="n"/>
    </row>
    <row r="48">
      <c r="B48" s="25" t="n"/>
      <c r="C48" s="26" t="n"/>
      <c r="D48" s="26" t="n"/>
      <c r="E48" s="71" t="n"/>
      <c r="F48" s="26" t="n"/>
    </row>
    <row r="49">
      <c r="B49" s="25" t="n"/>
      <c r="C49" s="26" t="n"/>
      <c r="D49" s="26" t="n"/>
      <c r="E49" s="71" t="n"/>
      <c r="F49" s="26" t="n"/>
    </row>
    <row r="50">
      <c r="B50" s="25" t="n"/>
      <c r="C50" s="26" t="n"/>
      <c r="D50" s="26" t="n"/>
      <c r="E50" s="71" t="n"/>
      <c r="F50" s="26" t="n"/>
    </row>
    <row r="51">
      <c r="B51" s="25" t="n"/>
      <c r="C51" s="26" t="n"/>
      <c r="D51" s="26" t="n"/>
      <c r="E51" s="71" t="n"/>
      <c r="F51" s="26" t="n"/>
    </row>
    <row r="52">
      <c r="B52" s="25" t="n"/>
      <c r="C52" s="26" t="n"/>
      <c r="D52" s="26" t="n"/>
      <c r="E52" s="71" t="n"/>
      <c r="F52" s="26" t="n"/>
    </row>
    <row r="53">
      <c r="B53" s="25" t="n"/>
      <c r="C53" s="26" t="n"/>
      <c r="D53" s="26" t="n"/>
      <c r="E53" s="71" t="n"/>
      <c r="F53" s="26" t="n"/>
    </row>
    <row r="54">
      <c r="B54" s="25" t="n"/>
      <c r="C54" s="26" t="n"/>
      <c r="D54" s="26" t="n"/>
      <c r="E54" s="71" t="n"/>
      <c r="F54" s="26" t="n"/>
    </row>
    <row r="55">
      <c r="B55" s="25" t="n"/>
      <c r="C55" s="26" t="n"/>
      <c r="D55" s="26" t="n"/>
      <c r="E55" s="71" t="n"/>
      <c r="F55" s="26" t="n"/>
    </row>
    <row r="56">
      <c r="B56" s="25" t="n"/>
      <c r="C56" s="26" t="n"/>
      <c r="D56" s="26" t="n"/>
      <c r="E56" s="71" t="n"/>
      <c r="F56" s="26" t="n"/>
    </row>
    <row r="57">
      <c r="B57" s="25" t="n"/>
      <c r="C57" s="26" t="n"/>
      <c r="D57" s="26" t="n"/>
      <c r="E57" s="71" t="n"/>
      <c r="F57" s="26" t="n"/>
    </row>
    <row r="58">
      <c r="B58" s="25" t="n"/>
      <c r="C58" s="26" t="n"/>
      <c r="D58" s="26" t="n"/>
      <c r="E58" s="71" t="n"/>
      <c r="F58" s="26" t="n"/>
    </row>
    <row r="59">
      <c r="B59" s="25" t="n"/>
      <c r="C59" s="26" t="n"/>
      <c r="D59" s="26" t="n"/>
      <c r="E59" s="71" t="n"/>
      <c r="F59" s="26" t="n"/>
    </row>
    <row r="60">
      <c r="B60" s="25" t="n"/>
      <c r="C60" s="26" t="n"/>
      <c r="D60" s="26" t="n"/>
      <c r="E60" s="71" t="n"/>
      <c r="F60" s="26" t="n"/>
    </row>
    <row r="61">
      <c r="B61" s="25" t="n"/>
      <c r="C61" s="26" t="n"/>
      <c r="D61" s="26" t="n"/>
      <c r="E61" s="71" t="n"/>
      <c r="F61" s="26" t="n"/>
    </row>
    <row r="62">
      <c r="B62" s="25" t="n"/>
      <c r="C62" s="26" t="n"/>
      <c r="D62" s="26" t="n"/>
      <c r="E62" s="71" t="n"/>
      <c r="F62" s="26" t="n"/>
    </row>
    <row r="63">
      <c r="B63" s="25" t="n"/>
      <c r="C63" s="26" t="n"/>
      <c r="D63" s="26" t="n"/>
      <c r="E63" s="71" t="n"/>
      <c r="F63" s="26" t="n"/>
    </row>
    <row r="64">
      <c r="B64" s="25" t="n"/>
      <c r="C64" s="26" t="n"/>
      <c r="D64" s="26" t="n"/>
      <c r="E64" s="71" t="n"/>
      <c r="F64" s="26" t="n"/>
    </row>
    <row r="65">
      <c r="B65" s="25" t="n"/>
      <c r="C65" s="26" t="n"/>
      <c r="D65" s="26" t="n"/>
      <c r="E65" s="71" t="n"/>
      <c r="F65" s="26" t="n"/>
    </row>
    <row r="66">
      <c r="B66" s="25" t="n"/>
      <c r="C66" s="26" t="n"/>
      <c r="D66" s="26" t="n"/>
      <c r="E66" s="71" t="n"/>
      <c r="F66" s="26" t="n"/>
    </row>
    <row r="67">
      <c r="B67" s="25" t="n"/>
      <c r="C67" s="26" t="n"/>
      <c r="D67" s="26" t="n"/>
      <c r="E67" s="71" t="n"/>
      <c r="F67" s="26" t="n"/>
    </row>
    <row r="68">
      <c r="B68" s="25" t="n"/>
      <c r="C68" s="26" t="n"/>
      <c r="D68" s="26" t="n"/>
      <c r="E68" s="71" t="n"/>
      <c r="F68" s="26" t="n"/>
    </row>
    <row r="69">
      <c r="B69" s="25" t="n"/>
      <c r="C69" s="26" t="n"/>
      <c r="D69" s="26" t="n"/>
      <c r="E69" s="71" t="n"/>
      <c r="F69" s="26" t="n"/>
    </row>
    <row r="70">
      <c r="B70" s="25" t="n"/>
      <c r="C70" s="26" t="n"/>
      <c r="D70" s="26" t="n"/>
      <c r="E70" s="71" t="n"/>
      <c r="F70" s="26" t="n"/>
    </row>
    <row r="71">
      <c r="B71" s="25" t="n"/>
      <c r="C71" s="26" t="n"/>
      <c r="D71" s="26" t="n"/>
      <c r="E71" s="71" t="n"/>
      <c r="F71" s="26" t="n"/>
    </row>
    <row r="72">
      <c r="B72" s="25" t="n"/>
      <c r="C72" s="26" t="n"/>
      <c r="D72" s="26" t="n"/>
      <c r="E72" s="71" t="n"/>
      <c r="F72" s="26" t="n"/>
    </row>
    <row r="73">
      <c r="B73" s="25" t="n"/>
      <c r="C73" s="26" t="n"/>
      <c r="D73" s="26" t="n"/>
      <c r="E73" s="71" t="n"/>
      <c r="F73" s="26" t="n"/>
    </row>
    <row r="74">
      <c r="B74" s="25" t="n"/>
      <c r="C74" s="26" t="n"/>
      <c r="D74" s="26" t="n"/>
      <c r="E74" s="71" t="n"/>
      <c r="F74" s="26" t="n"/>
    </row>
    <row r="75">
      <c r="B75" s="25" t="n"/>
      <c r="C75" s="26" t="n"/>
      <c r="D75" s="26" t="n"/>
      <c r="E75" s="71" t="n"/>
      <c r="F75" s="26" t="n"/>
    </row>
    <row r="76">
      <c r="B76" s="25" t="n"/>
      <c r="C76" s="26" t="n"/>
      <c r="D76" s="26" t="n"/>
      <c r="E76" s="71" t="n"/>
      <c r="F76" s="26" t="n"/>
    </row>
    <row r="77">
      <c r="B77" s="25" t="n"/>
      <c r="C77" s="26" t="n"/>
      <c r="D77" s="26" t="n"/>
      <c r="E77" s="71" t="n"/>
      <c r="F77" s="26" t="n"/>
    </row>
    <row r="78">
      <c r="B78" s="25" t="n"/>
      <c r="C78" s="26" t="n"/>
      <c r="D78" s="26" t="n"/>
      <c r="E78" s="71" t="n"/>
      <c r="F78" s="26" t="n"/>
    </row>
    <row r="79">
      <c r="B79" s="25" t="n"/>
      <c r="C79" s="26" t="n"/>
      <c r="D79" s="26" t="n"/>
      <c r="E79" s="71" t="n"/>
      <c r="F79" s="26" t="n"/>
    </row>
    <row r="80">
      <c r="B80" s="25" t="n"/>
      <c r="C80" s="26" t="n"/>
      <c r="D80" s="26" t="n"/>
      <c r="E80" s="71" t="n"/>
      <c r="F80" s="26" t="n"/>
    </row>
    <row r="81">
      <c r="B81" s="25" t="n"/>
      <c r="C81" s="26" t="n"/>
      <c r="D81" s="26" t="n"/>
      <c r="E81" s="71" t="n"/>
      <c r="F81" s="26" t="n"/>
    </row>
    <row r="82">
      <c r="B82" s="25" t="n"/>
      <c r="C82" s="26" t="n"/>
      <c r="D82" s="26" t="n"/>
      <c r="E82" s="71" t="n"/>
      <c r="F82" s="26" t="n"/>
    </row>
    <row r="83">
      <c r="B83" s="25" t="n"/>
      <c r="C83" s="26" t="n"/>
      <c r="D83" s="26" t="n"/>
      <c r="E83" s="71" t="n"/>
      <c r="F83" s="26" t="n"/>
    </row>
    <row r="84">
      <c r="B84" s="25" t="n"/>
      <c r="C84" s="26" t="n"/>
      <c r="D84" s="26" t="n"/>
      <c r="E84" s="71" t="n"/>
      <c r="F84" s="26" t="n"/>
    </row>
    <row r="85">
      <c r="B85" s="25" t="n"/>
      <c r="C85" s="26" t="n"/>
      <c r="D85" s="26" t="n"/>
      <c r="E85" s="71" t="n"/>
      <c r="F85" s="26" t="n"/>
    </row>
    <row r="86">
      <c r="B86" s="25" t="n"/>
      <c r="C86" s="26" t="n"/>
      <c r="D86" s="26" t="n"/>
      <c r="E86" s="71" t="n"/>
      <c r="F86" s="26" t="n"/>
    </row>
    <row r="87">
      <c r="B87" s="25" t="n"/>
      <c r="C87" s="26" t="n"/>
      <c r="D87" s="26" t="n"/>
      <c r="E87" s="71" t="n"/>
      <c r="F87" s="26" t="n"/>
    </row>
    <row r="88">
      <c r="B88" s="25" t="n"/>
      <c r="C88" s="26" t="n"/>
      <c r="D88" s="26" t="n"/>
      <c r="E88" s="71" t="n"/>
      <c r="F88" s="26" t="n"/>
    </row>
    <row r="89">
      <c r="B89" s="25" t="n"/>
      <c r="C89" s="26" t="n"/>
      <c r="D89" s="26" t="n"/>
      <c r="E89" s="71" t="n"/>
      <c r="F89" s="26" t="n"/>
    </row>
    <row r="90">
      <c r="B90" s="25" t="n"/>
      <c r="C90" s="26" t="n"/>
      <c r="D90" s="26" t="n"/>
      <c r="E90" s="71" t="n"/>
      <c r="F90" s="26" t="n"/>
    </row>
    <row r="91">
      <c r="B91" s="25" t="n"/>
      <c r="C91" s="26" t="n"/>
      <c r="D91" s="26" t="n"/>
      <c r="E91" s="71" t="n"/>
      <c r="F91" s="26" t="n"/>
    </row>
    <row r="92">
      <c r="B92" s="25" t="n"/>
      <c r="C92" s="26" t="n"/>
      <c r="D92" s="26" t="n"/>
      <c r="E92" s="71" t="n"/>
      <c r="F92" s="26" t="n"/>
    </row>
    <row r="93">
      <c r="B93" s="25" t="n"/>
      <c r="C93" s="26" t="n"/>
      <c r="D93" s="26" t="n"/>
      <c r="E93" s="71" t="n"/>
      <c r="F93" s="26" t="n"/>
    </row>
    <row r="94">
      <c r="B94" s="25" t="n"/>
      <c r="C94" s="26" t="n"/>
      <c r="D94" s="26" t="n"/>
      <c r="E94" s="71" t="n"/>
      <c r="F94" s="26" t="n"/>
    </row>
    <row r="95">
      <c r="B95" s="25" t="n"/>
      <c r="C95" s="26" t="n"/>
      <c r="D95" s="26" t="n"/>
      <c r="E95" s="71" t="n"/>
      <c r="F95" s="26" t="n"/>
    </row>
    <row r="96">
      <c r="B96" s="25" t="n"/>
      <c r="C96" s="26" t="n"/>
      <c r="D96" s="26" t="n"/>
      <c r="E96" s="71" t="n"/>
      <c r="F96" s="26" t="n"/>
    </row>
    <row r="97">
      <c r="B97" s="25" t="n"/>
      <c r="C97" s="26" t="n"/>
      <c r="D97" s="26" t="n"/>
      <c r="E97" s="71" t="n"/>
      <c r="F97" s="26" t="n"/>
    </row>
    <row r="98">
      <c r="B98" s="25" t="n"/>
      <c r="C98" s="26" t="n"/>
      <c r="D98" s="26" t="n"/>
      <c r="E98" s="71" t="n"/>
      <c r="F98" s="26" t="n"/>
    </row>
    <row r="99">
      <c r="B99" s="25" t="n"/>
      <c r="C99" s="26" t="n"/>
      <c r="D99" s="26" t="n"/>
      <c r="E99" s="71" t="n"/>
      <c r="F99" s="26" t="n"/>
    </row>
    <row r="100">
      <c r="B100" s="25" t="n"/>
      <c r="C100" s="26" t="n"/>
      <c r="D100" s="26" t="n"/>
      <c r="E100" s="71" t="n"/>
      <c r="F100" s="26" t="n"/>
    </row>
    <row r="101">
      <c r="B101" s="25" t="n"/>
      <c r="C101" s="26" t="n"/>
      <c r="D101" s="26" t="n"/>
      <c r="E101" s="71" t="n"/>
      <c r="F101" s="26" t="n"/>
    </row>
    <row r="102">
      <c r="B102" s="25" t="n"/>
      <c r="C102" s="26" t="n"/>
      <c r="D102" s="26" t="n"/>
      <c r="E102" s="71" t="n"/>
      <c r="F102" s="26" t="n"/>
    </row>
    <row r="103">
      <c r="B103" s="25" t="n"/>
      <c r="C103" s="26" t="n"/>
      <c r="D103" s="26" t="n"/>
      <c r="E103" s="71" t="n"/>
      <c r="F103" s="26" t="n"/>
    </row>
    <row r="104">
      <c r="B104" s="25" t="n"/>
      <c r="C104" s="26" t="n"/>
      <c r="D104" s="26" t="n"/>
      <c r="E104" s="71" t="n"/>
      <c r="F104" s="26" t="n"/>
    </row>
    <row r="105">
      <c r="B105" s="25" t="n"/>
      <c r="C105" s="26" t="n"/>
      <c r="D105" s="26" t="n"/>
      <c r="E105" s="71" t="n"/>
      <c r="F105" s="26" t="n"/>
    </row>
    <row r="106">
      <c r="B106" s="25" t="n"/>
      <c r="C106" s="26" t="n"/>
      <c r="D106" s="26" t="n"/>
      <c r="E106" s="71" t="n"/>
      <c r="F106" s="26" t="n"/>
    </row>
    <row r="107">
      <c r="B107" s="25" t="n"/>
      <c r="C107" s="26" t="n"/>
      <c r="D107" s="26" t="n"/>
      <c r="E107" s="71" t="n"/>
      <c r="F107" s="26" t="n"/>
    </row>
    <row r="108">
      <c r="B108" s="25" t="n"/>
      <c r="C108" s="26" t="n"/>
      <c r="D108" s="26" t="n"/>
      <c r="E108" s="71" t="n"/>
      <c r="F108" s="26" t="n"/>
    </row>
    <row r="109">
      <c r="B109" s="25" t="n"/>
      <c r="C109" s="26" t="n"/>
      <c r="D109" s="26" t="n"/>
      <c r="E109" s="71" t="n"/>
      <c r="F109" s="26" t="n"/>
    </row>
    <row r="110">
      <c r="B110" s="25" t="n"/>
      <c r="C110" s="26" t="n"/>
      <c r="D110" s="26" t="n"/>
      <c r="E110" s="71" t="n"/>
      <c r="F110" s="26" t="n"/>
    </row>
    <row r="111">
      <c r="B111" s="25" t="n"/>
      <c r="C111" s="26" t="n"/>
      <c r="D111" s="26" t="n"/>
      <c r="E111" s="71" t="n"/>
      <c r="F111" s="26" t="n"/>
    </row>
    <row r="112">
      <c r="B112" s="25" t="n"/>
      <c r="C112" s="26" t="n"/>
      <c r="D112" s="26" t="n"/>
      <c r="E112" s="71" t="n"/>
      <c r="F112" s="26" t="n"/>
    </row>
    <row r="113">
      <c r="B113" s="25" t="n"/>
      <c r="C113" s="26" t="n"/>
      <c r="D113" s="26" t="n"/>
      <c r="E113" s="71" t="n"/>
      <c r="F113" s="26" t="n"/>
    </row>
    <row r="114">
      <c r="B114" s="25" t="n"/>
      <c r="C114" s="26" t="n"/>
      <c r="D114" s="26" t="n"/>
      <c r="E114" s="71" t="n"/>
      <c r="F114" s="26" t="n"/>
    </row>
    <row r="115">
      <c r="B115" s="25" t="n"/>
      <c r="C115" s="26" t="n"/>
      <c r="D115" s="26" t="n"/>
      <c r="E115" s="71" t="n"/>
      <c r="F115" s="26" t="n"/>
    </row>
    <row r="116">
      <c r="B116" s="25" t="n"/>
      <c r="C116" s="26" t="n"/>
      <c r="D116" s="26" t="n"/>
      <c r="E116" s="71" t="n"/>
      <c r="F116" s="26" t="n"/>
    </row>
    <row r="117">
      <c r="B117" s="25" t="n"/>
      <c r="C117" s="26" t="n"/>
      <c r="D117" s="26" t="n"/>
      <c r="E117" s="71" t="n"/>
      <c r="F117" s="26" t="n"/>
    </row>
    <row r="118">
      <c r="B118" s="25" t="n"/>
      <c r="C118" s="26" t="n"/>
      <c r="D118" s="26" t="n"/>
      <c r="E118" s="71" t="n"/>
      <c r="F118" s="26" t="n"/>
    </row>
    <row r="119">
      <c r="B119" s="25" t="n"/>
      <c r="C119" s="26" t="n"/>
      <c r="D119" s="26" t="n"/>
      <c r="E119" s="71" t="n"/>
      <c r="F119" s="26" t="n"/>
    </row>
    <row r="120">
      <c r="B120" s="25" t="n"/>
      <c r="C120" s="26" t="n"/>
      <c r="D120" s="26" t="n"/>
      <c r="E120" s="71" t="n"/>
      <c r="F120" s="26" t="n"/>
    </row>
    <row r="121">
      <c r="B121" s="25" t="n"/>
      <c r="C121" s="26" t="n"/>
      <c r="D121" s="26" t="n"/>
      <c r="E121" s="71" t="n"/>
      <c r="F121" s="26" t="n"/>
    </row>
    <row r="122">
      <c r="B122" s="25" t="n"/>
      <c r="C122" s="26" t="n"/>
      <c r="D122" s="26" t="n"/>
      <c r="E122" s="71" t="n"/>
      <c r="F122" s="26" t="n"/>
    </row>
    <row r="123">
      <c r="B123" s="25" t="n"/>
      <c r="C123" s="26" t="n"/>
      <c r="D123" s="26" t="n"/>
      <c r="E123" s="71" t="n"/>
      <c r="F123" s="26" t="n"/>
    </row>
    <row r="124">
      <c r="B124" s="25" t="n"/>
      <c r="C124" s="26" t="n"/>
      <c r="D124" s="26" t="n"/>
      <c r="E124" s="71" t="n"/>
      <c r="F124" s="26" t="n"/>
    </row>
  </sheetData>
  <mergeCells count="4">
    <mergeCell ref="B4:J4"/>
    <mergeCell ref="B23:F23"/>
    <mergeCell ref="B2:J2"/>
    <mergeCell ref="G25:J27"/>
  </mergeCells>
  <conditionalFormatting sqref="I7:I19">
    <cfRule type="expression" priority="1" dxfId="8">
      <formula>G7&lt;=H7</formula>
    </cfRule>
    <cfRule type="expression" priority="2" dxfId="9">
      <formula>G7&gt;H7</formula>
    </cfRule>
  </conditionalFormatting>
  <dataValidations count="2">
    <dataValidation sqref="C25:C124" showDropDown="0" showInputMessage="0" showErrorMessage="1" allowBlank="1" error="Choisis dans la liste." type="list">
      <formula1>"Téquila,Shot,Bière,Whisky,Limonade,Jus d'orange,Cola,Boisson énergisante,BlackRider,Burning Wheel,Ghost Road,Iron Beer,Midnight Shot"</formula1>
    </dataValidation>
    <dataValidation sqref="D25:D124" showDropDown="0" showInputMessage="0" showErrorMessage="1" allowBlank="1" error="Choisis dans la liste." type="list">
      <formula1>"Perte / casse,Correction inventaire,Ajout"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Feuil9">
    <outlinePr summaryBelow="1" summaryRight="1"/>
    <pageSetUpPr/>
  </sheetPr>
  <dimension ref="A1:J509"/>
  <sheetViews>
    <sheetView showGridLines="0" workbookViewId="0">
      <pane xSplit="1" ySplit="7" topLeftCell="B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3" customWidth="1" min="2" max="2"/>
    <col width="22" customWidth="1" min="3" max="3"/>
    <col width="26" customWidth="1" min="4" max="4"/>
    <col width="16" customWidth="1" min="5" max="5"/>
    <col width="15" customWidth="1" min="6" max="6"/>
    <col width="15" customWidth="1" min="7" max="7"/>
    <col width="26" customWidth="1" min="8" max="8"/>
    <col width="3" customWidth="1" min="9" max="9"/>
    <col width="3" customWidth="1" min="10" max="10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</row>
    <row r="2" ht="40" customHeight="1">
      <c r="A2" s="1" t="n"/>
      <c r="B2" s="9" t="inlineStr">
        <is>
          <t>COFFRE — entrées / sorties d'argent</t>
        </is>
      </c>
      <c r="I2" s="2" t="n"/>
      <c r="J2" s="1" t="n"/>
    </row>
    <row r="3">
      <c r="A3" s="1" t="n"/>
      <c r="B3" s="2" t="n"/>
      <c r="C3" s="2" t="n"/>
      <c r="D3" s="2" t="n"/>
      <c r="E3" s="2" t="n"/>
      <c r="F3" s="2" t="n"/>
      <c r="G3" s="2" t="n"/>
      <c r="H3" s="10" t="inlineStr">
        <is>
          <t>⬅ Accueil</t>
        </is>
      </c>
      <c r="I3" s="2" t="n"/>
      <c r="J3" s="1" t="n"/>
    </row>
    <row r="4">
      <c r="A4" s="1" t="n"/>
      <c r="B4" s="11" t="inlineStr">
        <is>
          <t>Entrée = argent déposé, Sortie = dépense, Prime = prime versée à un employé. Montant toujours positif.</t>
        </is>
      </c>
      <c r="I4" s="2" t="n"/>
      <c r="J4" s="1" t="n"/>
    </row>
    <row r="5">
      <c r="A5" s="1" t="n"/>
      <c r="B5" s="2" t="n"/>
      <c r="C5" s="2" t="n"/>
      <c r="D5" s="2" t="n"/>
      <c r="E5" s="2" t="n"/>
      <c r="F5" s="2" t="n"/>
      <c r="G5" s="2" t="n"/>
      <c r="H5" s="2" t="n"/>
      <c r="I5" s="2" t="n"/>
      <c r="J5" s="1" t="n"/>
    </row>
    <row r="6">
      <c r="A6" s="1" t="n"/>
      <c r="B6" s="2" t="n"/>
      <c r="C6" s="2" t="n"/>
      <c r="D6" s="2" t="n"/>
      <c r="E6" s="2" t="n"/>
      <c r="F6" s="23" t="inlineStr">
        <is>
          <t>SOLDE DU COFFRE</t>
        </is>
      </c>
      <c r="G6" s="22">
        <f>SUM(G8:G507)</f>
        <v/>
      </c>
      <c r="H6" s="2" t="n"/>
      <c r="I6" s="2" t="n"/>
      <c r="J6" s="1" t="n"/>
    </row>
    <row r="7" ht="32" customHeight="1">
      <c r="A7" s="1" t="n"/>
      <c r="B7" s="23" t="inlineStr">
        <is>
          <t>Date</t>
        </is>
      </c>
      <c r="C7" s="23" t="inlineStr">
        <is>
          <t>Nom de l'employé</t>
        </is>
      </c>
      <c r="D7" s="23" t="inlineStr">
        <is>
          <t>Grade</t>
        </is>
      </c>
      <c r="E7" s="23" t="inlineStr">
        <is>
          <t>Entrée / Sortie</t>
        </is>
      </c>
      <c r="F7" s="23" t="inlineStr">
        <is>
          <t>Montant</t>
        </is>
      </c>
      <c r="G7" s="23" t="inlineStr">
        <is>
          <t>Mouvement</t>
        </is>
      </c>
      <c r="H7" s="23" t="inlineStr">
        <is>
          <t>Motif</t>
        </is>
      </c>
      <c r="I7" s="2" t="n"/>
      <c r="J7" s="1" t="n"/>
    </row>
    <row r="8">
      <c r="A8" s="1" t="n"/>
      <c r="B8" s="25" t="n"/>
      <c r="C8" s="26" t="n"/>
      <c r="D8" s="72">
        <f>IF(C8="","",IFERROR(INDEX(Effectif!$D$7:$D$21,MATCH(C8,Effectif!$C$7:$C$21,0)),""))</f>
        <v/>
      </c>
      <c r="E8" s="26" t="n"/>
      <c r="F8" s="73" t="n"/>
      <c r="G8" s="74">
        <f>IF(NOT(ISNUMBER(F8)),"",IF(E8="Entrée",F8,-F8))</f>
        <v/>
      </c>
      <c r="H8" s="26" t="n"/>
      <c r="I8" s="2" t="n"/>
      <c r="J8" s="1" t="n"/>
    </row>
    <row r="9">
      <c r="A9" s="1" t="n"/>
      <c r="B9" s="25" t="n"/>
      <c r="C9" s="26" t="n"/>
      <c r="D9" s="72">
        <f>IF(C9="","",IFERROR(INDEX(Effectif!$D$7:$D$21,MATCH(C9,Effectif!$C$7:$C$21,0)),""))</f>
        <v/>
      </c>
      <c r="E9" s="26" t="n"/>
      <c r="F9" s="73" t="n"/>
      <c r="G9" s="74">
        <f>IF(NOT(ISNUMBER(F9)),"",IF(E9="Entrée",F9,-F9))</f>
        <v/>
      </c>
      <c r="H9" s="26" t="n"/>
      <c r="I9" s="2" t="n"/>
      <c r="J9" s="1" t="n"/>
    </row>
    <row r="10">
      <c r="A10" s="1" t="n"/>
      <c r="B10" s="25" t="n"/>
      <c r="C10" s="26" t="n"/>
      <c r="D10" s="72">
        <f>IF(C10="","",IFERROR(INDEX(Effectif!$D$7:$D$21,MATCH(C10,Effectif!$C$7:$C$21,0)),""))</f>
        <v/>
      </c>
      <c r="E10" s="26" t="n"/>
      <c r="F10" s="73" t="n"/>
      <c r="G10" s="74">
        <f>IF(NOT(ISNUMBER(F10)),"",IF(E10="Entrée",F10,-F10))</f>
        <v/>
      </c>
      <c r="H10" s="26" t="n"/>
      <c r="I10" s="2" t="n"/>
      <c r="J10" s="1" t="n"/>
    </row>
    <row r="11">
      <c r="A11" s="1" t="n"/>
      <c r="B11" s="25" t="n"/>
      <c r="C11" s="26" t="n"/>
      <c r="D11" s="72">
        <f>IF(C11="","",IFERROR(INDEX(Effectif!$D$7:$D$21,MATCH(C11,Effectif!$C$7:$C$21,0)),""))</f>
        <v/>
      </c>
      <c r="E11" s="26" t="n"/>
      <c r="F11" s="73" t="n"/>
      <c r="G11" s="74">
        <f>IF(NOT(ISNUMBER(F11)),"",IF(E11="Entrée",F11,-F11))</f>
        <v/>
      </c>
      <c r="H11" s="26" t="n"/>
      <c r="I11" s="2" t="n"/>
      <c r="J11" s="1" t="n"/>
    </row>
    <row r="12">
      <c r="A12" s="1" t="n"/>
      <c r="B12" s="25" t="n"/>
      <c r="C12" s="26" t="n"/>
      <c r="D12" s="72">
        <f>IF(C12="","",IFERROR(INDEX(Effectif!$D$7:$D$21,MATCH(C12,Effectif!$C$7:$C$21,0)),""))</f>
        <v/>
      </c>
      <c r="E12" s="26" t="n"/>
      <c r="F12" s="73" t="n"/>
      <c r="G12" s="74">
        <f>IF(NOT(ISNUMBER(F12)),"",IF(E12="Entrée",F12,-F12))</f>
        <v/>
      </c>
      <c r="H12" s="26" t="n"/>
      <c r="I12" s="2" t="n"/>
      <c r="J12" s="1" t="n"/>
    </row>
    <row r="13">
      <c r="A13" s="1" t="n"/>
      <c r="B13" s="25" t="n"/>
      <c r="C13" s="26" t="n"/>
      <c r="D13" s="72">
        <f>IF(C13="","",IFERROR(INDEX(Effectif!$D$7:$D$21,MATCH(C13,Effectif!$C$7:$C$21,0)),""))</f>
        <v/>
      </c>
      <c r="E13" s="26" t="n"/>
      <c r="F13" s="73" t="n"/>
      <c r="G13" s="74">
        <f>IF(NOT(ISNUMBER(F13)),"",IF(E13="Entrée",F13,-F13))</f>
        <v/>
      </c>
      <c r="H13" s="26" t="n"/>
      <c r="I13" s="2" t="n"/>
      <c r="J13" s="1" t="n"/>
    </row>
    <row r="14">
      <c r="A14" s="1" t="n"/>
      <c r="B14" s="25" t="n"/>
      <c r="C14" s="26" t="n"/>
      <c r="D14" s="72">
        <f>IF(C14="","",IFERROR(INDEX(Effectif!$D$7:$D$21,MATCH(C14,Effectif!$C$7:$C$21,0)),""))</f>
        <v/>
      </c>
      <c r="E14" s="26" t="n"/>
      <c r="F14" s="73" t="n"/>
      <c r="G14" s="74">
        <f>IF(NOT(ISNUMBER(F14)),"",IF(E14="Entrée",F14,-F14))</f>
        <v/>
      </c>
      <c r="H14" s="26" t="n"/>
      <c r="I14" s="2" t="n"/>
      <c r="J14" s="1" t="n"/>
    </row>
    <row r="15">
      <c r="A15" s="1" t="n"/>
      <c r="B15" s="25" t="n"/>
      <c r="C15" s="26" t="n"/>
      <c r="D15" s="72">
        <f>IF(C15="","",IFERROR(INDEX(Effectif!$D$7:$D$21,MATCH(C15,Effectif!$C$7:$C$21,0)),""))</f>
        <v/>
      </c>
      <c r="E15" s="26" t="n"/>
      <c r="F15" s="73" t="n"/>
      <c r="G15" s="74">
        <f>IF(NOT(ISNUMBER(F15)),"",IF(E15="Entrée",F15,-F15))</f>
        <v/>
      </c>
      <c r="H15" s="26" t="n"/>
      <c r="I15" s="2" t="n"/>
      <c r="J15" s="1" t="n"/>
    </row>
    <row r="16">
      <c r="A16" s="1" t="n"/>
      <c r="B16" s="25" t="n"/>
      <c r="C16" s="26" t="n"/>
      <c r="D16" s="72">
        <f>IF(C16="","",IFERROR(INDEX(Effectif!$D$7:$D$21,MATCH(C16,Effectif!$C$7:$C$21,0)),""))</f>
        <v/>
      </c>
      <c r="E16" s="26" t="n"/>
      <c r="F16" s="73" t="n"/>
      <c r="G16" s="74">
        <f>IF(NOT(ISNUMBER(F16)),"",IF(E16="Entrée",F16,-F16))</f>
        <v/>
      </c>
      <c r="H16" s="26" t="n"/>
      <c r="I16" s="2" t="n"/>
      <c r="J16" s="1" t="n"/>
    </row>
    <row r="17">
      <c r="A17" s="1" t="n"/>
      <c r="B17" s="25" t="n"/>
      <c r="C17" s="26" t="n"/>
      <c r="D17" s="72">
        <f>IF(C17="","",IFERROR(INDEX(Effectif!$D$7:$D$21,MATCH(C17,Effectif!$C$7:$C$21,0)),""))</f>
        <v/>
      </c>
      <c r="E17" s="26" t="n"/>
      <c r="F17" s="73" t="n"/>
      <c r="G17" s="74">
        <f>IF(NOT(ISNUMBER(F17)),"",IF(E17="Entrée",F17,-F17))</f>
        <v/>
      </c>
      <c r="H17" s="26" t="n"/>
      <c r="I17" s="2" t="n"/>
      <c r="J17" s="1" t="n"/>
    </row>
    <row r="18">
      <c r="A18" s="1" t="n"/>
      <c r="B18" s="25" t="n"/>
      <c r="C18" s="26" t="n"/>
      <c r="D18" s="72">
        <f>IF(C18="","",IFERROR(INDEX(Effectif!$D$7:$D$21,MATCH(C18,Effectif!$C$7:$C$21,0)),""))</f>
        <v/>
      </c>
      <c r="E18" s="26" t="n"/>
      <c r="F18" s="73" t="n"/>
      <c r="G18" s="74">
        <f>IF(NOT(ISNUMBER(F18)),"",IF(E18="Entrée",F18,-F18))</f>
        <v/>
      </c>
      <c r="H18" s="26" t="n"/>
      <c r="I18" s="2" t="n"/>
      <c r="J18" s="1" t="n"/>
    </row>
    <row r="19">
      <c r="A19" s="1" t="n"/>
      <c r="B19" s="25" t="n"/>
      <c r="C19" s="26" t="n"/>
      <c r="D19" s="72">
        <f>IF(C19="","",IFERROR(INDEX(Effectif!$D$7:$D$21,MATCH(C19,Effectif!$C$7:$C$21,0)),""))</f>
        <v/>
      </c>
      <c r="E19" s="26" t="n"/>
      <c r="F19" s="73" t="n"/>
      <c r="G19" s="74">
        <f>IF(NOT(ISNUMBER(F19)),"",IF(E19="Entrée",F19,-F19))</f>
        <v/>
      </c>
      <c r="H19" s="26" t="n"/>
      <c r="I19" s="2" t="n"/>
      <c r="J19" s="1" t="n"/>
    </row>
    <row r="20">
      <c r="A20" s="1" t="n"/>
      <c r="B20" s="25" t="n"/>
      <c r="C20" s="26" t="n"/>
      <c r="D20" s="72">
        <f>IF(C20="","",IFERROR(INDEX(Effectif!$D$7:$D$21,MATCH(C20,Effectif!$C$7:$C$21,0)),""))</f>
        <v/>
      </c>
      <c r="E20" s="26" t="n"/>
      <c r="F20" s="73" t="n"/>
      <c r="G20" s="74">
        <f>IF(NOT(ISNUMBER(F20)),"",IF(E20="Entrée",F20,-F20))</f>
        <v/>
      </c>
      <c r="H20" s="26" t="n"/>
      <c r="I20" s="2" t="n"/>
      <c r="J20" s="1" t="n"/>
    </row>
    <row r="21">
      <c r="A21" s="1" t="n"/>
      <c r="B21" s="25" t="n"/>
      <c r="C21" s="26" t="n"/>
      <c r="D21" s="72">
        <f>IF(C21="","",IFERROR(INDEX(Effectif!$D$7:$D$21,MATCH(C21,Effectif!$C$7:$C$21,0)),""))</f>
        <v/>
      </c>
      <c r="E21" s="26" t="n"/>
      <c r="F21" s="73" t="n"/>
      <c r="G21" s="74">
        <f>IF(NOT(ISNUMBER(F21)),"",IF(E21="Entrée",F21,-F21))</f>
        <v/>
      </c>
      <c r="H21" s="26" t="n"/>
      <c r="I21" s="2" t="n"/>
      <c r="J21" s="1" t="n"/>
    </row>
    <row r="22">
      <c r="A22" s="1" t="n"/>
      <c r="B22" s="25" t="n"/>
      <c r="C22" s="26" t="n"/>
      <c r="D22" s="72">
        <f>IF(C22="","",IFERROR(INDEX(Effectif!$D$7:$D$21,MATCH(C22,Effectif!$C$7:$C$21,0)),""))</f>
        <v/>
      </c>
      <c r="E22" s="26" t="n"/>
      <c r="F22" s="73" t="n"/>
      <c r="G22" s="74">
        <f>IF(NOT(ISNUMBER(F22)),"",IF(E22="Entrée",F22,-F22))</f>
        <v/>
      </c>
      <c r="H22" s="26" t="n"/>
      <c r="I22" s="2" t="n"/>
      <c r="J22" s="1" t="n"/>
    </row>
    <row r="23">
      <c r="A23" s="1" t="n"/>
      <c r="B23" s="25" t="n"/>
      <c r="C23" s="26" t="n"/>
      <c r="D23" s="72">
        <f>IF(C23="","",IFERROR(INDEX(Effectif!$D$7:$D$21,MATCH(C23,Effectif!$C$7:$C$21,0)),""))</f>
        <v/>
      </c>
      <c r="E23" s="26" t="n"/>
      <c r="F23" s="73" t="n"/>
      <c r="G23" s="74">
        <f>IF(NOT(ISNUMBER(F23)),"",IF(E23="Entrée",F23,-F23))</f>
        <v/>
      </c>
      <c r="H23" s="26" t="n"/>
      <c r="I23" s="2" t="n"/>
      <c r="J23" s="1" t="n"/>
    </row>
    <row r="24">
      <c r="A24" s="1" t="n"/>
      <c r="B24" s="25" t="n"/>
      <c r="C24" s="26" t="n"/>
      <c r="D24" s="72">
        <f>IF(C24="","",IFERROR(INDEX(Effectif!$D$7:$D$21,MATCH(C24,Effectif!$C$7:$C$21,0)),""))</f>
        <v/>
      </c>
      <c r="E24" s="26" t="n"/>
      <c r="F24" s="73" t="n"/>
      <c r="G24" s="74">
        <f>IF(NOT(ISNUMBER(F24)),"",IF(E24="Entrée",F24,-F24))</f>
        <v/>
      </c>
      <c r="H24" s="26" t="n"/>
      <c r="I24" s="2" t="n"/>
      <c r="J24" s="1" t="n"/>
    </row>
    <row r="25">
      <c r="A25" s="1" t="n"/>
      <c r="B25" s="25" t="n"/>
      <c r="C25" s="26" t="n"/>
      <c r="D25" s="72">
        <f>IF(C25="","",IFERROR(INDEX(Effectif!$D$7:$D$21,MATCH(C25,Effectif!$C$7:$C$21,0)),""))</f>
        <v/>
      </c>
      <c r="E25" s="26" t="n"/>
      <c r="F25" s="73" t="n"/>
      <c r="G25" s="74">
        <f>IF(NOT(ISNUMBER(F25)),"",IF(E25="Entrée",F25,-F25))</f>
        <v/>
      </c>
      <c r="H25" s="26" t="n"/>
      <c r="I25" s="2" t="n"/>
      <c r="J25" s="1" t="n"/>
    </row>
    <row r="26">
      <c r="A26" s="1" t="n"/>
      <c r="B26" s="25" t="n"/>
      <c r="C26" s="26" t="n"/>
      <c r="D26" s="72">
        <f>IF(C26="","",IFERROR(INDEX(Effectif!$D$7:$D$21,MATCH(C26,Effectif!$C$7:$C$21,0)),""))</f>
        <v/>
      </c>
      <c r="E26" s="26" t="n"/>
      <c r="F26" s="73" t="n"/>
      <c r="G26" s="74">
        <f>IF(NOT(ISNUMBER(F26)),"",IF(E26="Entrée",F26,-F26))</f>
        <v/>
      </c>
      <c r="H26" s="26" t="n"/>
      <c r="I26" s="2" t="n"/>
      <c r="J26" s="1" t="n"/>
    </row>
    <row r="27">
      <c r="A27" s="1" t="n"/>
      <c r="B27" s="25" t="n"/>
      <c r="C27" s="26" t="n"/>
      <c r="D27" s="72">
        <f>IF(C27="","",IFERROR(INDEX(Effectif!$D$7:$D$21,MATCH(C27,Effectif!$C$7:$C$21,0)),""))</f>
        <v/>
      </c>
      <c r="E27" s="26" t="n"/>
      <c r="F27" s="73" t="n"/>
      <c r="G27" s="74">
        <f>IF(NOT(ISNUMBER(F27)),"",IF(E27="Entrée",F27,-F27))</f>
        <v/>
      </c>
      <c r="H27" s="26" t="n"/>
      <c r="I27" s="2" t="n"/>
      <c r="J27" s="1" t="n"/>
    </row>
    <row r="28">
      <c r="A28" s="1" t="n"/>
      <c r="B28" s="25" t="n"/>
      <c r="C28" s="26" t="n"/>
      <c r="D28" s="72">
        <f>IF(C28="","",IFERROR(INDEX(Effectif!$D$7:$D$21,MATCH(C28,Effectif!$C$7:$C$21,0)),""))</f>
        <v/>
      </c>
      <c r="E28" s="26" t="n"/>
      <c r="F28" s="73" t="n"/>
      <c r="G28" s="74">
        <f>IF(NOT(ISNUMBER(F28)),"",IF(E28="Entrée",F28,-F28))</f>
        <v/>
      </c>
      <c r="H28" s="26" t="n"/>
      <c r="I28" s="2" t="n"/>
      <c r="J28" s="1" t="n"/>
    </row>
    <row r="29">
      <c r="A29" s="1" t="n"/>
      <c r="B29" s="25" t="n"/>
      <c r="C29" s="26" t="n"/>
      <c r="D29" s="72">
        <f>IF(C29="","",IFERROR(INDEX(Effectif!$D$7:$D$21,MATCH(C29,Effectif!$C$7:$C$21,0)),""))</f>
        <v/>
      </c>
      <c r="E29" s="26" t="n"/>
      <c r="F29" s="73" t="n"/>
      <c r="G29" s="74">
        <f>IF(NOT(ISNUMBER(F29)),"",IF(E29="Entrée",F29,-F29))</f>
        <v/>
      </c>
      <c r="H29" s="26" t="n"/>
      <c r="I29" s="2" t="n"/>
      <c r="J29" s="1" t="n"/>
    </row>
    <row r="30">
      <c r="A30" s="1" t="n"/>
      <c r="B30" s="25" t="n"/>
      <c r="C30" s="26" t="n"/>
      <c r="D30" s="72">
        <f>IF(C30="","",IFERROR(INDEX(Effectif!$D$7:$D$21,MATCH(C30,Effectif!$C$7:$C$21,0)),""))</f>
        <v/>
      </c>
      <c r="E30" s="26" t="n"/>
      <c r="F30" s="73" t="n"/>
      <c r="G30" s="74">
        <f>IF(NOT(ISNUMBER(F30)),"",IF(E30="Entrée",F30,-F30))</f>
        <v/>
      </c>
      <c r="H30" s="26" t="n"/>
      <c r="I30" s="2" t="n"/>
      <c r="J30" s="1" t="n"/>
    </row>
    <row r="31">
      <c r="A31" s="1" t="n"/>
      <c r="B31" s="25" t="n"/>
      <c r="C31" s="26" t="n"/>
      <c r="D31" s="72">
        <f>IF(C31="","",IFERROR(INDEX(Effectif!$D$7:$D$21,MATCH(C31,Effectif!$C$7:$C$21,0)),""))</f>
        <v/>
      </c>
      <c r="E31" s="26" t="n"/>
      <c r="F31" s="73" t="n"/>
      <c r="G31" s="74">
        <f>IF(NOT(ISNUMBER(F31)),"",IF(E31="Entrée",F31,-F31))</f>
        <v/>
      </c>
      <c r="H31" s="26" t="n"/>
      <c r="I31" s="2" t="n"/>
      <c r="J31" s="1" t="n"/>
    </row>
    <row r="32">
      <c r="A32" s="1" t="n"/>
      <c r="B32" s="25" t="n"/>
      <c r="C32" s="26" t="n"/>
      <c r="D32" s="72">
        <f>IF(C32="","",IFERROR(INDEX(Effectif!$D$7:$D$21,MATCH(C32,Effectif!$C$7:$C$21,0)),""))</f>
        <v/>
      </c>
      <c r="E32" s="26" t="n"/>
      <c r="F32" s="73" t="n"/>
      <c r="G32" s="74">
        <f>IF(NOT(ISNUMBER(F32)),"",IF(E32="Entrée",F32,-F32))</f>
        <v/>
      </c>
      <c r="H32" s="26" t="n"/>
      <c r="I32" s="2" t="n"/>
      <c r="J32" s="1" t="n"/>
    </row>
    <row r="33">
      <c r="A33" s="1" t="n"/>
      <c r="B33" s="25" t="n"/>
      <c r="C33" s="26" t="n"/>
      <c r="D33" s="72">
        <f>IF(C33="","",IFERROR(INDEX(Effectif!$D$7:$D$21,MATCH(C33,Effectif!$C$7:$C$21,0)),""))</f>
        <v/>
      </c>
      <c r="E33" s="26" t="n"/>
      <c r="F33" s="73" t="n"/>
      <c r="G33" s="74">
        <f>IF(NOT(ISNUMBER(F33)),"",IF(E33="Entrée",F33,-F33))</f>
        <v/>
      </c>
      <c r="H33" s="26" t="n"/>
      <c r="I33" s="2" t="n"/>
      <c r="J33" s="1" t="n"/>
    </row>
    <row r="34">
      <c r="A34" s="1" t="n"/>
      <c r="B34" s="25" t="n"/>
      <c r="C34" s="26" t="n"/>
      <c r="D34" s="72">
        <f>IF(C34="","",IFERROR(INDEX(Effectif!$D$7:$D$21,MATCH(C34,Effectif!$C$7:$C$21,0)),""))</f>
        <v/>
      </c>
      <c r="E34" s="26" t="n"/>
      <c r="F34" s="73" t="n"/>
      <c r="G34" s="74">
        <f>IF(NOT(ISNUMBER(F34)),"",IF(E34="Entrée",F34,-F34))</f>
        <v/>
      </c>
      <c r="H34" s="26" t="n"/>
      <c r="I34" s="2" t="n"/>
      <c r="J34" s="1" t="n"/>
    </row>
    <row r="35">
      <c r="A35" s="1" t="n"/>
      <c r="B35" s="25" t="n"/>
      <c r="C35" s="26" t="n"/>
      <c r="D35" s="72">
        <f>IF(C35="","",IFERROR(INDEX(Effectif!$D$7:$D$21,MATCH(C35,Effectif!$C$7:$C$21,0)),""))</f>
        <v/>
      </c>
      <c r="E35" s="26" t="n"/>
      <c r="F35" s="73" t="n"/>
      <c r="G35" s="74">
        <f>IF(NOT(ISNUMBER(F35)),"",IF(E35="Entrée",F35,-F35))</f>
        <v/>
      </c>
      <c r="H35" s="26" t="n"/>
      <c r="I35" s="2" t="n"/>
      <c r="J35" s="1" t="n"/>
    </row>
    <row r="36">
      <c r="A36" s="1" t="n"/>
      <c r="B36" s="25" t="n"/>
      <c r="C36" s="26" t="n"/>
      <c r="D36" s="72">
        <f>IF(C36="","",IFERROR(INDEX(Effectif!$D$7:$D$21,MATCH(C36,Effectif!$C$7:$C$21,0)),""))</f>
        <v/>
      </c>
      <c r="E36" s="26" t="n"/>
      <c r="F36" s="73" t="n"/>
      <c r="G36" s="74">
        <f>IF(NOT(ISNUMBER(F36)),"",IF(E36="Entrée",F36,-F36))</f>
        <v/>
      </c>
      <c r="H36" s="26" t="n"/>
      <c r="I36" s="2" t="n"/>
      <c r="J36" s="1" t="n"/>
    </row>
    <row r="37">
      <c r="A37" s="1" t="n"/>
      <c r="B37" s="25" t="n"/>
      <c r="C37" s="26" t="n"/>
      <c r="D37" s="72">
        <f>IF(C37="","",IFERROR(INDEX(Effectif!$D$7:$D$21,MATCH(C37,Effectif!$C$7:$C$21,0)),""))</f>
        <v/>
      </c>
      <c r="E37" s="26" t="n"/>
      <c r="F37" s="73" t="n"/>
      <c r="G37" s="74">
        <f>IF(NOT(ISNUMBER(F37)),"",IF(E37="Entrée",F37,-F37))</f>
        <v/>
      </c>
      <c r="H37" s="26" t="n"/>
      <c r="I37" s="2" t="n"/>
      <c r="J37" s="1" t="n"/>
    </row>
    <row r="38">
      <c r="A38" s="1" t="n"/>
      <c r="B38" s="25" t="n"/>
      <c r="C38" s="26" t="n"/>
      <c r="D38" s="72">
        <f>IF(C38="","",IFERROR(INDEX(Effectif!$D$7:$D$21,MATCH(C38,Effectif!$C$7:$C$21,0)),""))</f>
        <v/>
      </c>
      <c r="E38" s="26" t="n"/>
      <c r="F38" s="73" t="n"/>
      <c r="G38" s="74">
        <f>IF(NOT(ISNUMBER(F38)),"",IF(E38="Entrée",F38,-F38))</f>
        <v/>
      </c>
      <c r="H38" s="26" t="n"/>
      <c r="I38" s="2" t="n"/>
      <c r="J38" s="1" t="n"/>
    </row>
    <row r="39">
      <c r="A39" s="1" t="n"/>
      <c r="B39" s="25" t="n"/>
      <c r="C39" s="26" t="n"/>
      <c r="D39" s="72">
        <f>IF(C39="","",IFERROR(INDEX(Effectif!$D$7:$D$21,MATCH(C39,Effectif!$C$7:$C$21,0)),""))</f>
        <v/>
      </c>
      <c r="E39" s="26" t="n"/>
      <c r="F39" s="73" t="n"/>
      <c r="G39" s="74">
        <f>IF(NOT(ISNUMBER(F39)),"",IF(E39="Entrée",F39,-F39))</f>
        <v/>
      </c>
      <c r="H39" s="26" t="n"/>
      <c r="I39" s="2" t="n"/>
      <c r="J39" s="1" t="n"/>
    </row>
    <row r="40">
      <c r="A40" s="1" t="n"/>
      <c r="B40" s="25" t="n"/>
      <c r="C40" s="26" t="n"/>
      <c r="D40" s="72">
        <f>IF(C40="","",IFERROR(INDEX(Effectif!$D$7:$D$21,MATCH(C40,Effectif!$C$7:$C$21,0)),""))</f>
        <v/>
      </c>
      <c r="E40" s="26" t="n"/>
      <c r="F40" s="73" t="n"/>
      <c r="G40" s="74">
        <f>IF(NOT(ISNUMBER(F40)),"",IF(E40="Entrée",F40,-F40))</f>
        <v/>
      </c>
      <c r="H40" s="26" t="n"/>
      <c r="I40" s="2" t="n"/>
      <c r="J40" s="1" t="n"/>
    </row>
    <row r="41">
      <c r="A41" s="1" t="n"/>
      <c r="B41" s="25" t="n"/>
      <c r="C41" s="26" t="n"/>
      <c r="D41" s="72">
        <f>IF(C41="","",IFERROR(INDEX(Effectif!$D$7:$D$21,MATCH(C41,Effectif!$C$7:$C$21,0)),""))</f>
        <v/>
      </c>
      <c r="E41" s="26" t="n"/>
      <c r="F41" s="73" t="n"/>
      <c r="G41" s="74">
        <f>IF(NOT(ISNUMBER(F41)),"",IF(E41="Entrée",F41,-F41))</f>
        <v/>
      </c>
      <c r="H41" s="26" t="n"/>
      <c r="I41" s="2" t="n"/>
      <c r="J41" s="1" t="n"/>
    </row>
    <row r="42">
      <c r="A42" s="1" t="n"/>
      <c r="B42" s="25" t="n"/>
      <c r="C42" s="26" t="n"/>
      <c r="D42" s="72">
        <f>IF(C42="","",IFERROR(INDEX(Effectif!$D$7:$D$21,MATCH(C42,Effectif!$C$7:$C$21,0)),""))</f>
        <v/>
      </c>
      <c r="E42" s="26" t="n"/>
      <c r="F42" s="73" t="n"/>
      <c r="G42" s="74">
        <f>IF(NOT(ISNUMBER(F42)),"",IF(E42="Entrée",F42,-F42))</f>
        <v/>
      </c>
      <c r="H42" s="26" t="n"/>
      <c r="I42" s="2" t="n"/>
      <c r="J42" s="1" t="n"/>
    </row>
    <row r="43">
      <c r="A43" s="1" t="n"/>
      <c r="B43" s="25" t="n"/>
      <c r="C43" s="26" t="n"/>
      <c r="D43" s="72">
        <f>IF(C43="","",IFERROR(INDEX(Effectif!$D$7:$D$21,MATCH(C43,Effectif!$C$7:$C$21,0)),""))</f>
        <v/>
      </c>
      <c r="E43" s="26" t="n"/>
      <c r="F43" s="73" t="n"/>
      <c r="G43" s="74">
        <f>IF(NOT(ISNUMBER(F43)),"",IF(E43="Entrée",F43,-F43))</f>
        <v/>
      </c>
      <c r="H43" s="26" t="n"/>
      <c r="I43" s="2" t="n"/>
      <c r="J43" s="1" t="n"/>
    </row>
    <row r="44">
      <c r="A44" s="1" t="n"/>
      <c r="B44" s="25" t="n"/>
      <c r="C44" s="26" t="n"/>
      <c r="D44" s="72">
        <f>IF(C44="","",IFERROR(INDEX(Effectif!$D$7:$D$21,MATCH(C44,Effectif!$C$7:$C$21,0)),""))</f>
        <v/>
      </c>
      <c r="E44" s="26" t="n"/>
      <c r="F44" s="73" t="n"/>
      <c r="G44" s="74">
        <f>IF(NOT(ISNUMBER(F44)),"",IF(E44="Entrée",F44,-F44))</f>
        <v/>
      </c>
      <c r="H44" s="26" t="n"/>
      <c r="I44" s="2" t="n"/>
      <c r="J44" s="1" t="n"/>
    </row>
    <row r="45">
      <c r="A45" s="1" t="n"/>
      <c r="B45" s="25" t="n"/>
      <c r="C45" s="26" t="n"/>
      <c r="D45" s="72">
        <f>IF(C45="","",IFERROR(INDEX(Effectif!$D$7:$D$21,MATCH(C45,Effectif!$C$7:$C$21,0)),""))</f>
        <v/>
      </c>
      <c r="E45" s="26" t="n"/>
      <c r="F45" s="73" t="n"/>
      <c r="G45" s="74">
        <f>IF(NOT(ISNUMBER(F45)),"",IF(E45="Entrée",F45,-F45))</f>
        <v/>
      </c>
      <c r="H45" s="26" t="n"/>
      <c r="I45" s="2" t="n"/>
      <c r="J45" s="1" t="n"/>
    </row>
    <row r="46">
      <c r="A46" s="1" t="n"/>
      <c r="B46" s="25" t="n"/>
      <c r="C46" s="26" t="n"/>
      <c r="D46" s="72">
        <f>IF(C46="","",IFERROR(INDEX(Effectif!$D$7:$D$21,MATCH(C46,Effectif!$C$7:$C$21,0)),""))</f>
        <v/>
      </c>
      <c r="E46" s="26" t="n"/>
      <c r="F46" s="73" t="n"/>
      <c r="G46" s="74">
        <f>IF(NOT(ISNUMBER(F46)),"",IF(E46="Entrée",F46,-F46))</f>
        <v/>
      </c>
      <c r="H46" s="26" t="n"/>
      <c r="I46" s="2" t="n"/>
      <c r="J46" s="1" t="n"/>
    </row>
    <row r="47">
      <c r="A47" s="1" t="n"/>
      <c r="B47" s="25" t="n"/>
      <c r="C47" s="26" t="n"/>
      <c r="D47" s="72">
        <f>IF(C47="","",IFERROR(INDEX(Effectif!$D$7:$D$21,MATCH(C47,Effectif!$C$7:$C$21,0)),""))</f>
        <v/>
      </c>
      <c r="E47" s="26" t="n"/>
      <c r="F47" s="73" t="n"/>
      <c r="G47" s="74">
        <f>IF(NOT(ISNUMBER(F47)),"",IF(E47="Entrée",F47,-F47))</f>
        <v/>
      </c>
      <c r="H47" s="26" t="n"/>
      <c r="I47" s="2" t="n"/>
      <c r="J47" s="1" t="n"/>
    </row>
    <row r="48">
      <c r="A48" s="1" t="n"/>
      <c r="B48" s="25" t="n"/>
      <c r="C48" s="26" t="n"/>
      <c r="D48" s="72">
        <f>IF(C48="","",IFERROR(INDEX(Effectif!$D$7:$D$21,MATCH(C48,Effectif!$C$7:$C$21,0)),""))</f>
        <v/>
      </c>
      <c r="E48" s="26" t="n"/>
      <c r="F48" s="73" t="n"/>
      <c r="G48" s="74">
        <f>IF(NOT(ISNUMBER(F48)),"",IF(E48="Entrée",F48,-F48))</f>
        <v/>
      </c>
      <c r="H48" s="26" t="n"/>
      <c r="I48" s="2" t="n"/>
      <c r="J48" s="1" t="n"/>
    </row>
    <row r="49">
      <c r="A49" s="1" t="n"/>
      <c r="B49" s="25" t="n"/>
      <c r="C49" s="26" t="n"/>
      <c r="D49" s="72">
        <f>IF(C49="","",IFERROR(INDEX(Effectif!$D$7:$D$21,MATCH(C49,Effectif!$C$7:$C$21,0)),""))</f>
        <v/>
      </c>
      <c r="E49" s="26" t="n"/>
      <c r="F49" s="73" t="n"/>
      <c r="G49" s="74">
        <f>IF(NOT(ISNUMBER(F49)),"",IF(E49="Entrée",F49,-F49))</f>
        <v/>
      </c>
      <c r="H49" s="26" t="n"/>
      <c r="I49" s="2" t="n"/>
      <c r="J49" s="1" t="n"/>
    </row>
    <row r="50">
      <c r="A50" s="1" t="n"/>
      <c r="B50" s="25" t="n"/>
      <c r="C50" s="26" t="n"/>
      <c r="D50" s="72">
        <f>IF(C50="","",IFERROR(INDEX(Effectif!$D$7:$D$21,MATCH(C50,Effectif!$C$7:$C$21,0)),""))</f>
        <v/>
      </c>
      <c r="E50" s="26" t="n"/>
      <c r="F50" s="73" t="n"/>
      <c r="G50" s="74">
        <f>IF(NOT(ISNUMBER(F50)),"",IF(E50="Entrée",F50,-F50))</f>
        <v/>
      </c>
      <c r="H50" s="26" t="n"/>
      <c r="I50" s="2" t="n"/>
      <c r="J50" s="1" t="n"/>
    </row>
    <row r="51">
      <c r="A51" s="1" t="n"/>
      <c r="B51" s="25" t="n"/>
      <c r="C51" s="26" t="n"/>
      <c r="D51" s="72">
        <f>IF(C51="","",IFERROR(INDEX(Effectif!$D$7:$D$21,MATCH(C51,Effectif!$C$7:$C$21,0)),""))</f>
        <v/>
      </c>
      <c r="E51" s="26" t="n"/>
      <c r="F51" s="73" t="n"/>
      <c r="G51" s="74">
        <f>IF(NOT(ISNUMBER(F51)),"",IF(E51="Entrée",F51,-F51))</f>
        <v/>
      </c>
      <c r="H51" s="26" t="n"/>
      <c r="I51" s="2" t="n"/>
      <c r="J51" s="1" t="n"/>
    </row>
    <row r="52">
      <c r="A52" s="1" t="n"/>
      <c r="B52" s="25" t="n"/>
      <c r="C52" s="26" t="n"/>
      <c r="D52" s="72">
        <f>IF(C52="","",IFERROR(INDEX(Effectif!$D$7:$D$21,MATCH(C52,Effectif!$C$7:$C$21,0)),""))</f>
        <v/>
      </c>
      <c r="E52" s="26" t="n"/>
      <c r="F52" s="73" t="n"/>
      <c r="G52" s="74">
        <f>IF(NOT(ISNUMBER(F52)),"",IF(E52="Entrée",F52,-F52))</f>
        <v/>
      </c>
      <c r="H52" s="26" t="n"/>
      <c r="I52" s="2" t="n"/>
      <c r="J52" s="1" t="n"/>
    </row>
    <row r="53">
      <c r="A53" s="1" t="n"/>
      <c r="B53" s="25" t="n"/>
      <c r="C53" s="26" t="n"/>
      <c r="D53" s="72">
        <f>IF(C53="","",IFERROR(INDEX(Effectif!$D$7:$D$21,MATCH(C53,Effectif!$C$7:$C$21,0)),""))</f>
        <v/>
      </c>
      <c r="E53" s="26" t="n"/>
      <c r="F53" s="73" t="n"/>
      <c r="G53" s="74">
        <f>IF(NOT(ISNUMBER(F53)),"",IF(E53="Entrée",F53,-F53))</f>
        <v/>
      </c>
      <c r="H53" s="26" t="n"/>
      <c r="I53" s="2" t="n"/>
      <c r="J53" s="1" t="n"/>
    </row>
    <row r="54">
      <c r="A54" s="1" t="n"/>
      <c r="B54" s="25" t="n"/>
      <c r="C54" s="26" t="n"/>
      <c r="D54" s="72">
        <f>IF(C54="","",IFERROR(INDEX(Effectif!$D$7:$D$21,MATCH(C54,Effectif!$C$7:$C$21,0)),""))</f>
        <v/>
      </c>
      <c r="E54" s="26" t="n"/>
      <c r="F54" s="73" t="n"/>
      <c r="G54" s="74">
        <f>IF(NOT(ISNUMBER(F54)),"",IF(E54="Entrée",F54,-F54))</f>
        <v/>
      </c>
      <c r="H54" s="26" t="n"/>
      <c r="I54" s="2" t="n"/>
      <c r="J54" s="1" t="n"/>
    </row>
    <row r="55">
      <c r="A55" s="1" t="n"/>
      <c r="B55" s="25" t="n"/>
      <c r="C55" s="26" t="n"/>
      <c r="D55" s="72">
        <f>IF(C55="","",IFERROR(INDEX(Effectif!$D$7:$D$21,MATCH(C55,Effectif!$C$7:$C$21,0)),""))</f>
        <v/>
      </c>
      <c r="E55" s="26" t="n"/>
      <c r="F55" s="73" t="n"/>
      <c r="G55" s="74">
        <f>IF(NOT(ISNUMBER(F55)),"",IF(E55="Entrée",F55,-F55))</f>
        <v/>
      </c>
      <c r="H55" s="26" t="n"/>
      <c r="I55" s="2" t="n"/>
      <c r="J55" s="1" t="n"/>
    </row>
    <row r="56">
      <c r="A56" s="1" t="n"/>
      <c r="B56" s="25" t="n"/>
      <c r="C56" s="26" t="n"/>
      <c r="D56" s="72">
        <f>IF(C56="","",IFERROR(INDEX(Effectif!$D$7:$D$21,MATCH(C56,Effectif!$C$7:$C$21,0)),""))</f>
        <v/>
      </c>
      <c r="E56" s="26" t="n"/>
      <c r="F56" s="73" t="n"/>
      <c r="G56" s="74">
        <f>IF(NOT(ISNUMBER(F56)),"",IF(E56="Entrée",F56,-F56))</f>
        <v/>
      </c>
      <c r="H56" s="26" t="n"/>
      <c r="I56" s="2" t="n"/>
      <c r="J56" s="1" t="n"/>
    </row>
    <row r="57">
      <c r="A57" s="1" t="n"/>
      <c r="B57" s="25" t="n"/>
      <c r="C57" s="26" t="n"/>
      <c r="D57" s="72">
        <f>IF(C57="","",IFERROR(INDEX(Effectif!$D$7:$D$21,MATCH(C57,Effectif!$C$7:$C$21,0)),""))</f>
        <v/>
      </c>
      <c r="E57" s="26" t="n"/>
      <c r="F57" s="73" t="n"/>
      <c r="G57" s="74">
        <f>IF(NOT(ISNUMBER(F57)),"",IF(E57="Entrée",F57,-F57))</f>
        <v/>
      </c>
      <c r="H57" s="26" t="n"/>
      <c r="I57" s="2" t="n"/>
      <c r="J57" s="1" t="n"/>
    </row>
    <row r="58">
      <c r="A58" s="1" t="n"/>
      <c r="B58" s="25" t="n"/>
      <c r="C58" s="26" t="n"/>
      <c r="D58" s="72">
        <f>IF(C58="","",IFERROR(INDEX(Effectif!$D$7:$D$21,MATCH(C58,Effectif!$C$7:$C$21,0)),""))</f>
        <v/>
      </c>
      <c r="E58" s="26" t="n"/>
      <c r="F58" s="73" t="n"/>
      <c r="G58" s="74">
        <f>IF(NOT(ISNUMBER(F58)),"",IF(E58="Entrée",F58,-F58))</f>
        <v/>
      </c>
      <c r="H58" s="26" t="n"/>
      <c r="I58" s="2" t="n"/>
      <c r="J58" s="1" t="n"/>
    </row>
    <row r="59">
      <c r="A59" s="1" t="n"/>
      <c r="B59" s="25" t="n"/>
      <c r="C59" s="26" t="n"/>
      <c r="D59" s="72">
        <f>IF(C59="","",IFERROR(INDEX(Effectif!$D$7:$D$21,MATCH(C59,Effectif!$C$7:$C$21,0)),""))</f>
        <v/>
      </c>
      <c r="E59" s="26" t="n"/>
      <c r="F59" s="73" t="n"/>
      <c r="G59" s="74">
        <f>IF(NOT(ISNUMBER(F59)),"",IF(E59="Entrée",F59,-F59))</f>
        <v/>
      </c>
      <c r="H59" s="26" t="n"/>
      <c r="I59" s="2" t="n"/>
      <c r="J59" s="1" t="n"/>
    </row>
    <row r="60">
      <c r="A60" s="1" t="n"/>
      <c r="B60" s="25" t="n"/>
      <c r="C60" s="26" t="n"/>
      <c r="D60" s="72">
        <f>IF(C60="","",IFERROR(INDEX(Effectif!$D$7:$D$21,MATCH(C60,Effectif!$C$7:$C$21,0)),""))</f>
        <v/>
      </c>
      <c r="E60" s="26" t="n"/>
      <c r="F60" s="73" t="n"/>
      <c r="G60" s="74">
        <f>IF(NOT(ISNUMBER(F60)),"",IF(E60="Entrée",F60,-F60))</f>
        <v/>
      </c>
      <c r="H60" s="26" t="n"/>
      <c r="I60" s="2" t="n"/>
      <c r="J60" s="1" t="n"/>
    </row>
    <row r="61">
      <c r="A61" s="1" t="n"/>
      <c r="B61" s="25" t="n"/>
      <c r="C61" s="26" t="n"/>
      <c r="D61" s="72">
        <f>IF(C61="","",IFERROR(INDEX(Effectif!$D$7:$D$21,MATCH(C61,Effectif!$C$7:$C$21,0)),""))</f>
        <v/>
      </c>
      <c r="E61" s="26" t="n"/>
      <c r="F61" s="73" t="n"/>
      <c r="G61" s="74">
        <f>IF(NOT(ISNUMBER(F61)),"",IF(E61="Entrée",F61,-F61))</f>
        <v/>
      </c>
      <c r="H61" s="26" t="n"/>
      <c r="I61" s="2" t="n"/>
      <c r="J61" s="1" t="n"/>
    </row>
    <row r="62">
      <c r="A62" s="1" t="n"/>
      <c r="B62" s="25" t="n"/>
      <c r="C62" s="26" t="n"/>
      <c r="D62" s="72">
        <f>IF(C62="","",IFERROR(INDEX(Effectif!$D$7:$D$21,MATCH(C62,Effectif!$C$7:$C$21,0)),""))</f>
        <v/>
      </c>
      <c r="E62" s="26" t="n"/>
      <c r="F62" s="73" t="n"/>
      <c r="G62" s="74">
        <f>IF(NOT(ISNUMBER(F62)),"",IF(E62="Entrée",F62,-F62))</f>
        <v/>
      </c>
      <c r="H62" s="26" t="n"/>
      <c r="I62" s="2" t="n"/>
      <c r="J62" s="1" t="n"/>
    </row>
    <row r="63">
      <c r="A63" s="1" t="n"/>
      <c r="B63" s="25" t="n"/>
      <c r="C63" s="26" t="n"/>
      <c r="D63" s="72">
        <f>IF(C63="","",IFERROR(INDEX(Effectif!$D$7:$D$21,MATCH(C63,Effectif!$C$7:$C$21,0)),""))</f>
        <v/>
      </c>
      <c r="E63" s="26" t="n"/>
      <c r="F63" s="73" t="n"/>
      <c r="G63" s="74">
        <f>IF(NOT(ISNUMBER(F63)),"",IF(E63="Entrée",F63,-F63))</f>
        <v/>
      </c>
      <c r="H63" s="26" t="n"/>
      <c r="I63" s="2" t="n"/>
      <c r="J63" s="1" t="n"/>
    </row>
    <row r="64">
      <c r="A64" s="1" t="n"/>
      <c r="B64" s="25" t="n"/>
      <c r="C64" s="26" t="n"/>
      <c r="D64" s="72">
        <f>IF(C64="","",IFERROR(INDEX(Effectif!$D$7:$D$21,MATCH(C64,Effectif!$C$7:$C$21,0)),""))</f>
        <v/>
      </c>
      <c r="E64" s="26" t="n"/>
      <c r="F64" s="73" t="n"/>
      <c r="G64" s="74">
        <f>IF(NOT(ISNUMBER(F64)),"",IF(E64="Entrée",F64,-F64))</f>
        <v/>
      </c>
      <c r="H64" s="26" t="n"/>
      <c r="I64" s="2" t="n"/>
      <c r="J64" s="1" t="n"/>
    </row>
    <row r="65">
      <c r="A65" s="1" t="n"/>
      <c r="B65" s="25" t="n"/>
      <c r="C65" s="26" t="n"/>
      <c r="D65" s="72">
        <f>IF(C65="","",IFERROR(INDEX(Effectif!$D$7:$D$21,MATCH(C65,Effectif!$C$7:$C$21,0)),""))</f>
        <v/>
      </c>
      <c r="E65" s="26" t="n"/>
      <c r="F65" s="73" t="n"/>
      <c r="G65" s="74">
        <f>IF(NOT(ISNUMBER(F65)),"",IF(E65="Entrée",F65,-F65))</f>
        <v/>
      </c>
      <c r="H65" s="26" t="n"/>
      <c r="I65" s="2" t="n"/>
      <c r="J65" s="1" t="n"/>
    </row>
    <row r="66">
      <c r="A66" s="1" t="n"/>
      <c r="B66" s="25" t="n"/>
      <c r="C66" s="26" t="n"/>
      <c r="D66" s="72">
        <f>IF(C66="","",IFERROR(INDEX(Effectif!$D$7:$D$21,MATCH(C66,Effectif!$C$7:$C$21,0)),""))</f>
        <v/>
      </c>
      <c r="E66" s="26" t="n"/>
      <c r="F66" s="73" t="n"/>
      <c r="G66" s="74">
        <f>IF(NOT(ISNUMBER(F66)),"",IF(E66="Entrée",F66,-F66))</f>
        <v/>
      </c>
      <c r="H66" s="26" t="n"/>
      <c r="I66" s="2" t="n"/>
      <c r="J66" s="1" t="n"/>
    </row>
    <row r="67">
      <c r="A67" s="1" t="n"/>
      <c r="B67" s="25" t="n"/>
      <c r="C67" s="26" t="n"/>
      <c r="D67" s="72">
        <f>IF(C67="","",IFERROR(INDEX(Effectif!$D$7:$D$21,MATCH(C67,Effectif!$C$7:$C$21,0)),""))</f>
        <v/>
      </c>
      <c r="E67" s="26" t="n"/>
      <c r="F67" s="73" t="n"/>
      <c r="G67" s="74">
        <f>IF(NOT(ISNUMBER(F67)),"",IF(E67="Entrée",F67,-F67))</f>
        <v/>
      </c>
      <c r="H67" s="26" t="n"/>
      <c r="I67" s="2" t="n"/>
      <c r="J67" s="1" t="n"/>
    </row>
    <row r="68">
      <c r="A68" s="1" t="n"/>
      <c r="B68" s="25" t="n"/>
      <c r="C68" s="26" t="n"/>
      <c r="D68" s="72">
        <f>IF(C68="","",IFERROR(INDEX(Effectif!$D$7:$D$21,MATCH(C68,Effectif!$C$7:$C$21,0)),""))</f>
        <v/>
      </c>
      <c r="E68" s="26" t="n"/>
      <c r="F68" s="73" t="n"/>
      <c r="G68" s="74">
        <f>IF(NOT(ISNUMBER(F68)),"",IF(E68="Entrée",F68,-F68))</f>
        <v/>
      </c>
      <c r="H68" s="26" t="n"/>
      <c r="I68" s="2" t="n"/>
      <c r="J68" s="1" t="n"/>
    </row>
    <row r="69">
      <c r="A69" s="1" t="n"/>
      <c r="B69" s="25" t="n"/>
      <c r="C69" s="26" t="n"/>
      <c r="D69" s="72">
        <f>IF(C69="","",IFERROR(INDEX(Effectif!$D$7:$D$21,MATCH(C69,Effectif!$C$7:$C$21,0)),""))</f>
        <v/>
      </c>
      <c r="E69" s="26" t="n"/>
      <c r="F69" s="73" t="n"/>
      <c r="G69" s="74">
        <f>IF(NOT(ISNUMBER(F69)),"",IF(E69="Entrée",F69,-F69))</f>
        <v/>
      </c>
      <c r="H69" s="26" t="n"/>
      <c r="I69" s="2" t="n"/>
      <c r="J69" s="1" t="n"/>
    </row>
    <row r="70">
      <c r="A70" s="1" t="n"/>
      <c r="B70" s="25" t="n"/>
      <c r="C70" s="26" t="n"/>
      <c r="D70" s="72">
        <f>IF(C70="","",IFERROR(INDEX(Effectif!$D$7:$D$21,MATCH(C70,Effectif!$C$7:$C$21,0)),""))</f>
        <v/>
      </c>
      <c r="E70" s="26" t="n"/>
      <c r="F70" s="73" t="n"/>
      <c r="G70" s="74">
        <f>IF(NOT(ISNUMBER(F70)),"",IF(E70="Entrée",F70,-F70))</f>
        <v/>
      </c>
      <c r="H70" s="26" t="n"/>
      <c r="I70" s="2" t="n"/>
      <c r="J70" s="1" t="n"/>
    </row>
    <row r="71">
      <c r="A71" s="1" t="n"/>
      <c r="B71" s="25" t="n"/>
      <c r="C71" s="26" t="n"/>
      <c r="D71" s="72">
        <f>IF(C71="","",IFERROR(INDEX(Effectif!$D$7:$D$21,MATCH(C71,Effectif!$C$7:$C$21,0)),""))</f>
        <v/>
      </c>
      <c r="E71" s="26" t="n"/>
      <c r="F71" s="73" t="n"/>
      <c r="G71" s="74">
        <f>IF(NOT(ISNUMBER(F71)),"",IF(E71="Entrée",F71,-F71))</f>
        <v/>
      </c>
      <c r="H71" s="26" t="n"/>
      <c r="I71" s="2" t="n"/>
      <c r="J71" s="1" t="n"/>
    </row>
    <row r="72">
      <c r="A72" s="1" t="n"/>
      <c r="B72" s="25" t="n"/>
      <c r="C72" s="26" t="n"/>
      <c r="D72" s="72">
        <f>IF(C72="","",IFERROR(INDEX(Effectif!$D$7:$D$21,MATCH(C72,Effectif!$C$7:$C$21,0)),""))</f>
        <v/>
      </c>
      <c r="E72" s="26" t="n"/>
      <c r="F72" s="73" t="n"/>
      <c r="G72" s="74">
        <f>IF(NOT(ISNUMBER(F72)),"",IF(E72="Entrée",F72,-F72))</f>
        <v/>
      </c>
      <c r="H72" s="26" t="n"/>
      <c r="I72" s="2" t="n"/>
      <c r="J72" s="1" t="n"/>
    </row>
    <row r="73">
      <c r="A73" s="1" t="n"/>
      <c r="B73" s="25" t="n"/>
      <c r="C73" s="26" t="n"/>
      <c r="D73" s="72">
        <f>IF(C73="","",IFERROR(INDEX(Effectif!$D$7:$D$21,MATCH(C73,Effectif!$C$7:$C$21,0)),""))</f>
        <v/>
      </c>
      <c r="E73" s="26" t="n"/>
      <c r="F73" s="73" t="n"/>
      <c r="G73" s="74">
        <f>IF(NOT(ISNUMBER(F73)),"",IF(E73="Entrée",F73,-F73))</f>
        <v/>
      </c>
      <c r="H73" s="26" t="n"/>
      <c r="I73" s="2" t="n"/>
      <c r="J73" s="1" t="n"/>
    </row>
    <row r="74">
      <c r="A74" s="1" t="n"/>
      <c r="B74" s="25" t="n"/>
      <c r="C74" s="26" t="n"/>
      <c r="D74" s="72">
        <f>IF(C74="","",IFERROR(INDEX(Effectif!$D$7:$D$21,MATCH(C74,Effectif!$C$7:$C$21,0)),""))</f>
        <v/>
      </c>
      <c r="E74" s="26" t="n"/>
      <c r="F74" s="73" t="n"/>
      <c r="G74" s="74">
        <f>IF(NOT(ISNUMBER(F74)),"",IF(E74="Entrée",F74,-F74))</f>
        <v/>
      </c>
      <c r="H74" s="26" t="n"/>
      <c r="I74" s="2" t="n"/>
      <c r="J74" s="1" t="n"/>
    </row>
    <row r="75">
      <c r="A75" s="1" t="n"/>
      <c r="B75" s="25" t="n"/>
      <c r="C75" s="26" t="n"/>
      <c r="D75" s="72">
        <f>IF(C75="","",IFERROR(INDEX(Effectif!$D$7:$D$21,MATCH(C75,Effectif!$C$7:$C$21,0)),""))</f>
        <v/>
      </c>
      <c r="E75" s="26" t="n"/>
      <c r="F75" s="73" t="n"/>
      <c r="G75" s="74">
        <f>IF(NOT(ISNUMBER(F75)),"",IF(E75="Entrée",F75,-F75))</f>
        <v/>
      </c>
      <c r="H75" s="26" t="n"/>
      <c r="I75" s="2" t="n"/>
      <c r="J75" s="1" t="n"/>
    </row>
    <row r="76">
      <c r="A76" s="1" t="n"/>
      <c r="B76" s="25" t="n"/>
      <c r="C76" s="26" t="n"/>
      <c r="D76" s="72">
        <f>IF(C76="","",IFERROR(INDEX(Effectif!$D$7:$D$21,MATCH(C76,Effectif!$C$7:$C$21,0)),""))</f>
        <v/>
      </c>
      <c r="E76" s="26" t="n"/>
      <c r="F76" s="73" t="n"/>
      <c r="G76" s="74">
        <f>IF(NOT(ISNUMBER(F76)),"",IF(E76="Entrée",F76,-F76))</f>
        <v/>
      </c>
      <c r="H76" s="26" t="n"/>
      <c r="I76" s="2" t="n"/>
      <c r="J76" s="1" t="n"/>
    </row>
    <row r="77">
      <c r="A77" s="1" t="n"/>
      <c r="B77" s="25" t="n"/>
      <c r="C77" s="26" t="n"/>
      <c r="D77" s="72">
        <f>IF(C77="","",IFERROR(INDEX(Effectif!$D$7:$D$21,MATCH(C77,Effectif!$C$7:$C$21,0)),""))</f>
        <v/>
      </c>
      <c r="E77" s="26" t="n"/>
      <c r="F77" s="73" t="n"/>
      <c r="G77" s="74">
        <f>IF(NOT(ISNUMBER(F77)),"",IF(E77="Entrée",F77,-F77))</f>
        <v/>
      </c>
      <c r="H77" s="26" t="n"/>
      <c r="I77" s="2" t="n"/>
      <c r="J77" s="1" t="n"/>
    </row>
    <row r="78">
      <c r="A78" s="1" t="n"/>
      <c r="B78" s="25" t="n"/>
      <c r="C78" s="26" t="n"/>
      <c r="D78" s="72">
        <f>IF(C78="","",IFERROR(INDEX(Effectif!$D$7:$D$21,MATCH(C78,Effectif!$C$7:$C$21,0)),""))</f>
        <v/>
      </c>
      <c r="E78" s="26" t="n"/>
      <c r="F78" s="73" t="n"/>
      <c r="G78" s="74">
        <f>IF(NOT(ISNUMBER(F78)),"",IF(E78="Entrée",F78,-F78))</f>
        <v/>
      </c>
      <c r="H78" s="26" t="n"/>
      <c r="I78" s="2" t="n"/>
      <c r="J78" s="1" t="n"/>
    </row>
    <row r="79">
      <c r="A79" s="1" t="n"/>
      <c r="B79" s="25" t="n"/>
      <c r="C79" s="26" t="n"/>
      <c r="D79" s="72">
        <f>IF(C79="","",IFERROR(INDEX(Effectif!$D$7:$D$21,MATCH(C79,Effectif!$C$7:$C$21,0)),""))</f>
        <v/>
      </c>
      <c r="E79" s="26" t="n"/>
      <c r="F79" s="73" t="n"/>
      <c r="G79" s="74">
        <f>IF(NOT(ISNUMBER(F79)),"",IF(E79="Entrée",F79,-F79))</f>
        <v/>
      </c>
      <c r="H79" s="26" t="n"/>
      <c r="I79" s="2" t="n"/>
      <c r="J79" s="1" t="n"/>
    </row>
    <row r="80">
      <c r="A80" s="1" t="n"/>
      <c r="B80" s="25" t="n"/>
      <c r="C80" s="26" t="n"/>
      <c r="D80" s="72">
        <f>IF(C80="","",IFERROR(INDEX(Effectif!$D$7:$D$21,MATCH(C80,Effectif!$C$7:$C$21,0)),""))</f>
        <v/>
      </c>
      <c r="E80" s="26" t="n"/>
      <c r="F80" s="73" t="n"/>
      <c r="G80" s="74">
        <f>IF(NOT(ISNUMBER(F80)),"",IF(E80="Entrée",F80,-F80))</f>
        <v/>
      </c>
      <c r="H80" s="26" t="n"/>
      <c r="I80" s="2" t="n"/>
      <c r="J80" s="1" t="n"/>
    </row>
    <row r="81">
      <c r="A81" s="1" t="n"/>
      <c r="B81" s="25" t="n"/>
      <c r="C81" s="26" t="n"/>
      <c r="D81" s="72">
        <f>IF(C81="","",IFERROR(INDEX(Effectif!$D$7:$D$21,MATCH(C81,Effectif!$C$7:$C$21,0)),""))</f>
        <v/>
      </c>
      <c r="E81" s="26" t="n"/>
      <c r="F81" s="73" t="n"/>
      <c r="G81" s="74">
        <f>IF(NOT(ISNUMBER(F81)),"",IF(E81="Entrée",F81,-F81))</f>
        <v/>
      </c>
      <c r="H81" s="26" t="n"/>
      <c r="I81" s="2" t="n"/>
      <c r="J81" s="1" t="n"/>
    </row>
    <row r="82">
      <c r="A82" s="1" t="n"/>
      <c r="B82" s="25" t="n"/>
      <c r="C82" s="26" t="n"/>
      <c r="D82" s="72">
        <f>IF(C82="","",IFERROR(INDEX(Effectif!$D$7:$D$21,MATCH(C82,Effectif!$C$7:$C$21,0)),""))</f>
        <v/>
      </c>
      <c r="E82" s="26" t="n"/>
      <c r="F82" s="73" t="n"/>
      <c r="G82" s="74">
        <f>IF(NOT(ISNUMBER(F82)),"",IF(E82="Entrée",F82,-F82))</f>
        <v/>
      </c>
      <c r="H82" s="26" t="n"/>
      <c r="I82" s="2" t="n"/>
      <c r="J82" s="1" t="n"/>
    </row>
    <row r="83">
      <c r="A83" s="1" t="n"/>
      <c r="B83" s="25" t="n"/>
      <c r="C83" s="26" t="n"/>
      <c r="D83" s="72">
        <f>IF(C83="","",IFERROR(INDEX(Effectif!$D$7:$D$21,MATCH(C83,Effectif!$C$7:$C$21,0)),""))</f>
        <v/>
      </c>
      <c r="E83" s="26" t="n"/>
      <c r="F83" s="73" t="n"/>
      <c r="G83" s="74">
        <f>IF(NOT(ISNUMBER(F83)),"",IF(E83="Entrée",F83,-F83))</f>
        <v/>
      </c>
      <c r="H83" s="26" t="n"/>
      <c r="I83" s="2" t="n"/>
      <c r="J83" s="1" t="n"/>
    </row>
    <row r="84">
      <c r="A84" s="1" t="n"/>
      <c r="B84" s="25" t="n"/>
      <c r="C84" s="26" t="n"/>
      <c r="D84" s="72">
        <f>IF(C84="","",IFERROR(INDEX(Effectif!$D$7:$D$21,MATCH(C84,Effectif!$C$7:$C$21,0)),""))</f>
        <v/>
      </c>
      <c r="E84" s="26" t="n"/>
      <c r="F84" s="73" t="n"/>
      <c r="G84" s="74">
        <f>IF(NOT(ISNUMBER(F84)),"",IF(E84="Entrée",F84,-F84))</f>
        <v/>
      </c>
      <c r="H84" s="26" t="n"/>
      <c r="I84" s="2" t="n"/>
      <c r="J84" s="1" t="n"/>
    </row>
    <row r="85">
      <c r="A85" s="1" t="n"/>
      <c r="B85" s="25" t="n"/>
      <c r="C85" s="26" t="n"/>
      <c r="D85" s="72">
        <f>IF(C85="","",IFERROR(INDEX(Effectif!$D$7:$D$21,MATCH(C85,Effectif!$C$7:$C$21,0)),""))</f>
        <v/>
      </c>
      <c r="E85" s="26" t="n"/>
      <c r="F85" s="73" t="n"/>
      <c r="G85" s="74">
        <f>IF(NOT(ISNUMBER(F85)),"",IF(E85="Entrée",F85,-F85))</f>
        <v/>
      </c>
      <c r="H85" s="26" t="n"/>
      <c r="I85" s="2" t="n"/>
      <c r="J85" s="1" t="n"/>
    </row>
    <row r="86">
      <c r="A86" s="1" t="n"/>
      <c r="B86" s="25" t="n"/>
      <c r="C86" s="26" t="n"/>
      <c r="D86" s="72">
        <f>IF(C86="","",IFERROR(INDEX(Effectif!$D$7:$D$21,MATCH(C86,Effectif!$C$7:$C$21,0)),""))</f>
        <v/>
      </c>
      <c r="E86" s="26" t="n"/>
      <c r="F86" s="73" t="n"/>
      <c r="G86" s="74">
        <f>IF(NOT(ISNUMBER(F86)),"",IF(E86="Entrée",F86,-F86))</f>
        <v/>
      </c>
      <c r="H86" s="26" t="n"/>
      <c r="I86" s="2" t="n"/>
      <c r="J86" s="1" t="n"/>
    </row>
    <row r="87">
      <c r="A87" s="1" t="n"/>
      <c r="B87" s="25" t="n"/>
      <c r="C87" s="26" t="n"/>
      <c r="D87" s="72">
        <f>IF(C87="","",IFERROR(INDEX(Effectif!$D$7:$D$21,MATCH(C87,Effectif!$C$7:$C$21,0)),""))</f>
        <v/>
      </c>
      <c r="E87" s="26" t="n"/>
      <c r="F87" s="73" t="n"/>
      <c r="G87" s="74">
        <f>IF(NOT(ISNUMBER(F87)),"",IF(E87="Entrée",F87,-F87))</f>
        <v/>
      </c>
      <c r="H87" s="26" t="n"/>
      <c r="I87" s="2" t="n"/>
      <c r="J87" s="1" t="n"/>
    </row>
    <row r="88">
      <c r="A88" s="1" t="n"/>
      <c r="B88" s="25" t="n"/>
      <c r="C88" s="26" t="n"/>
      <c r="D88" s="72">
        <f>IF(C88="","",IFERROR(INDEX(Effectif!$D$7:$D$21,MATCH(C88,Effectif!$C$7:$C$21,0)),""))</f>
        <v/>
      </c>
      <c r="E88" s="26" t="n"/>
      <c r="F88" s="73" t="n"/>
      <c r="G88" s="74">
        <f>IF(NOT(ISNUMBER(F88)),"",IF(E88="Entrée",F88,-F88))</f>
        <v/>
      </c>
      <c r="H88" s="26" t="n"/>
      <c r="I88" s="2" t="n"/>
      <c r="J88" s="1" t="n"/>
    </row>
    <row r="89">
      <c r="A89" s="1" t="n"/>
      <c r="B89" s="25" t="n"/>
      <c r="C89" s="26" t="n"/>
      <c r="D89" s="72">
        <f>IF(C89="","",IFERROR(INDEX(Effectif!$D$7:$D$21,MATCH(C89,Effectif!$C$7:$C$21,0)),""))</f>
        <v/>
      </c>
      <c r="E89" s="26" t="n"/>
      <c r="F89" s="73" t="n"/>
      <c r="G89" s="74">
        <f>IF(NOT(ISNUMBER(F89)),"",IF(E89="Entrée",F89,-F89))</f>
        <v/>
      </c>
      <c r="H89" s="26" t="n"/>
      <c r="I89" s="2" t="n"/>
      <c r="J89" s="1" t="n"/>
    </row>
    <row r="90">
      <c r="A90" s="1" t="n"/>
      <c r="B90" s="25" t="n"/>
      <c r="C90" s="26" t="n"/>
      <c r="D90" s="72">
        <f>IF(C90="","",IFERROR(INDEX(Effectif!$D$7:$D$21,MATCH(C90,Effectif!$C$7:$C$21,0)),""))</f>
        <v/>
      </c>
      <c r="E90" s="26" t="n"/>
      <c r="F90" s="73" t="n"/>
      <c r="G90" s="74">
        <f>IF(NOT(ISNUMBER(F90)),"",IF(E90="Entrée",F90,-F90))</f>
        <v/>
      </c>
      <c r="H90" s="26" t="n"/>
      <c r="I90" s="2" t="n"/>
      <c r="J90" s="1" t="n"/>
    </row>
    <row r="91">
      <c r="A91" s="1" t="n"/>
      <c r="B91" s="25" t="n"/>
      <c r="C91" s="26" t="n"/>
      <c r="D91" s="72">
        <f>IF(C91="","",IFERROR(INDEX(Effectif!$D$7:$D$21,MATCH(C91,Effectif!$C$7:$C$21,0)),""))</f>
        <v/>
      </c>
      <c r="E91" s="26" t="n"/>
      <c r="F91" s="73" t="n"/>
      <c r="G91" s="74">
        <f>IF(NOT(ISNUMBER(F91)),"",IF(E91="Entrée",F91,-F91))</f>
        <v/>
      </c>
      <c r="H91" s="26" t="n"/>
      <c r="I91" s="2" t="n"/>
      <c r="J91" s="1" t="n"/>
    </row>
    <row r="92">
      <c r="A92" s="1" t="n"/>
      <c r="B92" s="25" t="n"/>
      <c r="C92" s="26" t="n"/>
      <c r="D92" s="72">
        <f>IF(C92="","",IFERROR(INDEX(Effectif!$D$7:$D$21,MATCH(C92,Effectif!$C$7:$C$21,0)),""))</f>
        <v/>
      </c>
      <c r="E92" s="26" t="n"/>
      <c r="F92" s="73" t="n"/>
      <c r="G92" s="74">
        <f>IF(NOT(ISNUMBER(F92)),"",IF(E92="Entrée",F92,-F92))</f>
        <v/>
      </c>
      <c r="H92" s="26" t="n"/>
      <c r="I92" s="2" t="n"/>
      <c r="J92" s="1" t="n"/>
    </row>
    <row r="93">
      <c r="A93" s="1" t="n"/>
      <c r="B93" s="25" t="n"/>
      <c r="C93" s="26" t="n"/>
      <c r="D93" s="72">
        <f>IF(C93="","",IFERROR(INDEX(Effectif!$D$7:$D$21,MATCH(C93,Effectif!$C$7:$C$21,0)),""))</f>
        <v/>
      </c>
      <c r="E93" s="26" t="n"/>
      <c r="F93" s="73" t="n"/>
      <c r="G93" s="74">
        <f>IF(NOT(ISNUMBER(F93)),"",IF(E93="Entrée",F93,-F93))</f>
        <v/>
      </c>
      <c r="H93" s="26" t="n"/>
      <c r="I93" s="2" t="n"/>
      <c r="J93" s="1" t="n"/>
    </row>
    <row r="94">
      <c r="A94" s="1" t="n"/>
      <c r="B94" s="25" t="n"/>
      <c r="C94" s="26" t="n"/>
      <c r="D94" s="72">
        <f>IF(C94="","",IFERROR(INDEX(Effectif!$D$7:$D$21,MATCH(C94,Effectif!$C$7:$C$21,0)),""))</f>
        <v/>
      </c>
      <c r="E94" s="26" t="n"/>
      <c r="F94" s="73" t="n"/>
      <c r="G94" s="74">
        <f>IF(NOT(ISNUMBER(F94)),"",IF(E94="Entrée",F94,-F94))</f>
        <v/>
      </c>
      <c r="H94" s="26" t="n"/>
      <c r="I94" s="2" t="n"/>
      <c r="J94" s="1" t="n"/>
    </row>
    <row r="95">
      <c r="A95" s="1" t="n"/>
      <c r="B95" s="25" t="n"/>
      <c r="C95" s="26" t="n"/>
      <c r="D95" s="72">
        <f>IF(C95="","",IFERROR(INDEX(Effectif!$D$7:$D$21,MATCH(C95,Effectif!$C$7:$C$21,0)),""))</f>
        <v/>
      </c>
      <c r="E95" s="26" t="n"/>
      <c r="F95" s="73" t="n"/>
      <c r="G95" s="74">
        <f>IF(NOT(ISNUMBER(F95)),"",IF(E95="Entrée",F95,-F95))</f>
        <v/>
      </c>
      <c r="H95" s="26" t="n"/>
      <c r="I95" s="2" t="n"/>
      <c r="J95" s="1" t="n"/>
    </row>
    <row r="96">
      <c r="A96" s="1" t="n"/>
      <c r="B96" s="25" t="n"/>
      <c r="C96" s="26" t="n"/>
      <c r="D96" s="72">
        <f>IF(C96="","",IFERROR(INDEX(Effectif!$D$7:$D$21,MATCH(C96,Effectif!$C$7:$C$21,0)),""))</f>
        <v/>
      </c>
      <c r="E96" s="26" t="n"/>
      <c r="F96" s="73" t="n"/>
      <c r="G96" s="74">
        <f>IF(NOT(ISNUMBER(F96)),"",IF(E96="Entrée",F96,-F96))</f>
        <v/>
      </c>
      <c r="H96" s="26" t="n"/>
      <c r="I96" s="2" t="n"/>
      <c r="J96" s="1" t="n"/>
    </row>
    <row r="97">
      <c r="A97" s="1" t="n"/>
      <c r="B97" s="25" t="n"/>
      <c r="C97" s="26" t="n"/>
      <c r="D97" s="72">
        <f>IF(C97="","",IFERROR(INDEX(Effectif!$D$7:$D$21,MATCH(C97,Effectif!$C$7:$C$21,0)),""))</f>
        <v/>
      </c>
      <c r="E97" s="26" t="n"/>
      <c r="F97" s="73" t="n"/>
      <c r="G97" s="74">
        <f>IF(NOT(ISNUMBER(F97)),"",IF(E97="Entrée",F97,-F97))</f>
        <v/>
      </c>
      <c r="H97" s="26" t="n"/>
      <c r="I97" s="2" t="n"/>
      <c r="J97" s="1" t="n"/>
    </row>
    <row r="98">
      <c r="A98" s="1" t="n"/>
      <c r="B98" s="25" t="n"/>
      <c r="C98" s="26" t="n"/>
      <c r="D98" s="72">
        <f>IF(C98="","",IFERROR(INDEX(Effectif!$D$7:$D$21,MATCH(C98,Effectif!$C$7:$C$21,0)),""))</f>
        <v/>
      </c>
      <c r="E98" s="26" t="n"/>
      <c r="F98" s="73" t="n"/>
      <c r="G98" s="74">
        <f>IF(NOT(ISNUMBER(F98)),"",IF(E98="Entrée",F98,-F98))</f>
        <v/>
      </c>
      <c r="H98" s="26" t="n"/>
      <c r="I98" s="2" t="n"/>
      <c r="J98" s="1" t="n"/>
    </row>
    <row r="99">
      <c r="A99" s="1" t="n"/>
      <c r="B99" s="25" t="n"/>
      <c r="C99" s="26" t="n"/>
      <c r="D99" s="72">
        <f>IF(C99="","",IFERROR(INDEX(Effectif!$D$7:$D$21,MATCH(C99,Effectif!$C$7:$C$21,0)),""))</f>
        <v/>
      </c>
      <c r="E99" s="26" t="n"/>
      <c r="F99" s="73" t="n"/>
      <c r="G99" s="74">
        <f>IF(NOT(ISNUMBER(F99)),"",IF(E99="Entrée",F99,-F99))</f>
        <v/>
      </c>
      <c r="H99" s="26" t="n"/>
      <c r="I99" s="2" t="n"/>
      <c r="J99" s="1" t="n"/>
    </row>
    <row r="100">
      <c r="A100" s="1" t="n"/>
      <c r="B100" s="25" t="n"/>
      <c r="C100" s="26" t="n"/>
      <c r="D100" s="72">
        <f>IF(C100="","",IFERROR(INDEX(Effectif!$D$7:$D$21,MATCH(C100,Effectif!$C$7:$C$21,0)),""))</f>
        <v/>
      </c>
      <c r="E100" s="26" t="n"/>
      <c r="F100" s="73" t="n"/>
      <c r="G100" s="74">
        <f>IF(NOT(ISNUMBER(F100)),"",IF(E100="Entrée",F100,-F100))</f>
        <v/>
      </c>
      <c r="H100" s="26" t="n"/>
      <c r="I100" s="2" t="n"/>
      <c r="J100" s="1" t="n"/>
    </row>
    <row r="101">
      <c r="A101" s="1" t="n"/>
      <c r="B101" s="25" t="n"/>
      <c r="C101" s="26" t="n"/>
      <c r="D101" s="72">
        <f>IF(C101="","",IFERROR(INDEX(Effectif!$D$7:$D$21,MATCH(C101,Effectif!$C$7:$C$21,0)),""))</f>
        <v/>
      </c>
      <c r="E101" s="26" t="n"/>
      <c r="F101" s="73" t="n"/>
      <c r="G101" s="74">
        <f>IF(NOT(ISNUMBER(F101)),"",IF(E101="Entrée",F101,-F101))</f>
        <v/>
      </c>
      <c r="H101" s="26" t="n"/>
      <c r="I101" s="2" t="n"/>
      <c r="J101" s="1" t="n"/>
    </row>
    <row r="102">
      <c r="A102" s="1" t="n"/>
      <c r="B102" s="25" t="n"/>
      <c r="C102" s="26" t="n"/>
      <c r="D102" s="72">
        <f>IF(C102="","",IFERROR(INDEX(Effectif!$D$7:$D$21,MATCH(C102,Effectif!$C$7:$C$21,0)),""))</f>
        <v/>
      </c>
      <c r="E102" s="26" t="n"/>
      <c r="F102" s="73" t="n"/>
      <c r="G102" s="74">
        <f>IF(NOT(ISNUMBER(F102)),"",IF(E102="Entrée",F102,-F102))</f>
        <v/>
      </c>
      <c r="H102" s="26" t="n"/>
      <c r="I102" s="2" t="n"/>
      <c r="J102" s="1" t="n"/>
    </row>
    <row r="103">
      <c r="A103" s="1" t="n"/>
      <c r="B103" s="25" t="n"/>
      <c r="C103" s="26" t="n"/>
      <c r="D103" s="72">
        <f>IF(C103="","",IFERROR(INDEX(Effectif!$D$7:$D$21,MATCH(C103,Effectif!$C$7:$C$21,0)),""))</f>
        <v/>
      </c>
      <c r="E103" s="26" t="n"/>
      <c r="F103" s="73" t="n"/>
      <c r="G103" s="74">
        <f>IF(NOT(ISNUMBER(F103)),"",IF(E103="Entrée",F103,-F103))</f>
        <v/>
      </c>
      <c r="H103" s="26" t="n"/>
      <c r="I103" s="2" t="n"/>
      <c r="J103" s="1" t="n"/>
    </row>
    <row r="104">
      <c r="A104" s="1" t="n"/>
      <c r="B104" s="25" t="n"/>
      <c r="C104" s="26" t="n"/>
      <c r="D104" s="72">
        <f>IF(C104="","",IFERROR(INDEX(Effectif!$D$7:$D$21,MATCH(C104,Effectif!$C$7:$C$21,0)),""))</f>
        <v/>
      </c>
      <c r="E104" s="26" t="n"/>
      <c r="F104" s="73" t="n"/>
      <c r="G104" s="74">
        <f>IF(NOT(ISNUMBER(F104)),"",IF(E104="Entrée",F104,-F104))</f>
        <v/>
      </c>
      <c r="H104" s="26" t="n"/>
      <c r="I104" s="2" t="n"/>
      <c r="J104" s="1" t="n"/>
    </row>
    <row r="105">
      <c r="A105" s="1" t="n"/>
      <c r="B105" s="25" t="n"/>
      <c r="C105" s="26" t="n"/>
      <c r="D105" s="72">
        <f>IF(C105="","",IFERROR(INDEX(Effectif!$D$7:$D$21,MATCH(C105,Effectif!$C$7:$C$21,0)),""))</f>
        <v/>
      </c>
      <c r="E105" s="26" t="n"/>
      <c r="F105" s="73" t="n"/>
      <c r="G105" s="74">
        <f>IF(NOT(ISNUMBER(F105)),"",IF(E105="Entrée",F105,-F105))</f>
        <v/>
      </c>
      <c r="H105" s="26" t="n"/>
      <c r="I105" s="2" t="n"/>
      <c r="J105" s="1" t="n"/>
    </row>
    <row r="106">
      <c r="A106" s="1" t="n"/>
      <c r="B106" s="25" t="n"/>
      <c r="C106" s="26" t="n"/>
      <c r="D106" s="72">
        <f>IF(C106="","",IFERROR(INDEX(Effectif!$D$7:$D$21,MATCH(C106,Effectif!$C$7:$C$21,0)),""))</f>
        <v/>
      </c>
      <c r="E106" s="26" t="n"/>
      <c r="F106" s="73" t="n"/>
      <c r="G106" s="74">
        <f>IF(NOT(ISNUMBER(F106)),"",IF(E106="Entrée",F106,-F106))</f>
        <v/>
      </c>
      <c r="H106" s="26" t="n"/>
      <c r="I106" s="2" t="n"/>
      <c r="J106" s="1" t="n"/>
    </row>
    <row r="107">
      <c r="A107" s="1" t="n"/>
      <c r="B107" s="25" t="n"/>
      <c r="C107" s="26" t="n"/>
      <c r="D107" s="72">
        <f>IF(C107="","",IFERROR(INDEX(Effectif!$D$7:$D$21,MATCH(C107,Effectif!$C$7:$C$21,0)),""))</f>
        <v/>
      </c>
      <c r="E107" s="26" t="n"/>
      <c r="F107" s="73" t="n"/>
      <c r="G107" s="74">
        <f>IF(NOT(ISNUMBER(F107)),"",IF(E107="Entrée",F107,-F107))</f>
        <v/>
      </c>
      <c r="H107" s="26" t="n"/>
      <c r="I107" s="2" t="n"/>
      <c r="J107" s="1" t="n"/>
    </row>
    <row r="108">
      <c r="A108" s="1" t="n"/>
      <c r="B108" s="25" t="n"/>
      <c r="C108" s="26" t="n"/>
      <c r="D108" s="72">
        <f>IF(C108="","",IFERROR(INDEX(Effectif!$D$7:$D$21,MATCH(C108,Effectif!$C$7:$C$21,0)),""))</f>
        <v/>
      </c>
      <c r="E108" s="26" t="n"/>
      <c r="F108" s="73" t="n"/>
      <c r="G108" s="74">
        <f>IF(NOT(ISNUMBER(F108)),"",IF(E108="Entrée",F108,-F108))</f>
        <v/>
      </c>
      <c r="H108" s="26" t="n"/>
      <c r="I108" s="2" t="n"/>
      <c r="J108" s="1" t="n"/>
    </row>
    <row r="109">
      <c r="A109" s="1" t="n"/>
      <c r="B109" s="25" t="n"/>
      <c r="C109" s="26" t="n"/>
      <c r="D109" s="72">
        <f>IF(C109="","",IFERROR(INDEX(Effectif!$D$7:$D$21,MATCH(C109,Effectif!$C$7:$C$21,0)),""))</f>
        <v/>
      </c>
      <c r="E109" s="26" t="n"/>
      <c r="F109" s="73" t="n"/>
      <c r="G109" s="74">
        <f>IF(NOT(ISNUMBER(F109)),"",IF(E109="Entrée",F109,-F109))</f>
        <v/>
      </c>
      <c r="H109" s="26" t="n"/>
      <c r="I109" s="2" t="n"/>
      <c r="J109" s="1" t="n"/>
    </row>
    <row r="110">
      <c r="A110" s="1" t="n"/>
      <c r="B110" s="25" t="n"/>
      <c r="C110" s="26" t="n"/>
      <c r="D110" s="72">
        <f>IF(C110="","",IFERROR(INDEX(Effectif!$D$7:$D$21,MATCH(C110,Effectif!$C$7:$C$21,0)),""))</f>
        <v/>
      </c>
      <c r="E110" s="26" t="n"/>
      <c r="F110" s="73" t="n"/>
      <c r="G110" s="74">
        <f>IF(NOT(ISNUMBER(F110)),"",IF(E110="Entrée",F110,-F110))</f>
        <v/>
      </c>
      <c r="H110" s="26" t="n"/>
      <c r="I110" s="2" t="n"/>
      <c r="J110" s="1" t="n"/>
    </row>
    <row r="111">
      <c r="A111" s="1" t="n"/>
      <c r="B111" s="25" t="n"/>
      <c r="C111" s="26" t="n"/>
      <c r="D111" s="72">
        <f>IF(C111="","",IFERROR(INDEX(Effectif!$D$7:$D$21,MATCH(C111,Effectif!$C$7:$C$21,0)),""))</f>
        <v/>
      </c>
      <c r="E111" s="26" t="n"/>
      <c r="F111" s="73" t="n"/>
      <c r="G111" s="74">
        <f>IF(NOT(ISNUMBER(F111)),"",IF(E111="Entrée",F111,-F111))</f>
        <v/>
      </c>
      <c r="H111" s="26" t="n"/>
      <c r="I111" s="2" t="n"/>
      <c r="J111" s="1" t="n"/>
    </row>
    <row r="112">
      <c r="A112" s="1" t="n"/>
      <c r="B112" s="25" t="n"/>
      <c r="C112" s="26" t="n"/>
      <c r="D112" s="72">
        <f>IF(C112="","",IFERROR(INDEX(Effectif!$D$7:$D$21,MATCH(C112,Effectif!$C$7:$C$21,0)),""))</f>
        <v/>
      </c>
      <c r="E112" s="26" t="n"/>
      <c r="F112" s="73" t="n"/>
      <c r="G112" s="74">
        <f>IF(NOT(ISNUMBER(F112)),"",IF(E112="Entrée",F112,-F112))</f>
        <v/>
      </c>
      <c r="H112" s="26" t="n"/>
      <c r="I112" s="2" t="n"/>
      <c r="J112" s="1" t="n"/>
    </row>
    <row r="113">
      <c r="A113" s="1" t="n"/>
      <c r="B113" s="25" t="n"/>
      <c r="C113" s="26" t="n"/>
      <c r="D113" s="72">
        <f>IF(C113="","",IFERROR(INDEX(Effectif!$D$7:$D$21,MATCH(C113,Effectif!$C$7:$C$21,0)),""))</f>
        <v/>
      </c>
      <c r="E113" s="26" t="n"/>
      <c r="F113" s="73" t="n"/>
      <c r="G113" s="74">
        <f>IF(NOT(ISNUMBER(F113)),"",IF(E113="Entrée",F113,-F113))</f>
        <v/>
      </c>
      <c r="H113" s="26" t="n"/>
      <c r="I113" s="2" t="n"/>
      <c r="J113" s="1" t="n"/>
    </row>
    <row r="114">
      <c r="A114" s="1" t="n"/>
      <c r="B114" s="25" t="n"/>
      <c r="C114" s="26" t="n"/>
      <c r="D114" s="72">
        <f>IF(C114="","",IFERROR(INDEX(Effectif!$D$7:$D$21,MATCH(C114,Effectif!$C$7:$C$21,0)),""))</f>
        <v/>
      </c>
      <c r="E114" s="26" t="n"/>
      <c r="F114" s="73" t="n"/>
      <c r="G114" s="74">
        <f>IF(NOT(ISNUMBER(F114)),"",IF(E114="Entrée",F114,-F114))</f>
        <v/>
      </c>
      <c r="H114" s="26" t="n"/>
      <c r="I114" s="2" t="n"/>
      <c r="J114" s="1" t="n"/>
    </row>
    <row r="115">
      <c r="A115" s="1" t="n"/>
      <c r="B115" s="25" t="n"/>
      <c r="C115" s="26" t="n"/>
      <c r="D115" s="72">
        <f>IF(C115="","",IFERROR(INDEX(Effectif!$D$7:$D$21,MATCH(C115,Effectif!$C$7:$C$21,0)),""))</f>
        <v/>
      </c>
      <c r="E115" s="26" t="n"/>
      <c r="F115" s="73" t="n"/>
      <c r="G115" s="74">
        <f>IF(NOT(ISNUMBER(F115)),"",IF(E115="Entrée",F115,-F115))</f>
        <v/>
      </c>
      <c r="H115" s="26" t="n"/>
      <c r="I115" s="2" t="n"/>
      <c r="J115" s="1" t="n"/>
    </row>
    <row r="116">
      <c r="A116" s="1" t="n"/>
      <c r="B116" s="25" t="n"/>
      <c r="C116" s="26" t="n"/>
      <c r="D116" s="72">
        <f>IF(C116="","",IFERROR(INDEX(Effectif!$D$7:$D$21,MATCH(C116,Effectif!$C$7:$C$21,0)),""))</f>
        <v/>
      </c>
      <c r="E116" s="26" t="n"/>
      <c r="F116" s="73" t="n"/>
      <c r="G116" s="74">
        <f>IF(NOT(ISNUMBER(F116)),"",IF(E116="Entrée",F116,-F116))</f>
        <v/>
      </c>
      <c r="H116" s="26" t="n"/>
      <c r="I116" s="2" t="n"/>
      <c r="J116" s="1" t="n"/>
    </row>
    <row r="117">
      <c r="A117" s="1" t="n"/>
      <c r="B117" s="25" t="n"/>
      <c r="C117" s="26" t="n"/>
      <c r="D117" s="72">
        <f>IF(C117="","",IFERROR(INDEX(Effectif!$D$7:$D$21,MATCH(C117,Effectif!$C$7:$C$21,0)),""))</f>
        <v/>
      </c>
      <c r="E117" s="26" t="n"/>
      <c r="F117" s="73" t="n"/>
      <c r="G117" s="74">
        <f>IF(NOT(ISNUMBER(F117)),"",IF(E117="Entrée",F117,-F117))</f>
        <v/>
      </c>
      <c r="H117" s="26" t="n"/>
      <c r="I117" s="2" t="n"/>
      <c r="J117" s="1" t="n"/>
    </row>
    <row r="118">
      <c r="A118" s="1" t="n"/>
      <c r="B118" s="25" t="n"/>
      <c r="C118" s="26" t="n"/>
      <c r="D118" s="72">
        <f>IF(C118="","",IFERROR(INDEX(Effectif!$D$7:$D$21,MATCH(C118,Effectif!$C$7:$C$21,0)),""))</f>
        <v/>
      </c>
      <c r="E118" s="26" t="n"/>
      <c r="F118" s="73" t="n"/>
      <c r="G118" s="74">
        <f>IF(NOT(ISNUMBER(F118)),"",IF(E118="Entrée",F118,-F118))</f>
        <v/>
      </c>
      <c r="H118" s="26" t="n"/>
      <c r="I118" s="2" t="n"/>
      <c r="J118" s="1" t="n"/>
    </row>
    <row r="119">
      <c r="A119" s="1" t="n"/>
      <c r="B119" s="25" t="n"/>
      <c r="C119" s="26" t="n"/>
      <c r="D119" s="72">
        <f>IF(C119="","",IFERROR(INDEX(Effectif!$D$7:$D$21,MATCH(C119,Effectif!$C$7:$C$21,0)),""))</f>
        <v/>
      </c>
      <c r="E119" s="26" t="n"/>
      <c r="F119" s="73" t="n"/>
      <c r="G119" s="74">
        <f>IF(NOT(ISNUMBER(F119)),"",IF(E119="Entrée",F119,-F119))</f>
        <v/>
      </c>
      <c r="H119" s="26" t="n"/>
      <c r="I119" s="2" t="n"/>
      <c r="J119" s="1" t="n"/>
    </row>
    <row r="120">
      <c r="A120" s="1" t="n"/>
      <c r="B120" s="25" t="n"/>
      <c r="C120" s="26" t="n"/>
      <c r="D120" s="72">
        <f>IF(C120="","",IFERROR(INDEX(Effectif!$D$7:$D$21,MATCH(C120,Effectif!$C$7:$C$21,0)),""))</f>
        <v/>
      </c>
      <c r="E120" s="26" t="n"/>
      <c r="F120" s="73" t="n"/>
      <c r="G120" s="74">
        <f>IF(NOT(ISNUMBER(F120)),"",IF(E120="Entrée",F120,-F120))</f>
        <v/>
      </c>
      <c r="H120" s="26" t="n"/>
      <c r="I120" s="2" t="n"/>
      <c r="J120" s="1" t="n"/>
    </row>
    <row r="121">
      <c r="A121" s="1" t="n"/>
      <c r="B121" s="25" t="n"/>
      <c r="C121" s="26" t="n"/>
      <c r="D121" s="72">
        <f>IF(C121="","",IFERROR(INDEX(Effectif!$D$7:$D$21,MATCH(C121,Effectif!$C$7:$C$21,0)),""))</f>
        <v/>
      </c>
      <c r="E121" s="26" t="n"/>
      <c r="F121" s="73" t="n"/>
      <c r="G121" s="74">
        <f>IF(NOT(ISNUMBER(F121)),"",IF(E121="Entrée",F121,-F121))</f>
        <v/>
      </c>
      <c r="H121" s="26" t="n"/>
      <c r="I121" s="2" t="n"/>
      <c r="J121" s="1" t="n"/>
    </row>
    <row r="122">
      <c r="A122" s="1" t="n"/>
      <c r="B122" s="25" t="n"/>
      <c r="C122" s="26" t="n"/>
      <c r="D122" s="72">
        <f>IF(C122="","",IFERROR(INDEX(Effectif!$D$7:$D$21,MATCH(C122,Effectif!$C$7:$C$21,0)),""))</f>
        <v/>
      </c>
      <c r="E122" s="26" t="n"/>
      <c r="F122" s="73" t="n"/>
      <c r="G122" s="74">
        <f>IF(NOT(ISNUMBER(F122)),"",IF(E122="Entrée",F122,-F122))</f>
        <v/>
      </c>
      <c r="H122" s="26" t="n"/>
      <c r="I122" s="2" t="n"/>
      <c r="J122" s="1" t="n"/>
    </row>
    <row r="123">
      <c r="A123" s="1" t="n"/>
      <c r="B123" s="25" t="n"/>
      <c r="C123" s="26" t="n"/>
      <c r="D123" s="72">
        <f>IF(C123="","",IFERROR(INDEX(Effectif!$D$7:$D$21,MATCH(C123,Effectif!$C$7:$C$21,0)),""))</f>
        <v/>
      </c>
      <c r="E123" s="26" t="n"/>
      <c r="F123" s="73" t="n"/>
      <c r="G123" s="74">
        <f>IF(NOT(ISNUMBER(F123)),"",IF(E123="Entrée",F123,-F123))</f>
        <v/>
      </c>
      <c r="H123" s="26" t="n"/>
      <c r="I123" s="2" t="n"/>
      <c r="J123" s="1" t="n"/>
    </row>
    <row r="124">
      <c r="A124" s="1" t="n"/>
      <c r="B124" s="25" t="n"/>
      <c r="C124" s="26" t="n"/>
      <c r="D124" s="72">
        <f>IF(C124="","",IFERROR(INDEX(Effectif!$D$7:$D$21,MATCH(C124,Effectif!$C$7:$C$21,0)),""))</f>
        <v/>
      </c>
      <c r="E124" s="26" t="n"/>
      <c r="F124" s="73" t="n"/>
      <c r="G124" s="74">
        <f>IF(NOT(ISNUMBER(F124)),"",IF(E124="Entrée",F124,-F124))</f>
        <v/>
      </c>
      <c r="H124" s="26" t="n"/>
      <c r="I124" s="2" t="n"/>
      <c r="J124" s="1" t="n"/>
    </row>
    <row r="125">
      <c r="A125" s="1" t="n"/>
      <c r="B125" s="25" t="n"/>
      <c r="C125" s="26" t="n"/>
      <c r="D125" s="72">
        <f>IF(C125="","",IFERROR(INDEX(Effectif!$D$7:$D$21,MATCH(C125,Effectif!$C$7:$C$21,0)),""))</f>
        <v/>
      </c>
      <c r="E125" s="26" t="n"/>
      <c r="F125" s="73" t="n"/>
      <c r="G125" s="74">
        <f>IF(NOT(ISNUMBER(F125)),"",IF(E125="Entrée",F125,-F125))</f>
        <v/>
      </c>
      <c r="H125" s="26" t="n"/>
      <c r="I125" s="2" t="n"/>
      <c r="J125" s="1" t="n"/>
    </row>
    <row r="126">
      <c r="A126" s="1" t="n"/>
      <c r="B126" s="25" t="n"/>
      <c r="C126" s="26" t="n"/>
      <c r="D126" s="72">
        <f>IF(C126="","",IFERROR(INDEX(Effectif!$D$7:$D$21,MATCH(C126,Effectif!$C$7:$C$21,0)),""))</f>
        <v/>
      </c>
      <c r="E126" s="26" t="n"/>
      <c r="F126" s="73" t="n"/>
      <c r="G126" s="74">
        <f>IF(NOT(ISNUMBER(F126)),"",IF(E126="Entrée",F126,-F126))</f>
        <v/>
      </c>
      <c r="H126" s="26" t="n"/>
      <c r="I126" s="2" t="n"/>
      <c r="J126" s="1" t="n"/>
    </row>
    <row r="127">
      <c r="A127" s="1" t="n"/>
      <c r="B127" s="25" t="n"/>
      <c r="C127" s="26" t="n"/>
      <c r="D127" s="72">
        <f>IF(C127="","",IFERROR(INDEX(Effectif!$D$7:$D$21,MATCH(C127,Effectif!$C$7:$C$21,0)),""))</f>
        <v/>
      </c>
      <c r="E127" s="26" t="n"/>
      <c r="F127" s="73" t="n"/>
      <c r="G127" s="74">
        <f>IF(NOT(ISNUMBER(F127)),"",IF(E127="Entrée",F127,-F127))</f>
        <v/>
      </c>
      <c r="H127" s="26" t="n"/>
      <c r="I127" s="2" t="n"/>
      <c r="J127" s="1" t="n"/>
    </row>
    <row r="128">
      <c r="A128" s="1" t="n"/>
      <c r="B128" s="25" t="n"/>
      <c r="C128" s="26" t="n"/>
      <c r="D128" s="72">
        <f>IF(C128="","",IFERROR(INDEX(Effectif!$D$7:$D$21,MATCH(C128,Effectif!$C$7:$C$21,0)),""))</f>
        <v/>
      </c>
      <c r="E128" s="26" t="n"/>
      <c r="F128" s="73" t="n"/>
      <c r="G128" s="74">
        <f>IF(NOT(ISNUMBER(F128)),"",IF(E128="Entrée",F128,-F128))</f>
        <v/>
      </c>
      <c r="H128" s="26" t="n"/>
      <c r="I128" s="2" t="n"/>
      <c r="J128" s="1" t="n"/>
    </row>
    <row r="129">
      <c r="A129" s="1" t="n"/>
      <c r="B129" s="25" t="n"/>
      <c r="C129" s="26" t="n"/>
      <c r="D129" s="72">
        <f>IF(C129="","",IFERROR(INDEX(Effectif!$D$7:$D$21,MATCH(C129,Effectif!$C$7:$C$21,0)),""))</f>
        <v/>
      </c>
      <c r="E129" s="26" t="n"/>
      <c r="F129" s="73" t="n"/>
      <c r="G129" s="74">
        <f>IF(NOT(ISNUMBER(F129)),"",IF(E129="Entrée",F129,-F129))</f>
        <v/>
      </c>
      <c r="H129" s="26" t="n"/>
      <c r="I129" s="2" t="n"/>
      <c r="J129" s="1" t="n"/>
    </row>
    <row r="130">
      <c r="A130" s="1" t="n"/>
      <c r="B130" s="25" t="n"/>
      <c r="C130" s="26" t="n"/>
      <c r="D130" s="72">
        <f>IF(C130="","",IFERROR(INDEX(Effectif!$D$7:$D$21,MATCH(C130,Effectif!$C$7:$C$21,0)),""))</f>
        <v/>
      </c>
      <c r="E130" s="26" t="n"/>
      <c r="F130" s="73" t="n"/>
      <c r="G130" s="74">
        <f>IF(NOT(ISNUMBER(F130)),"",IF(E130="Entrée",F130,-F130))</f>
        <v/>
      </c>
      <c r="H130" s="26" t="n"/>
      <c r="I130" s="2" t="n"/>
      <c r="J130" s="1" t="n"/>
    </row>
    <row r="131">
      <c r="A131" s="1" t="n"/>
      <c r="B131" s="25" t="n"/>
      <c r="C131" s="26" t="n"/>
      <c r="D131" s="72">
        <f>IF(C131="","",IFERROR(INDEX(Effectif!$D$7:$D$21,MATCH(C131,Effectif!$C$7:$C$21,0)),""))</f>
        <v/>
      </c>
      <c r="E131" s="26" t="n"/>
      <c r="F131" s="73" t="n"/>
      <c r="G131" s="74">
        <f>IF(NOT(ISNUMBER(F131)),"",IF(E131="Entrée",F131,-F131))</f>
        <v/>
      </c>
      <c r="H131" s="26" t="n"/>
      <c r="I131" s="2" t="n"/>
      <c r="J131" s="1" t="n"/>
    </row>
    <row r="132">
      <c r="A132" s="1" t="n"/>
      <c r="B132" s="25" t="n"/>
      <c r="C132" s="26" t="n"/>
      <c r="D132" s="72">
        <f>IF(C132="","",IFERROR(INDEX(Effectif!$D$7:$D$21,MATCH(C132,Effectif!$C$7:$C$21,0)),""))</f>
        <v/>
      </c>
      <c r="E132" s="26" t="n"/>
      <c r="F132" s="73" t="n"/>
      <c r="G132" s="74">
        <f>IF(NOT(ISNUMBER(F132)),"",IF(E132="Entrée",F132,-F132))</f>
        <v/>
      </c>
      <c r="H132" s="26" t="n"/>
      <c r="I132" s="2" t="n"/>
      <c r="J132" s="1" t="n"/>
    </row>
    <row r="133">
      <c r="A133" s="1" t="n"/>
      <c r="B133" s="25" t="n"/>
      <c r="C133" s="26" t="n"/>
      <c r="D133" s="72">
        <f>IF(C133="","",IFERROR(INDEX(Effectif!$D$7:$D$21,MATCH(C133,Effectif!$C$7:$C$21,0)),""))</f>
        <v/>
      </c>
      <c r="E133" s="26" t="n"/>
      <c r="F133" s="73" t="n"/>
      <c r="G133" s="74">
        <f>IF(NOT(ISNUMBER(F133)),"",IF(E133="Entrée",F133,-F133))</f>
        <v/>
      </c>
      <c r="H133" s="26" t="n"/>
      <c r="I133" s="2" t="n"/>
      <c r="J133" s="1" t="n"/>
    </row>
    <row r="134">
      <c r="A134" s="1" t="n"/>
      <c r="B134" s="25" t="n"/>
      <c r="C134" s="26" t="n"/>
      <c r="D134" s="72">
        <f>IF(C134="","",IFERROR(INDEX(Effectif!$D$7:$D$21,MATCH(C134,Effectif!$C$7:$C$21,0)),""))</f>
        <v/>
      </c>
      <c r="E134" s="26" t="n"/>
      <c r="F134" s="73" t="n"/>
      <c r="G134" s="74">
        <f>IF(NOT(ISNUMBER(F134)),"",IF(E134="Entrée",F134,-F134))</f>
        <v/>
      </c>
      <c r="H134" s="26" t="n"/>
      <c r="I134" s="2" t="n"/>
      <c r="J134" s="1" t="n"/>
    </row>
    <row r="135">
      <c r="A135" s="1" t="n"/>
      <c r="B135" s="25" t="n"/>
      <c r="C135" s="26" t="n"/>
      <c r="D135" s="72">
        <f>IF(C135="","",IFERROR(INDEX(Effectif!$D$7:$D$21,MATCH(C135,Effectif!$C$7:$C$21,0)),""))</f>
        <v/>
      </c>
      <c r="E135" s="26" t="n"/>
      <c r="F135" s="73" t="n"/>
      <c r="G135" s="74">
        <f>IF(NOT(ISNUMBER(F135)),"",IF(E135="Entrée",F135,-F135))</f>
        <v/>
      </c>
      <c r="H135" s="26" t="n"/>
      <c r="I135" s="2" t="n"/>
      <c r="J135" s="1" t="n"/>
    </row>
    <row r="136">
      <c r="A136" s="1" t="n"/>
      <c r="B136" s="25" t="n"/>
      <c r="C136" s="26" t="n"/>
      <c r="D136" s="72">
        <f>IF(C136="","",IFERROR(INDEX(Effectif!$D$7:$D$21,MATCH(C136,Effectif!$C$7:$C$21,0)),""))</f>
        <v/>
      </c>
      <c r="E136" s="26" t="n"/>
      <c r="F136" s="73" t="n"/>
      <c r="G136" s="74">
        <f>IF(NOT(ISNUMBER(F136)),"",IF(E136="Entrée",F136,-F136))</f>
        <v/>
      </c>
      <c r="H136" s="26" t="n"/>
      <c r="I136" s="2" t="n"/>
      <c r="J136" s="1" t="n"/>
    </row>
    <row r="137">
      <c r="A137" s="1" t="n"/>
      <c r="B137" s="25" t="n"/>
      <c r="C137" s="26" t="n"/>
      <c r="D137" s="72">
        <f>IF(C137="","",IFERROR(INDEX(Effectif!$D$7:$D$21,MATCH(C137,Effectif!$C$7:$C$21,0)),""))</f>
        <v/>
      </c>
      <c r="E137" s="26" t="n"/>
      <c r="F137" s="73" t="n"/>
      <c r="G137" s="74">
        <f>IF(NOT(ISNUMBER(F137)),"",IF(E137="Entrée",F137,-F137))</f>
        <v/>
      </c>
      <c r="H137" s="26" t="n"/>
      <c r="I137" s="2" t="n"/>
      <c r="J137" s="1" t="n"/>
    </row>
    <row r="138">
      <c r="A138" s="1" t="n"/>
      <c r="B138" s="25" t="n"/>
      <c r="C138" s="26" t="n"/>
      <c r="D138" s="72">
        <f>IF(C138="","",IFERROR(INDEX(Effectif!$D$7:$D$21,MATCH(C138,Effectif!$C$7:$C$21,0)),""))</f>
        <v/>
      </c>
      <c r="E138" s="26" t="n"/>
      <c r="F138" s="73" t="n"/>
      <c r="G138" s="74">
        <f>IF(NOT(ISNUMBER(F138)),"",IF(E138="Entrée",F138,-F138))</f>
        <v/>
      </c>
      <c r="H138" s="26" t="n"/>
      <c r="I138" s="2" t="n"/>
      <c r="J138" s="1" t="n"/>
    </row>
    <row r="139">
      <c r="A139" s="1" t="n"/>
      <c r="B139" s="25" t="n"/>
      <c r="C139" s="26" t="n"/>
      <c r="D139" s="72">
        <f>IF(C139="","",IFERROR(INDEX(Effectif!$D$7:$D$21,MATCH(C139,Effectif!$C$7:$C$21,0)),""))</f>
        <v/>
      </c>
      <c r="E139" s="26" t="n"/>
      <c r="F139" s="73" t="n"/>
      <c r="G139" s="74">
        <f>IF(NOT(ISNUMBER(F139)),"",IF(E139="Entrée",F139,-F139))</f>
        <v/>
      </c>
      <c r="H139" s="26" t="n"/>
      <c r="I139" s="2" t="n"/>
      <c r="J139" s="1" t="n"/>
    </row>
    <row r="140">
      <c r="A140" s="1" t="n"/>
      <c r="B140" s="25" t="n"/>
      <c r="C140" s="26" t="n"/>
      <c r="D140" s="72">
        <f>IF(C140="","",IFERROR(INDEX(Effectif!$D$7:$D$21,MATCH(C140,Effectif!$C$7:$C$21,0)),""))</f>
        <v/>
      </c>
      <c r="E140" s="26" t="n"/>
      <c r="F140" s="73" t="n"/>
      <c r="G140" s="74">
        <f>IF(NOT(ISNUMBER(F140)),"",IF(E140="Entrée",F140,-F140))</f>
        <v/>
      </c>
      <c r="H140" s="26" t="n"/>
      <c r="I140" s="2" t="n"/>
      <c r="J140" s="1" t="n"/>
    </row>
    <row r="141">
      <c r="A141" s="1" t="n"/>
      <c r="B141" s="25" t="n"/>
      <c r="C141" s="26" t="n"/>
      <c r="D141" s="72">
        <f>IF(C141="","",IFERROR(INDEX(Effectif!$D$7:$D$21,MATCH(C141,Effectif!$C$7:$C$21,0)),""))</f>
        <v/>
      </c>
      <c r="E141" s="26" t="n"/>
      <c r="F141" s="73" t="n"/>
      <c r="G141" s="74">
        <f>IF(NOT(ISNUMBER(F141)),"",IF(E141="Entrée",F141,-F141))</f>
        <v/>
      </c>
      <c r="H141" s="26" t="n"/>
      <c r="I141" s="2" t="n"/>
      <c r="J141" s="1" t="n"/>
    </row>
    <row r="142">
      <c r="A142" s="1" t="n"/>
      <c r="B142" s="25" t="n"/>
      <c r="C142" s="26" t="n"/>
      <c r="D142" s="72">
        <f>IF(C142="","",IFERROR(INDEX(Effectif!$D$7:$D$21,MATCH(C142,Effectif!$C$7:$C$21,0)),""))</f>
        <v/>
      </c>
      <c r="E142" s="26" t="n"/>
      <c r="F142" s="73" t="n"/>
      <c r="G142" s="74">
        <f>IF(NOT(ISNUMBER(F142)),"",IF(E142="Entrée",F142,-F142))</f>
        <v/>
      </c>
      <c r="H142" s="26" t="n"/>
      <c r="I142" s="2" t="n"/>
      <c r="J142" s="1" t="n"/>
    </row>
    <row r="143">
      <c r="A143" s="1" t="n"/>
      <c r="B143" s="25" t="n"/>
      <c r="C143" s="26" t="n"/>
      <c r="D143" s="72">
        <f>IF(C143="","",IFERROR(INDEX(Effectif!$D$7:$D$21,MATCH(C143,Effectif!$C$7:$C$21,0)),""))</f>
        <v/>
      </c>
      <c r="E143" s="26" t="n"/>
      <c r="F143" s="73" t="n"/>
      <c r="G143" s="74">
        <f>IF(NOT(ISNUMBER(F143)),"",IF(E143="Entrée",F143,-F143))</f>
        <v/>
      </c>
      <c r="H143" s="26" t="n"/>
      <c r="I143" s="2" t="n"/>
      <c r="J143" s="1" t="n"/>
    </row>
    <row r="144">
      <c r="A144" s="1" t="n"/>
      <c r="B144" s="25" t="n"/>
      <c r="C144" s="26" t="n"/>
      <c r="D144" s="72">
        <f>IF(C144="","",IFERROR(INDEX(Effectif!$D$7:$D$21,MATCH(C144,Effectif!$C$7:$C$21,0)),""))</f>
        <v/>
      </c>
      <c r="E144" s="26" t="n"/>
      <c r="F144" s="73" t="n"/>
      <c r="G144" s="74">
        <f>IF(NOT(ISNUMBER(F144)),"",IF(E144="Entrée",F144,-F144))</f>
        <v/>
      </c>
      <c r="H144" s="26" t="n"/>
      <c r="I144" s="2" t="n"/>
      <c r="J144" s="1" t="n"/>
    </row>
    <row r="145">
      <c r="A145" s="1" t="n"/>
      <c r="B145" s="25" t="n"/>
      <c r="C145" s="26" t="n"/>
      <c r="D145" s="72">
        <f>IF(C145="","",IFERROR(INDEX(Effectif!$D$7:$D$21,MATCH(C145,Effectif!$C$7:$C$21,0)),""))</f>
        <v/>
      </c>
      <c r="E145" s="26" t="n"/>
      <c r="F145" s="73" t="n"/>
      <c r="G145" s="74">
        <f>IF(NOT(ISNUMBER(F145)),"",IF(E145="Entrée",F145,-F145))</f>
        <v/>
      </c>
      <c r="H145" s="26" t="n"/>
      <c r="I145" s="2" t="n"/>
      <c r="J145" s="1" t="n"/>
    </row>
    <row r="146">
      <c r="A146" s="1" t="n"/>
      <c r="B146" s="25" t="n"/>
      <c r="C146" s="26" t="n"/>
      <c r="D146" s="72">
        <f>IF(C146="","",IFERROR(INDEX(Effectif!$D$7:$D$21,MATCH(C146,Effectif!$C$7:$C$21,0)),""))</f>
        <v/>
      </c>
      <c r="E146" s="26" t="n"/>
      <c r="F146" s="73" t="n"/>
      <c r="G146" s="74">
        <f>IF(NOT(ISNUMBER(F146)),"",IF(E146="Entrée",F146,-F146))</f>
        <v/>
      </c>
      <c r="H146" s="26" t="n"/>
      <c r="I146" s="2" t="n"/>
      <c r="J146" s="1" t="n"/>
    </row>
    <row r="147">
      <c r="A147" s="1" t="n"/>
      <c r="B147" s="25" t="n"/>
      <c r="C147" s="26" t="n"/>
      <c r="D147" s="72">
        <f>IF(C147="","",IFERROR(INDEX(Effectif!$D$7:$D$21,MATCH(C147,Effectif!$C$7:$C$21,0)),""))</f>
        <v/>
      </c>
      <c r="E147" s="26" t="n"/>
      <c r="F147" s="73" t="n"/>
      <c r="G147" s="74">
        <f>IF(NOT(ISNUMBER(F147)),"",IF(E147="Entrée",F147,-F147))</f>
        <v/>
      </c>
      <c r="H147" s="26" t="n"/>
      <c r="I147" s="2" t="n"/>
      <c r="J147" s="1" t="n"/>
    </row>
    <row r="148">
      <c r="A148" s="1" t="n"/>
      <c r="B148" s="25" t="n"/>
      <c r="C148" s="26" t="n"/>
      <c r="D148" s="72">
        <f>IF(C148="","",IFERROR(INDEX(Effectif!$D$7:$D$21,MATCH(C148,Effectif!$C$7:$C$21,0)),""))</f>
        <v/>
      </c>
      <c r="E148" s="26" t="n"/>
      <c r="F148" s="73" t="n"/>
      <c r="G148" s="74">
        <f>IF(NOT(ISNUMBER(F148)),"",IF(E148="Entrée",F148,-F148))</f>
        <v/>
      </c>
      <c r="H148" s="26" t="n"/>
      <c r="I148" s="2" t="n"/>
      <c r="J148" s="1" t="n"/>
    </row>
    <row r="149">
      <c r="A149" s="1" t="n"/>
      <c r="B149" s="25" t="n"/>
      <c r="C149" s="26" t="n"/>
      <c r="D149" s="72">
        <f>IF(C149="","",IFERROR(INDEX(Effectif!$D$7:$D$21,MATCH(C149,Effectif!$C$7:$C$21,0)),""))</f>
        <v/>
      </c>
      <c r="E149" s="26" t="n"/>
      <c r="F149" s="73" t="n"/>
      <c r="G149" s="74">
        <f>IF(NOT(ISNUMBER(F149)),"",IF(E149="Entrée",F149,-F149))</f>
        <v/>
      </c>
      <c r="H149" s="26" t="n"/>
      <c r="I149" s="2" t="n"/>
      <c r="J149" s="1" t="n"/>
    </row>
    <row r="150">
      <c r="A150" s="1" t="n"/>
      <c r="B150" s="25" t="n"/>
      <c r="C150" s="26" t="n"/>
      <c r="D150" s="72">
        <f>IF(C150="","",IFERROR(INDEX(Effectif!$D$7:$D$21,MATCH(C150,Effectif!$C$7:$C$21,0)),""))</f>
        <v/>
      </c>
      <c r="E150" s="26" t="n"/>
      <c r="F150" s="73" t="n"/>
      <c r="G150" s="74">
        <f>IF(NOT(ISNUMBER(F150)),"",IF(E150="Entrée",F150,-F150))</f>
        <v/>
      </c>
      <c r="H150" s="26" t="n"/>
      <c r="I150" s="2" t="n"/>
      <c r="J150" s="1" t="n"/>
    </row>
    <row r="151">
      <c r="A151" s="1" t="n"/>
      <c r="B151" s="25" t="n"/>
      <c r="C151" s="26" t="n"/>
      <c r="D151" s="72">
        <f>IF(C151="","",IFERROR(INDEX(Effectif!$D$7:$D$21,MATCH(C151,Effectif!$C$7:$C$21,0)),""))</f>
        <v/>
      </c>
      <c r="E151" s="26" t="n"/>
      <c r="F151" s="73" t="n"/>
      <c r="G151" s="74">
        <f>IF(NOT(ISNUMBER(F151)),"",IF(E151="Entrée",F151,-F151))</f>
        <v/>
      </c>
      <c r="H151" s="26" t="n"/>
      <c r="I151" s="2" t="n"/>
      <c r="J151" s="1" t="n"/>
    </row>
    <row r="152">
      <c r="A152" s="1" t="n"/>
      <c r="B152" s="25" t="n"/>
      <c r="C152" s="26" t="n"/>
      <c r="D152" s="72">
        <f>IF(C152="","",IFERROR(INDEX(Effectif!$D$7:$D$21,MATCH(C152,Effectif!$C$7:$C$21,0)),""))</f>
        <v/>
      </c>
      <c r="E152" s="26" t="n"/>
      <c r="F152" s="73" t="n"/>
      <c r="G152" s="74">
        <f>IF(NOT(ISNUMBER(F152)),"",IF(E152="Entrée",F152,-F152))</f>
        <v/>
      </c>
      <c r="H152" s="26" t="n"/>
      <c r="I152" s="2" t="n"/>
      <c r="J152" s="1" t="n"/>
    </row>
    <row r="153">
      <c r="A153" s="1" t="n"/>
      <c r="B153" s="25" t="n"/>
      <c r="C153" s="26" t="n"/>
      <c r="D153" s="72">
        <f>IF(C153="","",IFERROR(INDEX(Effectif!$D$7:$D$21,MATCH(C153,Effectif!$C$7:$C$21,0)),""))</f>
        <v/>
      </c>
      <c r="E153" s="26" t="n"/>
      <c r="F153" s="73" t="n"/>
      <c r="G153" s="74">
        <f>IF(NOT(ISNUMBER(F153)),"",IF(E153="Entrée",F153,-F153))</f>
        <v/>
      </c>
      <c r="H153" s="26" t="n"/>
      <c r="I153" s="2" t="n"/>
      <c r="J153" s="1" t="n"/>
    </row>
    <row r="154">
      <c r="A154" s="1" t="n"/>
      <c r="B154" s="25" t="n"/>
      <c r="C154" s="26" t="n"/>
      <c r="D154" s="72">
        <f>IF(C154="","",IFERROR(INDEX(Effectif!$D$7:$D$21,MATCH(C154,Effectif!$C$7:$C$21,0)),""))</f>
        <v/>
      </c>
      <c r="E154" s="26" t="n"/>
      <c r="F154" s="73" t="n"/>
      <c r="G154" s="74">
        <f>IF(NOT(ISNUMBER(F154)),"",IF(E154="Entrée",F154,-F154))</f>
        <v/>
      </c>
      <c r="H154" s="26" t="n"/>
      <c r="I154" s="2" t="n"/>
      <c r="J154" s="1" t="n"/>
    </row>
    <row r="155">
      <c r="A155" s="1" t="n"/>
      <c r="B155" s="25" t="n"/>
      <c r="C155" s="26" t="n"/>
      <c r="D155" s="72">
        <f>IF(C155="","",IFERROR(INDEX(Effectif!$D$7:$D$21,MATCH(C155,Effectif!$C$7:$C$21,0)),""))</f>
        <v/>
      </c>
      <c r="E155" s="26" t="n"/>
      <c r="F155" s="73" t="n"/>
      <c r="G155" s="74">
        <f>IF(NOT(ISNUMBER(F155)),"",IF(E155="Entrée",F155,-F155))</f>
        <v/>
      </c>
      <c r="H155" s="26" t="n"/>
      <c r="I155" s="2" t="n"/>
      <c r="J155" s="1" t="n"/>
    </row>
    <row r="156">
      <c r="A156" s="1" t="n"/>
      <c r="B156" s="25" t="n"/>
      <c r="C156" s="26" t="n"/>
      <c r="D156" s="72">
        <f>IF(C156="","",IFERROR(INDEX(Effectif!$D$7:$D$21,MATCH(C156,Effectif!$C$7:$C$21,0)),""))</f>
        <v/>
      </c>
      <c r="E156" s="26" t="n"/>
      <c r="F156" s="73" t="n"/>
      <c r="G156" s="74">
        <f>IF(NOT(ISNUMBER(F156)),"",IF(E156="Entrée",F156,-F156))</f>
        <v/>
      </c>
      <c r="H156" s="26" t="n"/>
      <c r="I156" s="2" t="n"/>
      <c r="J156" s="1" t="n"/>
    </row>
    <row r="157">
      <c r="A157" s="1" t="n"/>
      <c r="B157" s="25" t="n"/>
      <c r="C157" s="26" t="n"/>
      <c r="D157" s="72">
        <f>IF(C157="","",IFERROR(INDEX(Effectif!$D$7:$D$21,MATCH(C157,Effectif!$C$7:$C$21,0)),""))</f>
        <v/>
      </c>
      <c r="E157" s="26" t="n"/>
      <c r="F157" s="73" t="n"/>
      <c r="G157" s="74">
        <f>IF(NOT(ISNUMBER(F157)),"",IF(E157="Entrée",F157,-F157))</f>
        <v/>
      </c>
      <c r="H157" s="26" t="n"/>
      <c r="I157" s="2" t="n"/>
      <c r="J157" s="1" t="n"/>
    </row>
    <row r="158">
      <c r="A158" s="1" t="n"/>
      <c r="B158" s="25" t="n"/>
      <c r="C158" s="26" t="n"/>
      <c r="D158" s="72">
        <f>IF(C158="","",IFERROR(INDEX(Effectif!$D$7:$D$21,MATCH(C158,Effectif!$C$7:$C$21,0)),""))</f>
        <v/>
      </c>
      <c r="E158" s="26" t="n"/>
      <c r="F158" s="73" t="n"/>
      <c r="G158" s="74">
        <f>IF(NOT(ISNUMBER(F158)),"",IF(E158="Entrée",F158,-F158))</f>
        <v/>
      </c>
      <c r="H158" s="26" t="n"/>
      <c r="I158" s="2" t="n"/>
      <c r="J158" s="1" t="n"/>
    </row>
    <row r="159">
      <c r="A159" s="1" t="n"/>
      <c r="B159" s="25" t="n"/>
      <c r="C159" s="26" t="n"/>
      <c r="D159" s="72">
        <f>IF(C159="","",IFERROR(INDEX(Effectif!$D$7:$D$21,MATCH(C159,Effectif!$C$7:$C$21,0)),""))</f>
        <v/>
      </c>
      <c r="E159" s="26" t="n"/>
      <c r="F159" s="73" t="n"/>
      <c r="G159" s="74">
        <f>IF(NOT(ISNUMBER(F159)),"",IF(E159="Entrée",F159,-F159))</f>
        <v/>
      </c>
      <c r="H159" s="26" t="n"/>
      <c r="I159" s="2" t="n"/>
      <c r="J159" s="1" t="n"/>
    </row>
    <row r="160">
      <c r="A160" s="1" t="n"/>
      <c r="B160" s="25" t="n"/>
      <c r="C160" s="26" t="n"/>
      <c r="D160" s="72">
        <f>IF(C160="","",IFERROR(INDEX(Effectif!$D$7:$D$21,MATCH(C160,Effectif!$C$7:$C$21,0)),""))</f>
        <v/>
      </c>
      <c r="E160" s="26" t="n"/>
      <c r="F160" s="73" t="n"/>
      <c r="G160" s="74">
        <f>IF(NOT(ISNUMBER(F160)),"",IF(E160="Entrée",F160,-F160))</f>
        <v/>
      </c>
      <c r="H160" s="26" t="n"/>
      <c r="I160" s="2" t="n"/>
      <c r="J160" s="1" t="n"/>
    </row>
    <row r="161">
      <c r="A161" s="1" t="n"/>
      <c r="B161" s="25" t="n"/>
      <c r="C161" s="26" t="n"/>
      <c r="D161" s="72">
        <f>IF(C161="","",IFERROR(INDEX(Effectif!$D$7:$D$21,MATCH(C161,Effectif!$C$7:$C$21,0)),""))</f>
        <v/>
      </c>
      <c r="E161" s="26" t="n"/>
      <c r="F161" s="73" t="n"/>
      <c r="G161" s="74">
        <f>IF(NOT(ISNUMBER(F161)),"",IF(E161="Entrée",F161,-F161))</f>
        <v/>
      </c>
      <c r="H161" s="26" t="n"/>
      <c r="I161" s="2" t="n"/>
      <c r="J161" s="1" t="n"/>
    </row>
    <row r="162">
      <c r="A162" s="1" t="n"/>
      <c r="B162" s="25" t="n"/>
      <c r="C162" s="26" t="n"/>
      <c r="D162" s="72">
        <f>IF(C162="","",IFERROR(INDEX(Effectif!$D$7:$D$21,MATCH(C162,Effectif!$C$7:$C$21,0)),""))</f>
        <v/>
      </c>
      <c r="E162" s="26" t="n"/>
      <c r="F162" s="73" t="n"/>
      <c r="G162" s="74">
        <f>IF(NOT(ISNUMBER(F162)),"",IF(E162="Entrée",F162,-F162))</f>
        <v/>
      </c>
      <c r="H162" s="26" t="n"/>
      <c r="I162" s="2" t="n"/>
      <c r="J162" s="1" t="n"/>
    </row>
    <row r="163">
      <c r="A163" s="1" t="n"/>
      <c r="B163" s="25" t="n"/>
      <c r="C163" s="26" t="n"/>
      <c r="D163" s="72">
        <f>IF(C163="","",IFERROR(INDEX(Effectif!$D$7:$D$21,MATCH(C163,Effectif!$C$7:$C$21,0)),""))</f>
        <v/>
      </c>
      <c r="E163" s="26" t="n"/>
      <c r="F163" s="73" t="n"/>
      <c r="G163" s="74">
        <f>IF(NOT(ISNUMBER(F163)),"",IF(E163="Entrée",F163,-F163))</f>
        <v/>
      </c>
      <c r="H163" s="26" t="n"/>
      <c r="I163" s="2" t="n"/>
      <c r="J163" s="1" t="n"/>
    </row>
    <row r="164">
      <c r="A164" s="1" t="n"/>
      <c r="B164" s="25" t="n"/>
      <c r="C164" s="26" t="n"/>
      <c r="D164" s="72">
        <f>IF(C164="","",IFERROR(INDEX(Effectif!$D$7:$D$21,MATCH(C164,Effectif!$C$7:$C$21,0)),""))</f>
        <v/>
      </c>
      <c r="E164" s="26" t="n"/>
      <c r="F164" s="73" t="n"/>
      <c r="G164" s="74">
        <f>IF(NOT(ISNUMBER(F164)),"",IF(E164="Entrée",F164,-F164))</f>
        <v/>
      </c>
      <c r="H164" s="26" t="n"/>
      <c r="I164" s="2" t="n"/>
      <c r="J164" s="1" t="n"/>
    </row>
    <row r="165">
      <c r="A165" s="1" t="n"/>
      <c r="B165" s="25" t="n"/>
      <c r="C165" s="26" t="n"/>
      <c r="D165" s="72">
        <f>IF(C165="","",IFERROR(INDEX(Effectif!$D$7:$D$21,MATCH(C165,Effectif!$C$7:$C$21,0)),""))</f>
        <v/>
      </c>
      <c r="E165" s="26" t="n"/>
      <c r="F165" s="73" t="n"/>
      <c r="G165" s="74">
        <f>IF(NOT(ISNUMBER(F165)),"",IF(E165="Entrée",F165,-F165))</f>
        <v/>
      </c>
      <c r="H165" s="26" t="n"/>
      <c r="I165" s="2" t="n"/>
      <c r="J165" s="1" t="n"/>
    </row>
    <row r="166">
      <c r="A166" s="1" t="n"/>
      <c r="B166" s="25" t="n"/>
      <c r="C166" s="26" t="n"/>
      <c r="D166" s="72">
        <f>IF(C166="","",IFERROR(INDEX(Effectif!$D$7:$D$21,MATCH(C166,Effectif!$C$7:$C$21,0)),""))</f>
        <v/>
      </c>
      <c r="E166" s="26" t="n"/>
      <c r="F166" s="73" t="n"/>
      <c r="G166" s="74">
        <f>IF(NOT(ISNUMBER(F166)),"",IF(E166="Entrée",F166,-F166))</f>
        <v/>
      </c>
      <c r="H166" s="26" t="n"/>
      <c r="I166" s="2" t="n"/>
      <c r="J166" s="1" t="n"/>
    </row>
    <row r="167">
      <c r="A167" s="1" t="n"/>
      <c r="B167" s="25" t="n"/>
      <c r="C167" s="26" t="n"/>
      <c r="D167" s="72">
        <f>IF(C167="","",IFERROR(INDEX(Effectif!$D$7:$D$21,MATCH(C167,Effectif!$C$7:$C$21,0)),""))</f>
        <v/>
      </c>
      <c r="E167" s="26" t="n"/>
      <c r="F167" s="73" t="n"/>
      <c r="G167" s="74">
        <f>IF(NOT(ISNUMBER(F167)),"",IF(E167="Entrée",F167,-F167))</f>
        <v/>
      </c>
      <c r="H167" s="26" t="n"/>
      <c r="I167" s="2" t="n"/>
      <c r="J167" s="1" t="n"/>
    </row>
    <row r="168">
      <c r="A168" s="1" t="n"/>
      <c r="B168" s="25" t="n"/>
      <c r="C168" s="26" t="n"/>
      <c r="D168" s="72">
        <f>IF(C168="","",IFERROR(INDEX(Effectif!$D$7:$D$21,MATCH(C168,Effectif!$C$7:$C$21,0)),""))</f>
        <v/>
      </c>
      <c r="E168" s="26" t="n"/>
      <c r="F168" s="73" t="n"/>
      <c r="G168" s="74">
        <f>IF(NOT(ISNUMBER(F168)),"",IF(E168="Entrée",F168,-F168))</f>
        <v/>
      </c>
      <c r="H168" s="26" t="n"/>
      <c r="I168" s="2" t="n"/>
      <c r="J168" s="1" t="n"/>
    </row>
    <row r="169">
      <c r="A169" s="1" t="n"/>
      <c r="B169" s="25" t="n"/>
      <c r="C169" s="26" t="n"/>
      <c r="D169" s="72">
        <f>IF(C169="","",IFERROR(INDEX(Effectif!$D$7:$D$21,MATCH(C169,Effectif!$C$7:$C$21,0)),""))</f>
        <v/>
      </c>
      <c r="E169" s="26" t="n"/>
      <c r="F169" s="73" t="n"/>
      <c r="G169" s="74">
        <f>IF(NOT(ISNUMBER(F169)),"",IF(E169="Entrée",F169,-F169))</f>
        <v/>
      </c>
      <c r="H169" s="26" t="n"/>
      <c r="I169" s="2" t="n"/>
      <c r="J169" s="1" t="n"/>
    </row>
    <row r="170">
      <c r="A170" s="1" t="n"/>
      <c r="B170" s="25" t="n"/>
      <c r="C170" s="26" t="n"/>
      <c r="D170" s="72">
        <f>IF(C170="","",IFERROR(INDEX(Effectif!$D$7:$D$21,MATCH(C170,Effectif!$C$7:$C$21,0)),""))</f>
        <v/>
      </c>
      <c r="E170" s="26" t="n"/>
      <c r="F170" s="73" t="n"/>
      <c r="G170" s="74">
        <f>IF(NOT(ISNUMBER(F170)),"",IF(E170="Entrée",F170,-F170))</f>
        <v/>
      </c>
      <c r="H170" s="26" t="n"/>
      <c r="I170" s="2" t="n"/>
      <c r="J170" s="1" t="n"/>
    </row>
    <row r="171">
      <c r="A171" s="1" t="n"/>
      <c r="B171" s="25" t="n"/>
      <c r="C171" s="26" t="n"/>
      <c r="D171" s="72">
        <f>IF(C171="","",IFERROR(INDEX(Effectif!$D$7:$D$21,MATCH(C171,Effectif!$C$7:$C$21,0)),""))</f>
        <v/>
      </c>
      <c r="E171" s="26" t="n"/>
      <c r="F171" s="73" t="n"/>
      <c r="G171" s="74">
        <f>IF(NOT(ISNUMBER(F171)),"",IF(E171="Entrée",F171,-F171))</f>
        <v/>
      </c>
      <c r="H171" s="26" t="n"/>
      <c r="I171" s="2" t="n"/>
      <c r="J171" s="1" t="n"/>
    </row>
    <row r="172">
      <c r="A172" s="1" t="n"/>
      <c r="B172" s="25" t="n"/>
      <c r="C172" s="26" t="n"/>
      <c r="D172" s="72">
        <f>IF(C172="","",IFERROR(INDEX(Effectif!$D$7:$D$21,MATCH(C172,Effectif!$C$7:$C$21,0)),""))</f>
        <v/>
      </c>
      <c r="E172" s="26" t="n"/>
      <c r="F172" s="73" t="n"/>
      <c r="G172" s="74">
        <f>IF(NOT(ISNUMBER(F172)),"",IF(E172="Entrée",F172,-F172))</f>
        <v/>
      </c>
      <c r="H172" s="26" t="n"/>
      <c r="I172" s="2" t="n"/>
      <c r="J172" s="1" t="n"/>
    </row>
    <row r="173">
      <c r="A173" s="1" t="n"/>
      <c r="B173" s="25" t="n"/>
      <c r="C173" s="26" t="n"/>
      <c r="D173" s="72">
        <f>IF(C173="","",IFERROR(INDEX(Effectif!$D$7:$D$21,MATCH(C173,Effectif!$C$7:$C$21,0)),""))</f>
        <v/>
      </c>
      <c r="E173" s="26" t="n"/>
      <c r="F173" s="73" t="n"/>
      <c r="G173" s="74">
        <f>IF(NOT(ISNUMBER(F173)),"",IF(E173="Entrée",F173,-F173))</f>
        <v/>
      </c>
      <c r="H173" s="26" t="n"/>
      <c r="I173" s="2" t="n"/>
      <c r="J173" s="1" t="n"/>
    </row>
    <row r="174">
      <c r="A174" s="1" t="n"/>
      <c r="B174" s="25" t="n"/>
      <c r="C174" s="26" t="n"/>
      <c r="D174" s="72">
        <f>IF(C174="","",IFERROR(INDEX(Effectif!$D$7:$D$21,MATCH(C174,Effectif!$C$7:$C$21,0)),""))</f>
        <v/>
      </c>
      <c r="E174" s="26" t="n"/>
      <c r="F174" s="73" t="n"/>
      <c r="G174" s="74">
        <f>IF(NOT(ISNUMBER(F174)),"",IF(E174="Entrée",F174,-F174))</f>
        <v/>
      </c>
      <c r="H174" s="26" t="n"/>
      <c r="I174" s="2" t="n"/>
      <c r="J174" s="1" t="n"/>
    </row>
    <row r="175">
      <c r="A175" s="1" t="n"/>
      <c r="B175" s="25" t="n"/>
      <c r="C175" s="26" t="n"/>
      <c r="D175" s="72">
        <f>IF(C175="","",IFERROR(INDEX(Effectif!$D$7:$D$21,MATCH(C175,Effectif!$C$7:$C$21,0)),""))</f>
        <v/>
      </c>
      <c r="E175" s="26" t="n"/>
      <c r="F175" s="73" t="n"/>
      <c r="G175" s="74">
        <f>IF(NOT(ISNUMBER(F175)),"",IF(E175="Entrée",F175,-F175))</f>
        <v/>
      </c>
      <c r="H175" s="26" t="n"/>
      <c r="I175" s="2" t="n"/>
      <c r="J175" s="1" t="n"/>
    </row>
    <row r="176">
      <c r="A176" s="1" t="n"/>
      <c r="B176" s="25" t="n"/>
      <c r="C176" s="26" t="n"/>
      <c r="D176" s="72">
        <f>IF(C176="","",IFERROR(INDEX(Effectif!$D$7:$D$21,MATCH(C176,Effectif!$C$7:$C$21,0)),""))</f>
        <v/>
      </c>
      <c r="E176" s="26" t="n"/>
      <c r="F176" s="73" t="n"/>
      <c r="G176" s="74">
        <f>IF(NOT(ISNUMBER(F176)),"",IF(E176="Entrée",F176,-F176))</f>
        <v/>
      </c>
      <c r="H176" s="26" t="n"/>
      <c r="I176" s="2" t="n"/>
      <c r="J176" s="1" t="n"/>
    </row>
    <row r="177">
      <c r="A177" s="1" t="n"/>
      <c r="B177" s="25" t="n"/>
      <c r="C177" s="26" t="n"/>
      <c r="D177" s="72">
        <f>IF(C177="","",IFERROR(INDEX(Effectif!$D$7:$D$21,MATCH(C177,Effectif!$C$7:$C$21,0)),""))</f>
        <v/>
      </c>
      <c r="E177" s="26" t="n"/>
      <c r="F177" s="73" t="n"/>
      <c r="G177" s="74">
        <f>IF(NOT(ISNUMBER(F177)),"",IF(E177="Entrée",F177,-F177))</f>
        <v/>
      </c>
      <c r="H177" s="26" t="n"/>
      <c r="I177" s="2" t="n"/>
      <c r="J177" s="1" t="n"/>
    </row>
    <row r="178">
      <c r="A178" s="1" t="n"/>
      <c r="B178" s="25" t="n"/>
      <c r="C178" s="26" t="n"/>
      <c r="D178" s="72">
        <f>IF(C178="","",IFERROR(INDEX(Effectif!$D$7:$D$21,MATCH(C178,Effectif!$C$7:$C$21,0)),""))</f>
        <v/>
      </c>
      <c r="E178" s="26" t="n"/>
      <c r="F178" s="73" t="n"/>
      <c r="G178" s="74">
        <f>IF(NOT(ISNUMBER(F178)),"",IF(E178="Entrée",F178,-F178))</f>
        <v/>
      </c>
      <c r="H178" s="26" t="n"/>
      <c r="I178" s="2" t="n"/>
      <c r="J178" s="1" t="n"/>
    </row>
    <row r="179">
      <c r="A179" s="1" t="n"/>
      <c r="B179" s="25" t="n"/>
      <c r="C179" s="26" t="n"/>
      <c r="D179" s="72">
        <f>IF(C179="","",IFERROR(INDEX(Effectif!$D$7:$D$21,MATCH(C179,Effectif!$C$7:$C$21,0)),""))</f>
        <v/>
      </c>
      <c r="E179" s="26" t="n"/>
      <c r="F179" s="73" t="n"/>
      <c r="G179" s="74">
        <f>IF(NOT(ISNUMBER(F179)),"",IF(E179="Entrée",F179,-F179))</f>
        <v/>
      </c>
      <c r="H179" s="26" t="n"/>
      <c r="I179" s="2" t="n"/>
      <c r="J179" s="1" t="n"/>
    </row>
    <row r="180">
      <c r="A180" s="1" t="n"/>
      <c r="B180" s="25" t="n"/>
      <c r="C180" s="26" t="n"/>
      <c r="D180" s="72">
        <f>IF(C180="","",IFERROR(INDEX(Effectif!$D$7:$D$21,MATCH(C180,Effectif!$C$7:$C$21,0)),""))</f>
        <v/>
      </c>
      <c r="E180" s="26" t="n"/>
      <c r="F180" s="73" t="n"/>
      <c r="G180" s="74">
        <f>IF(NOT(ISNUMBER(F180)),"",IF(E180="Entrée",F180,-F180))</f>
        <v/>
      </c>
      <c r="H180" s="26" t="n"/>
      <c r="I180" s="2" t="n"/>
      <c r="J180" s="1" t="n"/>
    </row>
    <row r="181">
      <c r="A181" s="1" t="n"/>
      <c r="B181" s="25" t="n"/>
      <c r="C181" s="26" t="n"/>
      <c r="D181" s="72">
        <f>IF(C181="","",IFERROR(INDEX(Effectif!$D$7:$D$21,MATCH(C181,Effectif!$C$7:$C$21,0)),""))</f>
        <v/>
      </c>
      <c r="E181" s="26" t="n"/>
      <c r="F181" s="73" t="n"/>
      <c r="G181" s="74">
        <f>IF(NOT(ISNUMBER(F181)),"",IF(E181="Entrée",F181,-F181))</f>
        <v/>
      </c>
      <c r="H181" s="26" t="n"/>
      <c r="I181" s="2" t="n"/>
      <c r="J181" s="1" t="n"/>
    </row>
    <row r="182">
      <c r="A182" s="1" t="n"/>
      <c r="B182" s="25" t="n"/>
      <c r="C182" s="26" t="n"/>
      <c r="D182" s="72">
        <f>IF(C182="","",IFERROR(INDEX(Effectif!$D$7:$D$21,MATCH(C182,Effectif!$C$7:$C$21,0)),""))</f>
        <v/>
      </c>
      <c r="E182" s="26" t="n"/>
      <c r="F182" s="73" t="n"/>
      <c r="G182" s="74">
        <f>IF(NOT(ISNUMBER(F182)),"",IF(E182="Entrée",F182,-F182))</f>
        <v/>
      </c>
      <c r="H182" s="26" t="n"/>
      <c r="I182" s="2" t="n"/>
      <c r="J182" s="1" t="n"/>
    </row>
    <row r="183">
      <c r="A183" s="1" t="n"/>
      <c r="B183" s="25" t="n"/>
      <c r="C183" s="26" t="n"/>
      <c r="D183" s="72">
        <f>IF(C183="","",IFERROR(INDEX(Effectif!$D$7:$D$21,MATCH(C183,Effectif!$C$7:$C$21,0)),""))</f>
        <v/>
      </c>
      <c r="E183" s="26" t="n"/>
      <c r="F183" s="73" t="n"/>
      <c r="G183" s="74">
        <f>IF(NOT(ISNUMBER(F183)),"",IF(E183="Entrée",F183,-F183))</f>
        <v/>
      </c>
      <c r="H183" s="26" t="n"/>
      <c r="I183" s="2" t="n"/>
      <c r="J183" s="1" t="n"/>
    </row>
    <row r="184">
      <c r="A184" s="1" t="n"/>
      <c r="B184" s="25" t="n"/>
      <c r="C184" s="26" t="n"/>
      <c r="D184" s="72">
        <f>IF(C184="","",IFERROR(INDEX(Effectif!$D$7:$D$21,MATCH(C184,Effectif!$C$7:$C$21,0)),""))</f>
        <v/>
      </c>
      <c r="E184" s="26" t="n"/>
      <c r="F184" s="73" t="n"/>
      <c r="G184" s="74">
        <f>IF(NOT(ISNUMBER(F184)),"",IF(E184="Entrée",F184,-F184))</f>
        <v/>
      </c>
      <c r="H184" s="26" t="n"/>
      <c r="I184" s="2" t="n"/>
      <c r="J184" s="1" t="n"/>
    </row>
    <row r="185">
      <c r="A185" s="1" t="n"/>
      <c r="B185" s="25" t="n"/>
      <c r="C185" s="26" t="n"/>
      <c r="D185" s="72">
        <f>IF(C185="","",IFERROR(INDEX(Effectif!$D$7:$D$21,MATCH(C185,Effectif!$C$7:$C$21,0)),""))</f>
        <v/>
      </c>
      <c r="E185" s="26" t="n"/>
      <c r="F185" s="73" t="n"/>
      <c r="G185" s="74">
        <f>IF(NOT(ISNUMBER(F185)),"",IF(E185="Entrée",F185,-F185))</f>
        <v/>
      </c>
      <c r="H185" s="26" t="n"/>
      <c r="I185" s="2" t="n"/>
      <c r="J185" s="1" t="n"/>
    </row>
    <row r="186">
      <c r="A186" s="1" t="n"/>
      <c r="B186" s="25" t="n"/>
      <c r="C186" s="26" t="n"/>
      <c r="D186" s="72">
        <f>IF(C186="","",IFERROR(INDEX(Effectif!$D$7:$D$21,MATCH(C186,Effectif!$C$7:$C$21,0)),""))</f>
        <v/>
      </c>
      <c r="E186" s="26" t="n"/>
      <c r="F186" s="73" t="n"/>
      <c r="G186" s="74">
        <f>IF(NOT(ISNUMBER(F186)),"",IF(E186="Entrée",F186,-F186))</f>
        <v/>
      </c>
      <c r="H186" s="26" t="n"/>
      <c r="I186" s="2" t="n"/>
      <c r="J186" s="1" t="n"/>
    </row>
    <row r="187">
      <c r="A187" s="1" t="n"/>
      <c r="B187" s="25" t="n"/>
      <c r="C187" s="26" t="n"/>
      <c r="D187" s="72">
        <f>IF(C187="","",IFERROR(INDEX(Effectif!$D$7:$D$21,MATCH(C187,Effectif!$C$7:$C$21,0)),""))</f>
        <v/>
      </c>
      <c r="E187" s="26" t="n"/>
      <c r="F187" s="73" t="n"/>
      <c r="G187" s="74">
        <f>IF(NOT(ISNUMBER(F187)),"",IF(E187="Entrée",F187,-F187))</f>
        <v/>
      </c>
      <c r="H187" s="26" t="n"/>
      <c r="I187" s="2" t="n"/>
      <c r="J187" s="1" t="n"/>
    </row>
    <row r="188">
      <c r="A188" s="1" t="n"/>
      <c r="B188" s="25" t="n"/>
      <c r="C188" s="26" t="n"/>
      <c r="D188" s="72">
        <f>IF(C188="","",IFERROR(INDEX(Effectif!$D$7:$D$21,MATCH(C188,Effectif!$C$7:$C$21,0)),""))</f>
        <v/>
      </c>
      <c r="E188" s="26" t="n"/>
      <c r="F188" s="73" t="n"/>
      <c r="G188" s="74">
        <f>IF(NOT(ISNUMBER(F188)),"",IF(E188="Entrée",F188,-F188))</f>
        <v/>
      </c>
      <c r="H188" s="26" t="n"/>
      <c r="I188" s="2" t="n"/>
      <c r="J188" s="1" t="n"/>
    </row>
    <row r="189">
      <c r="A189" s="1" t="n"/>
      <c r="B189" s="25" t="n"/>
      <c r="C189" s="26" t="n"/>
      <c r="D189" s="72">
        <f>IF(C189="","",IFERROR(INDEX(Effectif!$D$7:$D$21,MATCH(C189,Effectif!$C$7:$C$21,0)),""))</f>
        <v/>
      </c>
      <c r="E189" s="26" t="n"/>
      <c r="F189" s="73" t="n"/>
      <c r="G189" s="74">
        <f>IF(NOT(ISNUMBER(F189)),"",IF(E189="Entrée",F189,-F189))</f>
        <v/>
      </c>
      <c r="H189" s="26" t="n"/>
      <c r="I189" s="2" t="n"/>
      <c r="J189" s="1" t="n"/>
    </row>
    <row r="190">
      <c r="A190" s="1" t="n"/>
      <c r="B190" s="25" t="n"/>
      <c r="C190" s="26" t="n"/>
      <c r="D190" s="72">
        <f>IF(C190="","",IFERROR(INDEX(Effectif!$D$7:$D$21,MATCH(C190,Effectif!$C$7:$C$21,0)),""))</f>
        <v/>
      </c>
      <c r="E190" s="26" t="n"/>
      <c r="F190" s="73" t="n"/>
      <c r="G190" s="74">
        <f>IF(NOT(ISNUMBER(F190)),"",IF(E190="Entrée",F190,-F190))</f>
        <v/>
      </c>
      <c r="H190" s="26" t="n"/>
      <c r="I190" s="2" t="n"/>
      <c r="J190" s="1" t="n"/>
    </row>
    <row r="191">
      <c r="A191" s="1" t="n"/>
      <c r="B191" s="25" t="n"/>
      <c r="C191" s="26" t="n"/>
      <c r="D191" s="72">
        <f>IF(C191="","",IFERROR(INDEX(Effectif!$D$7:$D$21,MATCH(C191,Effectif!$C$7:$C$21,0)),""))</f>
        <v/>
      </c>
      <c r="E191" s="26" t="n"/>
      <c r="F191" s="73" t="n"/>
      <c r="G191" s="74">
        <f>IF(NOT(ISNUMBER(F191)),"",IF(E191="Entrée",F191,-F191))</f>
        <v/>
      </c>
      <c r="H191" s="26" t="n"/>
      <c r="I191" s="2" t="n"/>
      <c r="J191" s="1" t="n"/>
    </row>
    <row r="192">
      <c r="A192" s="1" t="n"/>
      <c r="B192" s="25" t="n"/>
      <c r="C192" s="26" t="n"/>
      <c r="D192" s="72">
        <f>IF(C192="","",IFERROR(INDEX(Effectif!$D$7:$D$21,MATCH(C192,Effectif!$C$7:$C$21,0)),""))</f>
        <v/>
      </c>
      <c r="E192" s="26" t="n"/>
      <c r="F192" s="73" t="n"/>
      <c r="G192" s="74">
        <f>IF(NOT(ISNUMBER(F192)),"",IF(E192="Entrée",F192,-F192))</f>
        <v/>
      </c>
      <c r="H192" s="26" t="n"/>
      <c r="I192" s="2" t="n"/>
      <c r="J192" s="1" t="n"/>
    </row>
    <row r="193">
      <c r="A193" s="1" t="n"/>
      <c r="B193" s="25" t="n"/>
      <c r="C193" s="26" t="n"/>
      <c r="D193" s="72">
        <f>IF(C193="","",IFERROR(INDEX(Effectif!$D$7:$D$21,MATCH(C193,Effectif!$C$7:$C$21,0)),""))</f>
        <v/>
      </c>
      <c r="E193" s="26" t="n"/>
      <c r="F193" s="73" t="n"/>
      <c r="G193" s="74">
        <f>IF(NOT(ISNUMBER(F193)),"",IF(E193="Entrée",F193,-F193))</f>
        <v/>
      </c>
      <c r="H193" s="26" t="n"/>
      <c r="I193" s="2" t="n"/>
      <c r="J193" s="1" t="n"/>
    </row>
    <row r="194">
      <c r="A194" s="1" t="n"/>
      <c r="B194" s="25" t="n"/>
      <c r="C194" s="26" t="n"/>
      <c r="D194" s="72">
        <f>IF(C194="","",IFERROR(INDEX(Effectif!$D$7:$D$21,MATCH(C194,Effectif!$C$7:$C$21,0)),""))</f>
        <v/>
      </c>
      <c r="E194" s="26" t="n"/>
      <c r="F194" s="73" t="n"/>
      <c r="G194" s="74">
        <f>IF(NOT(ISNUMBER(F194)),"",IF(E194="Entrée",F194,-F194))</f>
        <v/>
      </c>
      <c r="H194" s="26" t="n"/>
      <c r="I194" s="2" t="n"/>
      <c r="J194" s="1" t="n"/>
    </row>
    <row r="195">
      <c r="A195" s="1" t="n"/>
      <c r="B195" s="25" t="n"/>
      <c r="C195" s="26" t="n"/>
      <c r="D195" s="72">
        <f>IF(C195="","",IFERROR(INDEX(Effectif!$D$7:$D$21,MATCH(C195,Effectif!$C$7:$C$21,0)),""))</f>
        <v/>
      </c>
      <c r="E195" s="26" t="n"/>
      <c r="F195" s="73" t="n"/>
      <c r="G195" s="74">
        <f>IF(NOT(ISNUMBER(F195)),"",IF(E195="Entrée",F195,-F195))</f>
        <v/>
      </c>
      <c r="H195" s="26" t="n"/>
      <c r="I195" s="2" t="n"/>
      <c r="J195" s="1" t="n"/>
    </row>
    <row r="196">
      <c r="A196" s="1" t="n"/>
      <c r="B196" s="25" t="n"/>
      <c r="C196" s="26" t="n"/>
      <c r="D196" s="72">
        <f>IF(C196="","",IFERROR(INDEX(Effectif!$D$7:$D$21,MATCH(C196,Effectif!$C$7:$C$21,0)),""))</f>
        <v/>
      </c>
      <c r="E196" s="26" t="n"/>
      <c r="F196" s="73" t="n"/>
      <c r="G196" s="74">
        <f>IF(NOT(ISNUMBER(F196)),"",IF(E196="Entrée",F196,-F196))</f>
        <v/>
      </c>
      <c r="H196" s="26" t="n"/>
      <c r="I196" s="2" t="n"/>
      <c r="J196" s="1" t="n"/>
    </row>
    <row r="197">
      <c r="A197" s="1" t="n"/>
      <c r="B197" s="25" t="n"/>
      <c r="C197" s="26" t="n"/>
      <c r="D197" s="72">
        <f>IF(C197="","",IFERROR(INDEX(Effectif!$D$7:$D$21,MATCH(C197,Effectif!$C$7:$C$21,0)),""))</f>
        <v/>
      </c>
      <c r="E197" s="26" t="n"/>
      <c r="F197" s="73" t="n"/>
      <c r="G197" s="74">
        <f>IF(NOT(ISNUMBER(F197)),"",IF(E197="Entrée",F197,-F197))</f>
        <v/>
      </c>
      <c r="H197" s="26" t="n"/>
      <c r="I197" s="2" t="n"/>
      <c r="J197" s="1" t="n"/>
    </row>
    <row r="198">
      <c r="A198" s="1" t="n"/>
      <c r="B198" s="25" t="n"/>
      <c r="C198" s="26" t="n"/>
      <c r="D198" s="72">
        <f>IF(C198="","",IFERROR(INDEX(Effectif!$D$7:$D$21,MATCH(C198,Effectif!$C$7:$C$21,0)),""))</f>
        <v/>
      </c>
      <c r="E198" s="26" t="n"/>
      <c r="F198" s="73" t="n"/>
      <c r="G198" s="74">
        <f>IF(NOT(ISNUMBER(F198)),"",IF(E198="Entrée",F198,-F198))</f>
        <v/>
      </c>
      <c r="H198" s="26" t="n"/>
      <c r="I198" s="2" t="n"/>
      <c r="J198" s="1" t="n"/>
    </row>
    <row r="199">
      <c r="A199" s="1" t="n"/>
      <c r="B199" s="25" t="n"/>
      <c r="C199" s="26" t="n"/>
      <c r="D199" s="72">
        <f>IF(C199="","",IFERROR(INDEX(Effectif!$D$7:$D$21,MATCH(C199,Effectif!$C$7:$C$21,0)),""))</f>
        <v/>
      </c>
      <c r="E199" s="26" t="n"/>
      <c r="F199" s="73" t="n"/>
      <c r="G199" s="74">
        <f>IF(NOT(ISNUMBER(F199)),"",IF(E199="Entrée",F199,-F199))</f>
        <v/>
      </c>
      <c r="H199" s="26" t="n"/>
      <c r="I199" s="2" t="n"/>
      <c r="J199" s="1" t="n"/>
    </row>
    <row r="200">
      <c r="A200" s="1" t="n"/>
      <c r="B200" s="25" t="n"/>
      <c r="C200" s="26" t="n"/>
      <c r="D200" s="72">
        <f>IF(C200="","",IFERROR(INDEX(Effectif!$D$7:$D$21,MATCH(C200,Effectif!$C$7:$C$21,0)),""))</f>
        <v/>
      </c>
      <c r="E200" s="26" t="n"/>
      <c r="F200" s="73" t="n"/>
      <c r="G200" s="74">
        <f>IF(NOT(ISNUMBER(F200)),"",IF(E200="Entrée",F200,-F200))</f>
        <v/>
      </c>
      <c r="H200" s="26" t="n"/>
      <c r="I200" s="2" t="n"/>
      <c r="J200" s="1" t="n"/>
    </row>
    <row r="201">
      <c r="A201" s="1" t="n"/>
      <c r="B201" s="25" t="n"/>
      <c r="C201" s="26" t="n"/>
      <c r="D201" s="72">
        <f>IF(C201="","",IFERROR(INDEX(Effectif!$D$7:$D$21,MATCH(C201,Effectif!$C$7:$C$21,0)),""))</f>
        <v/>
      </c>
      <c r="E201" s="26" t="n"/>
      <c r="F201" s="73" t="n"/>
      <c r="G201" s="74">
        <f>IF(NOT(ISNUMBER(F201)),"",IF(E201="Entrée",F201,-F201))</f>
        <v/>
      </c>
      <c r="H201" s="26" t="n"/>
      <c r="I201" s="2" t="n"/>
      <c r="J201" s="1" t="n"/>
    </row>
    <row r="202">
      <c r="A202" s="1" t="n"/>
      <c r="B202" s="25" t="n"/>
      <c r="C202" s="26" t="n"/>
      <c r="D202" s="72">
        <f>IF(C202="","",IFERROR(INDEX(Effectif!$D$7:$D$21,MATCH(C202,Effectif!$C$7:$C$21,0)),""))</f>
        <v/>
      </c>
      <c r="E202" s="26" t="n"/>
      <c r="F202" s="73" t="n"/>
      <c r="G202" s="74">
        <f>IF(NOT(ISNUMBER(F202)),"",IF(E202="Entrée",F202,-F202))</f>
        <v/>
      </c>
      <c r="H202" s="26" t="n"/>
      <c r="I202" s="2" t="n"/>
      <c r="J202" s="1" t="n"/>
    </row>
    <row r="203">
      <c r="A203" s="1" t="n"/>
      <c r="B203" s="25" t="n"/>
      <c r="C203" s="26" t="n"/>
      <c r="D203" s="72">
        <f>IF(C203="","",IFERROR(INDEX(Effectif!$D$7:$D$21,MATCH(C203,Effectif!$C$7:$C$21,0)),""))</f>
        <v/>
      </c>
      <c r="E203" s="26" t="n"/>
      <c r="F203" s="73" t="n"/>
      <c r="G203" s="74">
        <f>IF(NOT(ISNUMBER(F203)),"",IF(E203="Entrée",F203,-F203))</f>
        <v/>
      </c>
      <c r="H203" s="26" t="n"/>
      <c r="I203" s="2" t="n"/>
      <c r="J203" s="1" t="n"/>
    </row>
    <row r="204">
      <c r="A204" s="1" t="n"/>
      <c r="B204" s="25" t="n"/>
      <c r="C204" s="26" t="n"/>
      <c r="D204" s="72">
        <f>IF(C204="","",IFERROR(INDEX(Effectif!$D$7:$D$21,MATCH(C204,Effectif!$C$7:$C$21,0)),""))</f>
        <v/>
      </c>
      <c r="E204" s="26" t="n"/>
      <c r="F204" s="73" t="n"/>
      <c r="G204" s="74">
        <f>IF(NOT(ISNUMBER(F204)),"",IF(E204="Entrée",F204,-F204))</f>
        <v/>
      </c>
      <c r="H204" s="26" t="n"/>
      <c r="I204" s="2" t="n"/>
      <c r="J204" s="1" t="n"/>
    </row>
    <row r="205">
      <c r="A205" s="1" t="n"/>
      <c r="B205" s="25" t="n"/>
      <c r="C205" s="26" t="n"/>
      <c r="D205" s="72">
        <f>IF(C205="","",IFERROR(INDEX(Effectif!$D$7:$D$21,MATCH(C205,Effectif!$C$7:$C$21,0)),""))</f>
        <v/>
      </c>
      <c r="E205" s="26" t="n"/>
      <c r="F205" s="73" t="n"/>
      <c r="G205" s="74">
        <f>IF(NOT(ISNUMBER(F205)),"",IF(E205="Entrée",F205,-F205))</f>
        <v/>
      </c>
      <c r="H205" s="26" t="n"/>
      <c r="I205" s="2" t="n"/>
      <c r="J205" s="1" t="n"/>
    </row>
    <row r="206">
      <c r="A206" s="1" t="n"/>
      <c r="B206" s="25" t="n"/>
      <c r="C206" s="26" t="n"/>
      <c r="D206" s="72">
        <f>IF(C206="","",IFERROR(INDEX(Effectif!$D$7:$D$21,MATCH(C206,Effectif!$C$7:$C$21,0)),""))</f>
        <v/>
      </c>
      <c r="E206" s="26" t="n"/>
      <c r="F206" s="73" t="n"/>
      <c r="G206" s="74">
        <f>IF(NOT(ISNUMBER(F206)),"",IF(E206="Entrée",F206,-F206))</f>
        <v/>
      </c>
      <c r="H206" s="26" t="n"/>
      <c r="I206" s="2" t="n"/>
      <c r="J206" s="1" t="n"/>
    </row>
    <row r="207">
      <c r="A207" s="1" t="n"/>
      <c r="B207" s="25" t="n"/>
      <c r="C207" s="26" t="n"/>
      <c r="D207" s="72">
        <f>IF(C207="","",IFERROR(INDEX(Effectif!$D$7:$D$21,MATCH(C207,Effectif!$C$7:$C$21,0)),""))</f>
        <v/>
      </c>
      <c r="E207" s="26" t="n"/>
      <c r="F207" s="73" t="n"/>
      <c r="G207" s="74">
        <f>IF(NOT(ISNUMBER(F207)),"",IF(E207="Entrée",F207,-F207))</f>
        <v/>
      </c>
      <c r="H207" s="26" t="n"/>
      <c r="I207" s="2" t="n"/>
      <c r="J207" s="1" t="n"/>
    </row>
    <row r="208">
      <c r="A208" s="1" t="n"/>
      <c r="B208" s="25" t="n"/>
      <c r="C208" s="26" t="n"/>
      <c r="D208" s="72">
        <f>IF(C208="","",IFERROR(INDEX(Effectif!$D$7:$D$21,MATCH(C208,Effectif!$C$7:$C$21,0)),""))</f>
        <v/>
      </c>
      <c r="E208" s="26" t="n"/>
      <c r="F208" s="73" t="n"/>
      <c r="G208" s="74">
        <f>IF(NOT(ISNUMBER(F208)),"",IF(E208="Entrée",F208,-F208))</f>
        <v/>
      </c>
      <c r="H208" s="26" t="n"/>
      <c r="I208" s="2" t="n"/>
      <c r="J208" s="1" t="n"/>
    </row>
    <row r="209">
      <c r="A209" s="1" t="n"/>
      <c r="B209" s="25" t="n"/>
      <c r="C209" s="26" t="n"/>
      <c r="D209" s="72">
        <f>IF(C209="","",IFERROR(INDEX(Effectif!$D$7:$D$21,MATCH(C209,Effectif!$C$7:$C$21,0)),""))</f>
        <v/>
      </c>
      <c r="E209" s="26" t="n"/>
      <c r="F209" s="73" t="n"/>
      <c r="G209" s="74">
        <f>IF(NOT(ISNUMBER(F209)),"",IF(E209="Entrée",F209,-F209))</f>
        <v/>
      </c>
      <c r="H209" s="26" t="n"/>
      <c r="I209" s="2" t="n"/>
      <c r="J209" s="1" t="n"/>
    </row>
    <row r="210">
      <c r="A210" s="1" t="n"/>
      <c r="B210" s="25" t="n"/>
      <c r="C210" s="26" t="n"/>
      <c r="D210" s="72">
        <f>IF(C210="","",IFERROR(INDEX(Effectif!$D$7:$D$21,MATCH(C210,Effectif!$C$7:$C$21,0)),""))</f>
        <v/>
      </c>
      <c r="E210" s="26" t="n"/>
      <c r="F210" s="73" t="n"/>
      <c r="G210" s="74">
        <f>IF(NOT(ISNUMBER(F210)),"",IF(E210="Entrée",F210,-F210))</f>
        <v/>
      </c>
      <c r="H210" s="26" t="n"/>
      <c r="I210" s="2" t="n"/>
      <c r="J210" s="1" t="n"/>
    </row>
    <row r="211">
      <c r="A211" s="1" t="n"/>
      <c r="B211" s="25" t="n"/>
      <c r="C211" s="26" t="n"/>
      <c r="D211" s="72">
        <f>IF(C211="","",IFERROR(INDEX(Effectif!$D$7:$D$21,MATCH(C211,Effectif!$C$7:$C$21,0)),""))</f>
        <v/>
      </c>
      <c r="E211" s="26" t="n"/>
      <c r="F211" s="73" t="n"/>
      <c r="G211" s="74">
        <f>IF(NOT(ISNUMBER(F211)),"",IF(E211="Entrée",F211,-F211))</f>
        <v/>
      </c>
      <c r="H211" s="26" t="n"/>
      <c r="I211" s="2" t="n"/>
      <c r="J211" s="1" t="n"/>
    </row>
    <row r="212">
      <c r="A212" s="1" t="n"/>
      <c r="B212" s="25" t="n"/>
      <c r="C212" s="26" t="n"/>
      <c r="D212" s="72">
        <f>IF(C212="","",IFERROR(INDEX(Effectif!$D$7:$D$21,MATCH(C212,Effectif!$C$7:$C$21,0)),""))</f>
        <v/>
      </c>
      <c r="E212" s="26" t="n"/>
      <c r="F212" s="73" t="n"/>
      <c r="G212" s="74">
        <f>IF(NOT(ISNUMBER(F212)),"",IF(E212="Entrée",F212,-F212))</f>
        <v/>
      </c>
      <c r="H212" s="26" t="n"/>
      <c r="I212" s="2" t="n"/>
      <c r="J212" s="1" t="n"/>
    </row>
    <row r="213">
      <c r="A213" s="1" t="n"/>
      <c r="B213" s="25" t="n"/>
      <c r="C213" s="26" t="n"/>
      <c r="D213" s="72">
        <f>IF(C213="","",IFERROR(INDEX(Effectif!$D$7:$D$21,MATCH(C213,Effectif!$C$7:$C$21,0)),""))</f>
        <v/>
      </c>
      <c r="E213" s="26" t="n"/>
      <c r="F213" s="73" t="n"/>
      <c r="G213" s="74">
        <f>IF(NOT(ISNUMBER(F213)),"",IF(E213="Entrée",F213,-F213))</f>
        <v/>
      </c>
      <c r="H213" s="26" t="n"/>
      <c r="I213" s="2" t="n"/>
      <c r="J213" s="1" t="n"/>
    </row>
    <row r="214">
      <c r="A214" s="1" t="n"/>
      <c r="B214" s="25" t="n"/>
      <c r="C214" s="26" t="n"/>
      <c r="D214" s="72">
        <f>IF(C214="","",IFERROR(INDEX(Effectif!$D$7:$D$21,MATCH(C214,Effectif!$C$7:$C$21,0)),""))</f>
        <v/>
      </c>
      <c r="E214" s="26" t="n"/>
      <c r="F214" s="73" t="n"/>
      <c r="G214" s="74">
        <f>IF(NOT(ISNUMBER(F214)),"",IF(E214="Entrée",F214,-F214))</f>
        <v/>
      </c>
      <c r="H214" s="26" t="n"/>
      <c r="I214" s="2" t="n"/>
      <c r="J214" s="1" t="n"/>
    </row>
    <row r="215">
      <c r="A215" s="1" t="n"/>
      <c r="B215" s="25" t="n"/>
      <c r="C215" s="26" t="n"/>
      <c r="D215" s="72">
        <f>IF(C215="","",IFERROR(INDEX(Effectif!$D$7:$D$21,MATCH(C215,Effectif!$C$7:$C$21,0)),""))</f>
        <v/>
      </c>
      <c r="E215" s="26" t="n"/>
      <c r="F215" s="73" t="n"/>
      <c r="G215" s="74">
        <f>IF(NOT(ISNUMBER(F215)),"",IF(E215="Entrée",F215,-F215))</f>
        <v/>
      </c>
      <c r="H215" s="26" t="n"/>
      <c r="I215" s="2" t="n"/>
      <c r="J215" s="1" t="n"/>
    </row>
    <row r="216">
      <c r="A216" s="1" t="n"/>
      <c r="B216" s="25" t="n"/>
      <c r="C216" s="26" t="n"/>
      <c r="D216" s="72">
        <f>IF(C216="","",IFERROR(INDEX(Effectif!$D$7:$D$21,MATCH(C216,Effectif!$C$7:$C$21,0)),""))</f>
        <v/>
      </c>
      <c r="E216" s="26" t="n"/>
      <c r="F216" s="73" t="n"/>
      <c r="G216" s="74">
        <f>IF(NOT(ISNUMBER(F216)),"",IF(E216="Entrée",F216,-F216))</f>
        <v/>
      </c>
      <c r="H216" s="26" t="n"/>
      <c r="I216" s="2" t="n"/>
      <c r="J216" s="1" t="n"/>
    </row>
    <row r="217">
      <c r="A217" s="1" t="n"/>
      <c r="B217" s="25" t="n"/>
      <c r="C217" s="26" t="n"/>
      <c r="D217" s="72">
        <f>IF(C217="","",IFERROR(INDEX(Effectif!$D$7:$D$21,MATCH(C217,Effectif!$C$7:$C$21,0)),""))</f>
        <v/>
      </c>
      <c r="E217" s="26" t="n"/>
      <c r="F217" s="73" t="n"/>
      <c r="G217" s="74">
        <f>IF(NOT(ISNUMBER(F217)),"",IF(E217="Entrée",F217,-F217))</f>
        <v/>
      </c>
      <c r="H217" s="26" t="n"/>
      <c r="I217" s="2" t="n"/>
      <c r="J217" s="1" t="n"/>
    </row>
    <row r="218">
      <c r="A218" s="1" t="n"/>
      <c r="B218" s="25" t="n"/>
      <c r="C218" s="26" t="n"/>
      <c r="D218" s="72">
        <f>IF(C218="","",IFERROR(INDEX(Effectif!$D$7:$D$21,MATCH(C218,Effectif!$C$7:$C$21,0)),""))</f>
        <v/>
      </c>
      <c r="E218" s="26" t="n"/>
      <c r="F218" s="73" t="n"/>
      <c r="G218" s="74">
        <f>IF(NOT(ISNUMBER(F218)),"",IF(E218="Entrée",F218,-F218))</f>
        <v/>
      </c>
      <c r="H218" s="26" t="n"/>
      <c r="I218" s="2" t="n"/>
      <c r="J218" s="1" t="n"/>
    </row>
    <row r="219">
      <c r="A219" s="1" t="n"/>
      <c r="B219" s="25" t="n"/>
      <c r="C219" s="26" t="n"/>
      <c r="D219" s="72">
        <f>IF(C219="","",IFERROR(INDEX(Effectif!$D$7:$D$21,MATCH(C219,Effectif!$C$7:$C$21,0)),""))</f>
        <v/>
      </c>
      <c r="E219" s="26" t="n"/>
      <c r="F219" s="73" t="n"/>
      <c r="G219" s="74">
        <f>IF(NOT(ISNUMBER(F219)),"",IF(E219="Entrée",F219,-F219))</f>
        <v/>
      </c>
      <c r="H219" s="26" t="n"/>
      <c r="I219" s="2" t="n"/>
      <c r="J219" s="1" t="n"/>
    </row>
    <row r="220">
      <c r="A220" s="1" t="n"/>
      <c r="B220" s="25" t="n"/>
      <c r="C220" s="26" t="n"/>
      <c r="D220" s="72">
        <f>IF(C220="","",IFERROR(INDEX(Effectif!$D$7:$D$21,MATCH(C220,Effectif!$C$7:$C$21,0)),""))</f>
        <v/>
      </c>
      <c r="E220" s="26" t="n"/>
      <c r="F220" s="73" t="n"/>
      <c r="G220" s="74">
        <f>IF(NOT(ISNUMBER(F220)),"",IF(E220="Entrée",F220,-F220))</f>
        <v/>
      </c>
      <c r="H220" s="26" t="n"/>
      <c r="I220" s="2" t="n"/>
      <c r="J220" s="1" t="n"/>
    </row>
    <row r="221">
      <c r="A221" s="1" t="n"/>
      <c r="B221" s="25" t="n"/>
      <c r="C221" s="26" t="n"/>
      <c r="D221" s="72">
        <f>IF(C221="","",IFERROR(INDEX(Effectif!$D$7:$D$21,MATCH(C221,Effectif!$C$7:$C$21,0)),""))</f>
        <v/>
      </c>
      <c r="E221" s="26" t="n"/>
      <c r="F221" s="73" t="n"/>
      <c r="G221" s="74">
        <f>IF(NOT(ISNUMBER(F221)),"",IF(E221="Entrée",F221,-F221))</f>
        <v/>
      </c>
      <c r="H221" s="26" t="n"/>
      <c r="I221" s="2" t="n"/>
      <c r="J221" s="1" t="n"/>
    </row>
    <row r="222">
      <c r="A222" s="1" t="n"/>
      <c r="B222" s="25" t="n"/>
      <c r="C222" s="26" t="n"/>
      <c r="D222" s="72">
        <f>IF(C222="","",IFERROR(INDEX(Effectif!$D$7:$D$21,MATCH(C222,Effectif!$C$7:$C$21,0)),""))</f>
        <v/>
      </c>
      <c r="E222" s="26" t="n"/>
      <c r="F222" s="73" t="n"/>
      <c r="G222" s="74">
        <f>IF(NOT(ISNUMBER(F222)),"",IF(E222="Entrée",F222,-F222))</f>
        <v/>
      </c>
      <c r="H222" s="26" t="n"/>
      <c r="I222" s="2" t="n"/>
      <c r="J222" s="1" t="n"/>
    </row>
    <row r="223">
      <c r="A223" s="1" t="n"/>
      <c r="B223" s="25" t="n"/>
      <c r="C223" s="26" t="n"/>
      <c r="D223" s="72">
        <f>IF(C223="","",IFERROR(INDEX(Effectif!$D$7:$D$21,MATCH(C223,Effectif!$C$7:$C$21,0)),""))</f>
        <v/>
      </c>
      <c r="E223" s="26" t="n"/>
      <c r="F223" s="73" t="n"/>
      <c r="G223" s="74">
        <f>IF(NOT(ISNUMBER(F223)),"",IF(E223="Entrée",F223,-F223))</f>
        <v/>
      </c>
      <c r="H223" s="26" t="n"/>
      <c r="I223" s="2" t="n"/>
      <c r="J223" s="1" t="n"/>
    </row>
    <row r="224">
      <c r="A224" s="1" t="n"/>
      <c r="B224" s="25" t="n"/>
      <c r="C224" s="26" t="n"/>
      <c r="D224" s="72">
        <f>IF(C224="","",IFERROR(INDEX(Effectif!$D$7:$D$21,MATCH(C224,Effectif!$C$7:$C$21,0)),""))</f>
        <v/>
      </c>
      <c r="E224" s="26" t="n"/>
      <c r="F224" s="73" t="n"/>
      <c r="G224" s="74">
        <f>IF(NOT(ISNUMBER(F224)),"",IF(E224="Entrée",F224,-F224))</f>
        <v/>
      </c>
      <c r="H224" s="26" t="n"/>
      <c r="I224" s="2" t="n"/>
      <c r="J224" s="1" t="n"/>
    </row>
    <row r="225">
      <c r="A225" s="1" t="n"/>
      <c r="B225" s="25" t="n"/>
      <c r="C225" s="26" t="n"/>
      <c r="D225" s="72">
        <f>IF(C225="","",IFERROR(INDEX(Effectif!$D$7:$D$21,MATCH(C225,Effectif!$C$7:$C$21,0)),""))</f>
        <v/>
      </c>
      <c r="E225" s="26" t="n"/>
      <c r="F225" s="73" t="n"/>
      <c r="G225" s="74">
        <f>IF(NOT(ISNUMBER(F225)),"",IF(E225="Entrée",F225,-F225))</f>
        <v/>
      </c>
      <c r="H225" s="26" t="n"/>
      <c r="I225" s="2" t="n"/>
      <c r="J225" s="1" t="n"/>
    </row>
    <row r="226">
      <c r="A226" s="1" t="n"/>
      <c r="B226" s="25" t="n"/>
      <c r="C226" s="26" t="n"/>
      <c r="D226" s="72">
        <f>IF(C226="","",IFERROR(INDEX(Effectif!$D$7:$D$21,MATCH(C226,Effectif!$C$7:$C$21,0)),""))</f>
        <v/>
      </c>
      <c r="E226" s="26" t="n"/>
      <c r="F226" s="73" t="n"/>
      <c r="G226" s="74">
        <f>IF(NOT(ISNUMBER(F226)),"",IF(E226="Entrée",F226,-F226))</f>
        <v/>
      </c>
      <c r="H226" s="26" t="n"/>
      <c r="I226" s="2" t="n"/>
      <c r="J226" s="1" t="n"/>
    </row>
    <row r="227">
      <c r="A227" s="1" t="n"/>
      <c r="B227" s="25" t="n"/>
      <c r="C227" s="26" t="n"/>
      <c r="D227" s="72">
        <f>IF(C227="","",IFERROR(INDEX(Effectif!$D$7:$D$21,MATCH(C227,Effectif!$C$7:$C$21,0)),""))</f>
        <v/>
      </c>
      <c r="E227" s="26" t="n"/>
      <c r="F227" s="73" t="n"/>
      <c r="G227" s="74">
        <f>IF(NOT(ISNUMBER(F227)),"",IF(E227="Entrée",F227,-F227))</f>
        <v/>
      </c>
      <c r="H227" s="26" t="n"/>
      <c r="I227" s="2" t="n"/>
      <c r="J227" s="1" t="n"/>
    </row>
    <row r="228">
      <c r="A228" s="1" t="n"/>
      <c r="B228" s="25" t="n"/>
      <c r="C228" s="26" t="n"/>
      <c r="D228" s="72">
        <f>IF(C228="","",IFERROR(INDEX(Effectif!$D$7:$D$21,MATCH(C228,Effectif!$C$7:$C$21,0)),""))</f>
        <v/>
      </c>
      <c r="E228" s="26" t="n"/>
      <c r="F228" s="73" t="n"/>
      <c r="G228" s="74">
        <f>IF(NOT(ISNUMBER(F228)),"",IF(E228="Entrée",F228,-F228))</f>
        <v/>
      </c>
      <c r="H228" s="26" t="n"/>
      <c r="I228" s="2" t="n"/>
      <c r="J228" s="1" t="n"/>
    </row>
    <row r="229">
      <c r="A229" s="1" t="n"/>
      <c r="B229" s="25" t="n"/>
      <c r="C229" s="26" t="n"/>
      <c r="D229" s="72">
        <f>IF(C229="","",IFERROR(INDEX(Effectif!$D$7:$D$21,MATCH(C229,Effectif!$C$7:$C$21,0)),""))</f>
        <v/>
      </c>
      <c r="E229" s="26" t="n"/>
      <c r="F229" s="73" t="n"/>
      <c r="G229" s="74">
        <f>IF(NOT(ISNUMBER(F229)),"",IF(E229="Entrée",F229,-F229))</f>
        <v/>
      </c>
      <c r="H229" s="26" t="n"/>
      <c r="I229" s="2" t="n"/>
      <c r="J229" s="1" t="n"/>
    </row>
    <row r="230">
      <c r="A230" s="1" t="n"/>
      <c r="B230" s="25" t="n"/>
      <c r="C230" s="26" t="n"/>
      <c r="D230" s="72">
        <f>IF(C230="","",IFERROR(INDEX(Effectif!$D$7:$D$21,MATCH(C230,Effectif!$C$7:$C$21,0)),""))</f>
        <v/>
      </c>
      <c r="E230" s="26" t="n"/>
      <c r="F230" s="73" t="n"/>
      <c r="G230" s="74">
        <f>IF(NOT(ISNUMBER(F230)),"",IF(E230="Entrée",F230,-F230))</f>
        <v/>
      </c>
      <c r="H230" s="26" t="n"/>
      <c r="I230" s="2" t="n"/>
      <c r="J230" s="1" t="n"/>
    </row>
    <row r="231">
      <c r="A231" s="1" t="n"/>
      <c r="B231" s="25" t="n"/>
      <c r="C231" s="26" t="n"/>
      <c r="D231" s="72">
        <f>IF(C231="","",IFERROR(INDEX(Effectif!$D$7:$D$21,MATCH(C231,Effectif!$C$7:$C$21,0)),""))</f>
        <v/>
      </c>
      <c r="E231" s="26" t="n"/>
      <c r="F231" s="73" t="n"/>
      <c r="G231" s="74">
        <f>IF(NOT(ISNUMBER(F231)),"",IF(E231="Entrée",F231,-F231))</f>
        <v/>
      </c>
      <c r="H231" s="26" t="n"/>
      <c r="I231" s="2" t="n"/>
      <c r="J231" s="1" t="n"/>
    </row>
    <row r="232">
      <c r="A232" s="1" t="n"/>
      <c r="B232" s="25" t="n"/>
      <c r="C232" s="26" t="n"/>
      <c r="D232" s="72">
        <f>IF(C232="","",IFERROR(INDEX(Effectif!$D$7:$D$21,MATCH(C232,Effectif!$C$7:$C$21,0)),""))</f>
        <v/>
      </c>
      <c r="E232" s="26" t="n"/>
      <c r="F232" s="73" t="n"/>
      <c r="G232" s="74">
        <f>IF(NOT(ISNUMBER(F232)),"",IF(E232="Entrée",F232,-F232))</f>
        <v/>
      </c>
      <c r="H232" s="26" t="n"/>
      <c r="I232" s="2" t="n"/>
      <c r="J232" s="1" t="n"/>
    </row>
    <row r="233">
      <c r="A233" s="1" t="n"/>
      <c r="B233" s="25" t="n"/>
      <c r="C233" s="26" t="n"/>
      <c r="D233" s="72">
        <f>IF(C233="","",IFERROR(INDEX(Effectif!$D$7:$D$21,MATCH(C233,Effectif!$C$7:$C$21,0)),""))</f>
        <v/>
      </c>
      <c r="E233" s="26" t="n"/>
      <c r="F233" s="73" t="n"/>
      <c r="G233" s="74">
        <f>IF(NOT(ISNUMBER(F233)),"",IF(E233="Entrée",F233,-F233))</f>
        <v/>
      </c>
      <c r="H233" s="26" t="n"/>
      <c r="I233" s="2" t="n"/>
      <c r="J233" s="1" t="n"/>
    </row>
    <row r="234">
      <c r="A234" s="1" t="n"/>
      <c r="B234" s="25" t="n"/>
      <c r="C234" s="26" t="n"/>
      <c r="D234" s="72">
        <f>IF(C234="","",IFERROR(INDEX(Effectif!$D$7:$D$21,MATCH(C234,Effectif!$C$7:$C$21,0)),""))</f>
        <v/>
      </c>
      <c r="E234" s="26" t="n"/>
      <c r="F234" s="73" t="n"/>
      <c r="G234" s="74">
        <f>IF(NOT(ISNUMBER(F234)),"",IF(E234="Entrée",F234,-F234))</f>
        <v/>
      </c>
      <c r="H234" s="26" t="n"/>
      <c r="I234" s="2" t="n"/>
      <c r="J234" s="1" t="n"/>
    </row>
    <row r="235">
      <c r="A235" s="1" t="n"/>
      <c r="B235" s="25" t="n"/>
      <c r="C235" s="26" t="n"/>
      <c r="D235" s="72">
        <f>IF(C235="","",IFERROR(INDEX(Effectif!$D$7:$D$21,MATCH(C235,Effectif!$C$7:$C$21,0)),""))</f>
        <v/>
      </c>
      <c r="E235" s="26" t="n"/>
      <c r="F235" s="73" t="n"/>
      <c r="G235" s="74">
        <f>IF(NOT(ISNUMBER(F235)),"",IF(E235="Entrée",F235,-F235))</f>
        <v/>
      </c>
      <c r="H235" s="26" t="n"/>
      <c r="I235" s="2" t="n"/>
      <c r="J235" s="1" t="n"/>
    </row>
    <row r="236">
      <c r="A236" s="1" t="n"/>
      <c r="B236" s="25" t="n"/>
      <c r="C236" s="26" t="n"/>
      <c r="D236" s="72">
        <f>IF(C236="","",IFERROR(INDEX(Effectif!$D$7:$D$21,MATCH(C236,Effectif!$C$7:$C$21,0)),""))</f>
        <v/>
      </c>
      <c r="E236" s="26" t="n"/>
      <c r="F236" s="73" t="n"/>
      <c r="G236" s="74">
        <f>IF(NOT(ISNUMBER(F236)),"",IF(E236="Entrée",F236,-F236))</f>
        <v/>
      </c>
      <c r="H236" s="26" t="n"/>
      <c r="I236" s="2" t="n"/>
      <c r="J236" s="1" t="n"/>
    </row>
    <row r="237">
      <c r="A237" s="1" t="n"/>
      <c r="B237" s="25" t="n"/>
      <c r="C237" s="26" t="n"/>
      <c r="D237" s="72">
        <f>IF(C237="","",IFERROR(INDEX(Effectif!$D$7:$D$21,MATCH(C237,Effectif!$C$7:$C$21,0)),""))</f>
        <v/>
      </c>
      <c r="E237" s="26" t="n"/>
      <c r="F237" s="73" t="n"/>
      <c r="G237" s="74">
        <f>IF(NOT(ISNUMBER(F237)),"",IF(E237="Entrée",F237,-F237))</f>
        <v/>
      </c>
      <c r="H237" s="26" t="n"/>
      <c r="I237" s="2" t="n"/>
      <c r="J237" s="1" t="n"/>
    </row>
    <row r="238">
      <c r="A238" s="1" t="n"/>
      <c r="B238" s="25" t="n"/>
      <c r="C238" s="26" t="n"/>
      <c r="D238" s="72">
        <f>IF(C238="","",IFERROR(INDEX(Effectif!$D$7:$D$21,MATCH(C238,Effectif!$C$7:$C$21,0)),""))</f>
        <v/>
      </c>
      <c r="E238" s="26" t="n"/>
      <c r="F238" s="73" t="n"/>
      <c r="G238" s="74">
        <f>IF(NOT(ISNUMBER(F238)),"",IF(E238="Entrée",F238,-F238))</f>
        <v/>
      </c>
      <c r="H238" s="26" t="n"/>
      <c r="I238" s="2" t="n"/>
      <c r="J238" s="1" t="n"/>
    </row>
    <row r="239">
      <c r="A239" s="1" t="n"/>
      <c r="B239" s="25" t="n"/>
      <c r="C239" s="26" t="n"/>
      <c r="D239" s="72">
        <f>IF(C239="","",IFERROR(INDEX(Effectif!$D$7:$D$21,MATCH(C239,Effectif!$C$7:$C$21,0)),""))</f>
        <v/>
      </c>
      <c r="E239" s="26" t="n"/>
      <c r="F239" s="73" t="n"/>
      <c r="G239" s="74">
        <f>IF(NOT(ISNUMBER(F239)),"",IF(E239="Entrée",F239,-F239))</f>
        <v/>
      </c>
      <c r="H239" s="26" t="n"/>
      <c r="I239" s="2" t="n"/>
      <c r="J239" s="1" t="n"/>
    </row>
    <row r="240">
      <c r="A240" s="1" t="n"/>
      <c r="B240" s="25" t="n"/>
      <c r="C240" s="26" t="n"/>
      <c r="D240" s="72">
        <f>IF(C240="","",IFERROR(INDEX(Effectif!$D$7:$D$21,MATCH(C240,Effectif!$C$7:$C$21,0)),""))</f>
        <v/>
      </c>
      <c r="E240" s="26" t="n"/>
      <c r="F240" s="73" t="n"/>
      <c r="G240" s="74">
        <f>IF(NOT(ISNUMBER(F240)),"",IF(E240="Entrée",F240,-F240))</f>
        <v/>
      </c>
      <c r="H240" s="26" t="n"/>
      <c r="I240" s="2" t="n"/>
      <c r="J240" s="1" t="n"/>
    </row>
    <row r="241">
      <c r="A241" s="1" t="n"/>
      <c r="B241" s="25" t="n"/>
      <c r="C241" s="26" t="n"/>
      <c r="D241" s="72">
        <f>IF(C241="","",IFERROR(INDEX(Effectif!$D$7:$D$21,MATCH(C241,Effectif!$C$7:$C$21,0)),""))</f>
        <v/>
      </c>
      <c r="E241" s="26" t="n"/>
      <c r="F241" s="73" t="n"/>
      <c r="G241" s="74">
        <f>IF(NOT(ISNUMBER(F241)),"",IF(E241="Entrée",F241,-F241))</f>
        <v/>
      </c>
      <c r="H241" s="26" t="n"/>
      <c r="I241" s="2" t="n"/>
      <c r="J241" s="1" t="n"/>
    </row>
    <row r="242">
      <c r="A242" s="1" t="n"/>
      <c r="B242" s="25" t="n"/>
      <c r="C242" s="26" t="n"/>
      <c r="D242" s="72">
        <f>IF(C242="","",IFERROR(INDEX(Effectif!$D$7:$D$21,MATCH(C242,Effectif!$C$7:$C$21,0)),""))</f>
        <v/>
      </c>
      <c r="E242" s="26" t="n"/>
      <c r="F242" s="73" t="n"/>
      <c r="G242" s="74">
        <f>IF(NOT(ISNUMBER(F242)),"",IF(E242="Entrée",F242,-F242))</f>
        <v/>
      </c>
      <c r="H242" s="26" t="n"/>
      <c r="I242" s="2" t="n"/>
      <c r="J242" s="1" t="n"/>
    </row>
    <row r="243">
      <c r="A243" s="1" t="n"/>
      <c r="B243" s="25" t="n"/>
      <c r="C243" s="26" t="n"/>
      <c r="D243" s="72">
        <f>IF(C243="","",IFERROR(INDEX(Effectif!$D$7:$D$21,MATCH(C243,Effectif!$C$7:$C$21,0)),""))</f>
        <v/>
      </c>
      <c r="E243" s="26" t="n"/>
      <c r="F243" s="73" t="n"/>
      <c r="G243" s="74">
        <f>IF(NOT(ISNUMBER(F243)),"",IF(E243="Entrée",F243,-F243))</f>
        <v/>
      </c>
      <c r="H243" s="26" t="n"/>
      <c r="I243" s="2" t="n"/>
      <c r="J243" s="1" t="n"/>
    </row>
    <row r="244">
      <c r="A244" s="1" t="n"/>
      <c r="B244" s="25" t="n"/>
      <c r="C244" s="26" t="n"/>
      <c r="D244" s="72">
        <f>IF(C244="","",IFERROR(INDEX(Effectif!$D$7:$D$21,MATCH(C244,Effectif!$C$7:$C$21,0)),""))</f>
        <v/>
      </c>
      <c r="E244" s="26" t="n"/>
      <c r="F244" s="73" t="n"/>
      <c r="G244" s="74">
        <f>IF(NOT(ISNUMBER(F244)),"",IF(E244="Entrée",F244,-F244))</f>
        <v/>
      </c>
      <c r="H244" s="26" t="n"/>
      <c r="I244" s="2" t="n"/>
      <c r="J244" s="1" t="n"/>
    </row>
    <row r="245">
      <c r="A245" s="1" t="n"/>
      <c r="B245" s="25" t="n"/>
      <c r="C245" s="26" t="n"/>
      <c r="D245" s="72">
        <f>IF(C245="","",IFERROR(INDEX(Effectif!$D$7:$D$21,MATCH(C245,Effectif!$C$7:$C$21,0)),""))</f>
        <v/>
      </c>
      <c r="E245" s="26" t="n"/>
      <c r="F245" s="73" t="n"/>
      <c r="G245" s="74">
        <f>IF(NOT(ISNUMBER(F245)),"",IF(E245="Entrée",F245,-F245))</f>
        <v/>
      </c>
      <c r="H245" s="26" t="n"/>
      <c r="I245" s="2" t="n"/>
      <c r="J245" s="1" t="n"/>
    </row>
    <row r="246">
      <c r="A246" s="1" t="n"/>
      <c r="B246" s="25" t="n"/>
      <c r="C246" s="26" t="n"/>
      <c r="D246" s="72">
        <f>IF(C246="","",IFERROR(INDEX(Effectif!$D$7:$D$21,MATCH(C246,Effectif!$C$7:$C$21,0)),""))</f>
        <v/>
      </c>
      <c r="E246" s="26" t="n"/>
      <c r="F246" s="73" t="n"/>
      <c r="G246" s="74">
        <f>IF(NOT(ISNUMBER(F246)),"",IF(E246="Entrée",F246,-F246))</f>
        <v/>
      </c>
      <c r="H246" s="26" t="n"/>
      <c r="I246" s="2" t="n"/>
      <c r="J246" s="1" t="n"/>
    </row>
    <row r="247">
      <c r="A247" s="1" t="n"/>
      <c r="B247" s="25" t="n"/>
      <c r="C247" s="26" t="n"/>
      <c r="D247" s="72">
        <f>IF(C247="","",IFERROR(INDEX(Effectif!$D$7:$D$21,MATCH(C247,Effectif!$C$7:$C$21,0)),""))</f>
        <v/>
      </c>
      <c r="E247" s="26" t="n"/>
      <c r="F247" s="73" t="n"/>
      <c r="G247" s="74">
        <f>IF(NOT(ISNUMBER(F247)),"",IF(E247="Entrée",F247,-F247))</f>
        <v/>
      </c>
      <c r="H247" s="26" t="n"/>
      <c r="I247" s="2" t="n"/>
      <c r="J247" s="1" t="n"/>
    </row>
    <row r="248">
      <c r="A248" s="1" t="n"/>
      <c r="B248" s="25" t="n"/>
      <c r="C248" s="26" t="n"/>
      <c r="D248" s="72">
        <f>IF(C248="","",IFERROR(INDEX(Effectif!$D$7:$D$21,MATCH(C248,Effectif!$C$7:$C$21,0)),""))</f>
        <v/>
      </c>
      <c r="E248" s="26" t="n"/>
      <c r="F248" s="73" t="n"/>
      <c r="G248" s="74">
        <f>IF(NOT(ISNUMBER(F248)),"",IF(E248="Entrée",F248,-F248))</f>
        <v/>
      </c>
      <c r="H248" s="26" t="n"/>
      <c r="I248" s="2" t="n"/>
      <c r="J248" s="1" t="n"/>
    </row>
    <row r="249">
      <c r="A249" s="1" t="n"/>
      <c r="B249" s="25" t="n"/>
      <c r="C249" s="26" t="n"/>
      <c r="D249" s="72">
        <f>IF(C249="","",IFERROR(INDEX(Effectif!$D$7:$D$21,MATCH(C249,Effectif!$C$7:$C$21,0)),""))</f>
        <v/>
      </c>
      <c r="E249" s="26" t="n"/>
      <c r="F249" s="73" t="n"/>
      <c r="G249" s="74">
        <f>IF(NOT(ISNUMBER(F249)),"",IF(E249="Entrée",F249,-F249))</f>
        <v/>
      </c>
      <c r="H249" s="26" t="n"/>
      <c r="I249" s="2" t="n"/>
      <c r="J249" s="1" t="n"/>
    </row>
    <row r="250">
      <c r="A250" s="1" t="n"/>
      <c r="B250" s="25" t="n"/>
      <c r="C250" s="26" t="n"/>
      <c r="D250" s="72">
        <f>IF(C250="","",IFERROR(INDEX(Effectif!$D$7:$D$21,MATCH(C250,Effectif!$C$7:$C$21,0)),""))</f>
        <v/>
      </c>
      <c r="E250" s="26" t="n"/>
      <c r="F250" s="73" t="n"/>
      <c r="G250" s="74">
        <f>IF(NOT(ISNUMBER(F250)),"",IF(E250="Entrée",F250,-F250))</f>
        <v/>
      </c>
      <c r="H250" s="26" t="n"/>
      <c r="I250" s="2" t="n"/>
      <c r="J250" s="1" t="n"/>
    </row>
    <row r="251">
      <c r="A251" s="1" t="n"/>
      <c r="B251" s="25" t="n"/>
      <c r="C251" s="26" t="n"/>
      <c r="D251" s="72">
        <f>IF(C251="","",IFERROR(INDEX(Effectif!$D$7:$D$21,MATCH(C251,Effectif!$C$7:$C$21,0)),""))</f>
        <v/>
      </c>
      <c r="E251" s="26" t="n"/>
      <c r="F251" s="73" t="n"/>
      <c r="G251" s="74">
        <f>IF(NOT(ISNUMBER(F251)),"",IF(E251="Entrée",F251,-F251))</f>
        <v/>
      </c>
      <c r="H251" s="26" t="n"/>
      <c r="I251" s="2" t="n"/>
      <c r="J251" s="1" t="n"/>
    </row>
    <row r="252">
      <c r="A252" s="1" t="n"/>
      <c r="B252" s="25" t="n"/>
      <c r="C252" s="26" t="n"/>
      <c r="D252" s="72">
        <f>IF(C252="","",IFERROR(INDEX(Effectif!$D$7:$D$21,MATCH(C252,Effectif!$C$7:$C$21,0)),""))</f>
        <v/>
      </c>
      <c r="E252" s="26" t="n"/>
      <c r="F252" s="73" t="n"/>
      <c r="G252" s="74">
        <f>IF(NOT(ISNUMBER(F252)),"",IF(E252="Entrée",F252,-F252))</f>
        <v/>
      </c>
      <c r="H252" s="26" t="n"/>
      <c r="I252" s="2" t="n"/>
      <c r="J252" s="1" t="n"/>
    </row>
    <row r="253">
      <c r="A253" s="1" t="n"/>
      <c r="B253" s="25" t="n"/>
      <c r="C253" s="26" t="n"/>
      <c r="D253" s="72">
        <f>IF(C253="","",IFERROR(INDEX(Effectif!$D$7:$D$21,MATCH(C253,Effectif!$C$7:$C$21,0)),""))</f>
        <v/>
      </c>
      <c r="E253" s="26" t="n"/>
      <c r="F253" s="73" t="n"/>
      <c r="G253" s="74">
        <f>IF(NOT(ISNUMBER(F253)),"",IF(E253="Entrée",F253,-F253))</f>
        <v/>
      </c>
      <c r="H253" s="26" t="n"/>
      <c r="I253" s="2" t="n"/>
      <c r="J253" s="1" t="n"/>
    </row>
    <row r="254">
      <c r="A254" s="1" t="n"/>
      <c r="B254" s="25" t="n"/>
      <c r="C254" s="26" t="n"/>
      <c r="D254" s="72">
        <f>IF(C254="","",IFERROR(INDEX(Effectif!$D$7:$D$21,MATCH(C254,Effectif!$C$7:$C$21,0)),""))</f>
        <v/>
      </c>
      <c r="E254" s="26" t="n"/>
      <c r="F254" s="73" t="n"/>
      <c r="G254" s="74">
        <f>IF(NOT(ISNUMBER(F254)),"",IF(E254="Entrée",F254,-F254))</f>
        <v/>
      </c>
      <c r="H254" s="26" t="n"/>
      <c r="I254" s="2" t="n"/>
      <c r="J254" s="1" t="n"/>
    </row>
    <row r="255">
      <c r="A255" s="1" t="n"/>
      <c r="B255" s="25" t="n"/>
      <c r="C255" s="26" t="n"/>
      <c r="D255" s="72">
        <f>IF(C255="","",IFERROR(INDEX(Effectif!$D$7:$D$21,MATCH(C255,Effectif!$C$7:$C$21,0)),""))</f>
        <v/>
      </c>
      <c r="E255" s="26" t="n"/>
      <c r="F255" s="73" t="n"/>
      <c r="G255" s="74">
        <f>IF(NOT(ISNUMBER(F255)),"",IF(E255="Entrée",F255,-F255))</f>
        <v/>
      </c>
      <c r="H255" s="26" t="n"/>
      <c r="I255" s="2" t="n"/>
      <c r="J255" s="1" t="n"/>
    </row>
    <row r="256">
      <c r="A256" s="1" t="n"/>
      <c r="B256" s="25" t="n"/>
      <c r="C256" s="26" t="n"/>
      <c r="D256" s="72">
        <f>IF(C256="","",IFERROR(INDEX(Effectif!$D$7:$D$21,MATCH(C256,Effectif!$C$7:$C$21,0)),""))</f>
        <v/>
      </c>
      <c r="E256" s="26" t="n"/>
      <c r="F256" s="73" t="n"/>
      <c r="G256" s="74">
        <f>IF(NOT(ISNUMBER(F256)),"",IF(E256="Entrée",F256,-F256))</f>
        <v/>
      </c>
      <c r="H256" s="26" t="n"/>
      <c r="I256" s="2" t="n"/>
      <c r="J256" s="1" t="n"/>
    </row>
    <row r="257">
      <c r="A257" s="1" t="n"/>
      <c r="B257" s="25" t="n"/>
      <c r="C257" s="26" t="n"/>
      <c r="D257" s="72">
        <f>IF(C257="","",IFERROR(INDEX(Effectif!$D$7:$D$21,MATCH(C257,Effectif!$C$7:$C$21,0)),""))</f>
        <v/>
      </c>
      <c r="E257" s="26" t="n"/>
      <c r="F257" s="73" t="n"/>
      <c r="G257" s="74">
        <f>IF(NOT(ISNUMBER(F257)),"",IF(E257="Entrée",F257,-F257))</f>
        <v/>
      </c>
      <c r="H257" s="26" t="n"/>
      <c r="I257" s="2" t="n"/>
      <c r="J257" s="1" t="n"/>
    </row>
    <row r="258">
      <c r="A258" s="1" t="n"/>
      <c r="B258" s="25" t="n"/>
      <c r="C258" s="26" t="n"/>
      <c r="D258" s="72">
        <f>IF(C258="","",IFERROR(INDEX(Effectif!$D$7:$D$21,MATCH(C258,Effectif!$C$7:$C$21,0)),""))</f>
        <v/>
      </c>
      <c r="E258" s="26" t="n"/>
      <c r="F258" s="73" t="n"/>
      <c r="G258" s="74">
        <f>IF(NOT(ISNUMBER(F258)),"",IF(E258="Entrée",F258,-F258))</f>
        <v/>
      </c>
      <c r="H258" s="26" t="n"/>
      <c r="I258" s="2" t="n"/>
      <c r="J258" s="1" t="n"/>
    </row>
    <row r="259">
      <c r="A259" s="1" t="n"/>
      <c r="B259" s="25" t="n"/>
      <c r="C259" s="26" t="n"/>
      <c r="D259" s="72">
        <f>IF(C259="","",IFERROR(INDEX(Effectif!$D$7:$D$21,MATCH(C259,Effectif!$C$7:$C$21,0)),""))</f>
        <v/>
      </c>
      <c r="E259" s="26" t="n"/>
      <c r="F259" s="73" t="n"/>
      <c r="G259" s="74">
        <f>IF(NOT(ISNUMBER(F259)),"",IF(E259="Entrée",F259,-F259))</f>
        <v/>
      </c>
      <c r="H259" s="26" t="n"/>
      <c r="I259" s="2" t="n"/>
      <c r="J259" s="1" t="n"/>
    </row>
    <row r="260">
      <c r="A260" s="1" t="n"/>
      <c r="B260" s="25" t="n"/>
      <c r="C260" s="26" t="n"/>
      <c r="D260" s="72">
        <f>IF(C260="","",IFERROR(INDEX(Effectif!$D$7:$D$21,MATCH(C260,Effectif!$C$7:$C$21,0)),""))</f>
        <v/>
      </c>
      <c r="E260" s="26" t="n"/>
      <c r="F260" s="73" t="n"/>
      <c r="G260" s="74">
        <f>IF(NOT(ISNUMBER(F260)),"",IF(E260="Entrée",F260,-F260))</f>
        <v/>
      </c>
      <c r="H260" s="26" t="n"/>
      <c r="I260" s="2" t="n"/>
      <c r="J260" s="1" t="n"/>
    </row>
    <row r="261">
      <c r="A261" s="1" t="n"/>
      <c r="B261" s="25" t="n"/>
      <c r="C261" s="26" t="n"/>
      <c r="D261" s="72">
        <f>IF(C261="","",IFERROR(INDEX(Effectif!$D$7:$D$21,MATCH(C261,Effectif!$C$7:$C$21,0)),""))</f>
        <v/>
      </c>
      <c r="E261" s="26" t="n"/>
      <c r="F261" s="73" t="n"/>
      <c r="G261" s="74">
        <f>IF(NOT(ISNUMBER(F261)),"",IF(E261="Entrée",F261,-F261))</f>
        <v/>
      </c>
      <c r="H261" s="26" t="n"/>
      <c r="I261" s="2" t="n"/>
      <c r="J261" s="1" t="n"/>
    </row>
    <row r="262">
      <c r="A262" s="1" t="n"/>
      <c r="B262" s="25" t="n"/>
      <c r="C262" s="26" t="n"/>
      <c r="D262" s="72">
        <f>IF(C262="","",IFERROR(INDEX(Effectif!$D$7:$D$21,MATCH(C262,Effectif!$C$7:$C$21,0)),""))</f>
        <v/>
      </c>
      <c r="E262" s="26" t="n"/>
      <c r="F262" s="73" t="n"/>
      <c r="G262" s="74">
        <f>IF(NOT(ISNUMBER(F262)),"",IF(E262="Entrée",F262,-F262))</f>
        <v/>
      </c>
      <c r="H262" s="26" t="n"/>
      <c r="I262" s="2" t="n"/>
      <c r="J262" s="1" t="n"/>
    </row>
    <row r="263">
      <c r="A263" s="1" t="n"/>
      <c r="B263" s="25" t="n"/>
      <c r="C263" s="26" t="n"/>
      <c r="D263" s="72">
        <f>IF(C263="","",IFERROR(INDEX(Effectif!$D$7:$D$21,MATCH(C263,Effectif!$C$7:$C$21,0)),""))</f>
        <v/>
      </c>
      <c r="E263" s="26" t="n"/>
      <c r="F263" s="73" t="n"/>
      <c r="G263" s="74">
        <f>IF(NOT(ISNUMBER(F263)),"",IF(E263="Entrée",F263,-F263))</f>
        <v/>
      </c>
      <c r="H263" s="26" t="n"/>
      <c r="I263" s="2" t="n"/>
      <c r="J263" s="1" t="n"/>
    </row>
    <row r="264">
      <c r="A264" s="1" t="n"/>
      <c r="B264" s="25" t="n"/>
      <c r="C264" s="26" t="n"/>
      <c r="D264" s="72">
        <f>IF(C264="","",IFERROR(INDEX(Effectif!$D$7:$D$21,MATCH(C264,Effectif!$C$7:$C$21,0)),""))</f>
        <v/>
      </c>
      <c r="E264" s="26" t="n"/>
      <c r="F264" s="73" t="n"/>
      <c r="G264" s="74">
        <f>IF(NOT(ISNUMBER(F264)),"",IF(E264="Entrée",F264,-F264))</f>
        <v/>
      </c>
      <c r="H264" s="26" t="n"/>
      <c r="I264" s="2" t="n"/>
      <c r="J264" s="1" t="n"/>
    </row>
    <row r="265">
      <c r="A265" s="1" t="n"/>
      <c r="B265" s="25" t="n"/>
      <c r="C265" s="26" t="n"/>
      <c r="D265" s="72">
        <f>IF(C265="","",IFERROR(INDEX(Effectif!$D$7:$D$21,MATCH(C265,Effectif!$C$7:$C$21,0)),""))</f>
        <v/>
      </c>
      <c r="E265" s="26" t="n"/>
      <c r="F265" s="73" t="n"/>
      <c r="G265" s="74">
        <f>IF(NOT(ISNUMBER(F265)),"",IF(E265="Entrée",F265,-F265))</f>
        <v/>
      </c>
      <c r="H265" s="26" t="n"/>
      <c r="I265" s="2" t="n"/>
      <c r="J265" s="1" t="n"/>
    </row>
    <row r="266">
      <c r="A266" s="1" t="n"/>
      <c r="B266" s="25" t="n"/>
      <c r="C266" s="26" t="n"/>
      <c r="D266" s="72">
        <f>IF(C266="","",IFERROR(INDEX(Effectif!$D$7:$D$21,MATCH(C266,Effectif!$C$7:$C$21,0)),""))</f>
        <v/>
      </c>
      <c r="E266" s="26" t="n"/>
      <c r="F266" s="73" t="n"/>
      <c r="G266" s="74">
        <f>IF(NOT(ISNUMBER(F266)),"",IF(E266="Entrée",F266,-F266))</f>
        <v/>
      </c>
      <c r="H266" s="26" t="n"/>
      <c r="I266" s="2" t="n"/>
      <c r="J266" s="1" t="n"/>
    </row>
    <row r="267">
      <c r="A267" s="1" t="n"/>
      <c r="B267" s="25" t="n"/>
      <c r="C267" s="26" t="n"/>
      <c r="D267" s="72">
        <f>IF(C267="","",IFERROR(INDEX(Effectif!$D$7:$D$21,MATCH(C267,Effectif!$C$7:$C$21,0)),""))</f>
        <v/>
      </c>
      <c r="E267" s="26" t="n"/>
      <c r="F267" s="73" t="n"/>
      <c r="G267" s="74">
        <f>IF(NOT(ISNUMBER(F267)),"",IF(E267="Entrée",F267,-F267))</f>
        <v/>
      </c>
      <c r="H267" s="26" t="n"/>
      <c r="I267" s="2" t="n"/>
      <c r="J267" s="1" t="n"/>
    </row>
    <row r="268">
      <c r="A268" s="1" t="n"/>
      <c r="B268" s="25" t="n"/>
      <c r="C268" s="26" t="n"/>
      <c r="D268" s="72">
        <f>IF(C268="","",IFERROR(INDEX(Effectif!$D$7:$D$21,MATCH(C268,Effectif!$C$7:$C$21,0)),""))</f>
        <v/>
      </c>
      <c r="E268" s="26" t="n"/>
      <c r="F268" s="73" t="n"/>
      <c r="G268" s="74">
        <f>IF(NOT(ISNUMBER(F268)),"",IF(E268="Entrée",F268,-F268))</f>
        <v/>
      </c>
      <c r="H268" s="26" t="n"/>
      <c r="I268" s="2" t="n"/>
      <c r="J268" s="1" t="n"/>
    </row>
    <row r="269">
      <c r="A269" s="1" t="n"/>
      <c r="B269" s="25" t="n"/>
      <c r="C269" s="26" t="n"/>
      <c r="D269" s="72">
        <f>IF(C269="","",IFERROR(INDEX(Effectif!$D$7:$D$21,MATCH(C269,Effectif!$C$7:$C$21,0)),""))</f>
        <v/>
      </c>
      <c r="E269" s="26" t="n"/>
      <c r="F269" s="73" t="n"/>
      <c r="G269" s="74">
        <f>IF(NOT(ISNUMBER(F269)),"",IF(E269="Entrée",F269,-F269))</f>
        <v/>
      </c>
      <c r="H269" s="26" t="n"/>
      <c r="I269" s="2" t="n"/>
      <c r="J269" s="1" t="n"/>
    </row>
    <row r="270">
      <c r="A270" s="1" t="n"/>
      <c r="B270" s="25" t="n"/>
      <c r="C270" s="26" t="n"/>
      <c r="D270" s="72">
        <f>IF(C270="","",IFERROR(INDEX(Effectif!$D$7:$D$21,MATCH(C270,Effectif!$C$7:$C$21,0)),""))</f>
        <v/>
      </c>
      <c r="E270" s="26" t="n"/>
      <c r="F270" s="73" t="n"/>
      <c r="G270" s="74">
        <f>IF(NOT(ISNUMBER(F270)),"",IF(E270="Entrée",F270,-F270))</f>
        <v/>
      </c>
      <c r="H270" s="26" t="n"/>
      <c r="I270" s="2" t="n"/>
      <c r="J270" s="1" t="n"/>
    </row>
    <row r="271">
      <c r="A271" s="1" t="n"/>
      <c r="B271" s="25" t="n"/>
      <c r="C271" s="26" t="n"/>
      <c r="D271" s="72">
        <f>IF(C271="","",IFERROR(INDEX(Effectif!$D$7:$D$21,MATCH(C271,Effectif!$C$7:$C$21,0)),""))</f>
        <v/>
      </c>
      <c r="E271" s="26" t="n"/>
      <c r="F271" s="73" t="n"/>
      <c r="G271" s="74">
        <f>IF(NOT(ISNUMBER(F271)),"",IF(E271="Entrée",F271,-F271))</f>
        <v/>
      </c>
      <c r="H271" s="26" t="n"/>
      <c r="I271" s="2" t="n"/>
      <c r="J271" s="1" t="n"/>
    </row>
    <row r="272">
      <c r="A272" s="1" t="n"/>
      <c r="B272" s="25" t="n"/>
      <c r="C272" s="26" t="n"/>
      <c r="D272" s="72">
        <f>IF(C272="","",IFERROR(INDEX(Effectif!$D$7:$D$21,MATCH(C272,Effectif!$C$7:$C$21,0)),""))</f>
        <v/>
      </c>
      <c r="E272" s="26" t="n"/>
      <c r="F272" s="73" t="n"/>
      <c r="G272" s="74">
        <f>IF(NOT(ISNUMBER(F272)),"",IF(E272="Entrée",F272,-F272))</f>
        <v/>
      </c>
      <c r="H272" s="26" t="n"/>
      <c r="I272" s="2" t="n"/>
      <c r="J272" s="1" t="n"/>
    </row>
    <row r="273">
      <c r="A273" s="1" t="n"/>
      <c r="B273" s="25" t="n"/>
      <c r="C273" s="26" t="n"/>
      <c r="D273" s="72">
        <f>IF(C273="","",IFERROR(INDEX(Effectif!$D$7:$D$21,MATCH(C273,Effectif!$C$7:$C$21,0)),""))</f>
        <v/>
      </c>
      <c r="E273" s="26" t="n"/>
      <c r="F273" s="73" t="n"/>
      <c r="G273" s="74">
        <f>IF(NOT(ISNUMBER(F273)),"",IF(E273="Entrée",F273,-F273))</f>
        <v/>
      </c>
      <c r="H273" s="26" t="n"/>
      <c r="I273" s="2" t="n"/>
      <c r="J273" s="1" t="n"/>
    </row>
    <row r="274">
      <c r="A274" s="1" t="n"/>
      <c r="B274" s="25" t="n"/>
      <c r="C274" s="26" t="n"/>
      <c r="D274" s="72">
        <f>IF(C274="","",IFERROR(INDEX(Effectif!$D$7:$D$21,MATCH(C274,Effectif!$C$7:$C$21,0)),""))</f>
        <v/>
      </c>
      <c r="E274" s="26" t="n"/>
      <c r="F274" s="73" t="n"/>
      <c r="G274" s="74">
        <f>IF(NOT(ISNUMBER(F274)),"",IF(E274="Entrée",F274,-F274))</f>
        <v/>
      </c>
      <c r="H274" s="26" t="n"/>
      <c r="I274" s="2" t="n"/>
      <c r="J274" s="1" t="n"/>
    </row>
    <row r="275">
      <c r="A275" s="1" t="n"/>
      <c r="B275" s="25" t="n"/>
      <c r="C275" s="26" t="n"/>
      <c r="D275" s="72">
        <f>IF(C275="","",IFERROR(INDEX(Effectif!$D$7:$D$21,MATCH(C275,Effectif!$C$7:$C$21,0)),""))</f>
        <v/>
      </c>
      <c r="E275" s="26" t="n"/>
      <c r="F275" s="73" t="n"/>
      <c r="G275" s="74">
        <f>IF(NOT(ISNUMBER(F275)),"",IF(E275="Entrée",F275,-F275))</f>
        <v/>
      </c>
      <c r="H275" s="26" t="n"/>
      <c r="I275" s="2" t="n"/>
      <c r="J275" s="1" t="n"/>
    </row>
    <row r="276">
      <c r="A276" s="1" t="n"/>
      <c r="B276" s="25" t="n"/>
      <c r="C276" s="26" t="n"/>
      <c r="D276" s="72">
        <f>IF(C276="","",IFERROR(INDEX(Effectif!$D$7:$D$21,MATCH(C276,Effectif!$C$7:$C$21,0)),""))</f>
        <v/>
      </c>
      <c r="E276" s="26" t="n"/>
      <c r="F276" s="73" t="n"/>
      <c r="G276" s="74">
        <f>IF(NOT(ISNUMBER(F276)),"",IF(E276="Entrée",F276,-F276))</f>
        <v/>
      </c>
      <c r="H276" s="26" t="n"/>
      <c r="I276" s="2" t="n"/>
      <c r="J276" s="1" t="n"/>
    </row>
    <row r="277">
      <c r="A277" s="1" t="n"/>
      <c r="B277" s="25" t="n"/>
      <c r="C277" s="26" t="n"/>
      <c r="D277" s="72">
        <f>IF(C277="","",IFERROR(INDEX(Effectif!$D$7:$D$21,MATCH(C277,Effectif!$C$7:$C$21,0)),""))</f>
        <v/>
      </c>
      <c r="E277" s="26" t="n"/>
      <c r="F277" s="73" t="n"/>
      <c r="G277" s="74">
        <f>IF(NOT(ISNUMBER(F277)),"",IF(E277="Entrée",F277,-F277))</f>
        <v/>
      </c>
      <c r="H277" s="26" t="n"/>
      <c r="I277" s="2" t="n"/>
      <c r="J277" s="1" t="n"/>
    </row>
    <row r="278">
      <c r="A278" s="1" t="n"/>
      <c r="B278" s="25" t="n"/>
      <c r="C278" s="26" t="n"/>
      <c r="D278" s="72">
        <f>IF(C278="","",IFERROR(INDEX(Effectif!$D$7:$D$21,MATCH(C278,Effectif!$C$7:$C$21,0)),""))</f>
        <v/>
      </c>
      <c r="E278" s="26" t="n"/>
      <c r="F278" s="73" t="n"/>
      <c r="G278" s="74">
        <f>IF(NOT(ISNUMBER(F278)),"",IF(E278="Entrée",F278,-F278))</f>
        <v/>
      </c>
      <c r="H278" s="26" t="n"/>
      <c r="I278" s="2" t="n"/>
      <c r="J278" s="1" t="n"/>
    </row>
    <row r="279">
      <c r="A279" s="1" t="n"/>
      <c r="B279" s="25" t="n"/>
      <c r="C279" s="26" t="n"/>
      <c r="D279" s="72">
        <f>IF(C279="","",IFERROR(INDEX(Effectif!$D$7:$D$21,MATCH(C279,Effectif!$C$7:$C$21,0)),""))</f>
        <v/>
      </c>
      <c r="E279" s="26" t="n"/>
      <c r="F279" s="73" t="n"/>
      <c r="G279" s="74">
        <f>IF(NOT(ISNUMBER(F279)),"",IF(E279="Entrée",F279,-F279))</f>
        <v/>
      </c>
      <c r="H279" s="26" t="n"/>
      <c r="I279" s="2" t="n"/>
      <c r="J279" s="1" t="n"/>
    </row>
    <row r="280">
      <c r="A280" s="1" t="n"/>
      <c r="B280" s="25" t="n"/>
      <c r="C280" s="26" t="n"/>
      <c r="D280" s="72">
        <f>IF(C280="","",IFERROR(INDEX(Effectif!$D$7:$D$21,MATCH(C280,Effectif!$C$7:$C$21,0)),""))</f>
        <v/>
      </c>
      <c r="E280" s="26" t="n"/>
      <c r="F280" s="73" t="n"/>
      <c r="G280" s="74">
        <f>IF(NOT(ISNUMBER(F280)),"",IF(E280="Entrée",F280,-F280))</f>
        <v/>
      </c>
      <c r="H280" s="26" t="n"/>
      <c r="I280" s="2" t="n"/>
      <c r="J280" s="1" t="n"/>
    </row>
    <row r="281">
      <c r="A281" s="1" t="n"/>
      <c r="B281" s="25" t="n"/>
      <c r="C281" s="26" t="n"/>
      <c r="D281" s="72">
        <f>IF(C281="","",IFERROR(INDEX(Effectif!$D$7:$D$21,MATCH(C281,Effectif!$C$7:$C$21,0)),""))</f>
        <v/>
      </c>
      <c r="E281" s="26" t="n"/>
      <c r="F281" s="73" t="n"/>
      <c r="G281" s="74">
        <f>IF(NOT(ISNUMBER(F281)),"",IF(E281="Entrée",F281,-F281))</f>
        <v/>
      </c>
      <c r="H281" s="26" t="n"/>
      <c r="I281" s="2" t="n"/>
      <c r="J281" s="1" t="n"/>
    </row>
    <row r="282">
      <c r="A282" s="1" t="n"/>
      <c r="B282" s="25" t="n"/>
      <c r="C282" s="26" t="n"/>
      <c r="D282" s="72">
        <f>IF(C282="","",IFERROR(INDEX(Effectif!$D$7:$D$21,MATCH(C282,Effectif!$C$7:$C$21,0)),""))</f>
        <v/>
      </c>
      <c r="E282" s="26" t="n"/>
      <c r="F282" s="73" t="n"/>
      <c r="G282" s="74">
        <f>IF(NOT(ISNUMBER(F282)),"",IF(E282="Entrée",F282,-F282))</f>
        <v/>
      </c>
      <c r="H282" s="26" t="n"/>
      <c r="I282" s="2" t="n"/>
      <c r="J282" s="1" t="n"/>
    </row>
    <row r="283">
      <c r="A283" s="1" t="n"/>
      <c r="B283" s="25" t="n"/>
      <c r="C283" s="26" t="n"/>
      <c r="D283" s="72">
        <f>IF(C283="","",IFERROR(INDEX(Effectif!$D$7:$D$21,MATCH(C283,Effectif!$C$7:$C$21,0)),""))</f>
        <v/>
      </c>
      <c r="E283" s="26" t="n"/>
      <c r="F283" s="73" t="n"/>
      <c r="G283" s="74">
        <f>IF(NOT(ISNUMBER(F283)),"",IF(E283="Entrée",F283,-F283))</f>
        <v/>
      </c>
      <c r="H283" s="26" t="n"/>
      <c r="I283" s="2" t="n"/>
      <c r="J283" s="1" t="n"/>
    </row>
    <row r="284">
      <c r="A284" s="1" t="n"/>
      <c r="B284" s="25" t="n"/>
      <c r="C284" s="26" t="n"/>
      <c r="D284" s="72">
        <f>IF(C284="","",IFERROR(INDEX(Effectif!$D$7:$D$21,MATCH(C284,Effectif!$C$7:$C$21,0)),""))</f>
        <v/>
      </c>
      <c r="E284" s="26" t="n"/>
      <c r="F284" s="73" t="n"/>
      <c r="G284" s="74">
        <f>IF(NOT(ISNUMBER(F284)),"",IF(E284="Entrée",F284,-F284))</f>
        <v/>
      </c>
      <c r="H284" s="26" t="n"/>
      <c r="I284" s="2" t="n"/>
      <c r="J284" s="1" t="n"/>
    </row>
    <row r="285">
      <c r="A285" s="1" t="n"/>
      <c r="B285" s="25" t="n"/>
      <c r="C285" s="26" t="n"/>
      <c r="D285" s="72">
        <f>IF(C285="","",IFERROR(INDEX(Effectif!$D$7:$D$21,MATCH(C285,Effectif!$C$7:$C$21,0)),""))</f>
        <v/>
      </c>
      <c r="E285" s="26" t="n"/>
      <c r="F285" s="73" t="n"/>
      <c r="G285" s="74">
        <f>IF(NOT(ISNUMBER(F285)),"",IF(E285="Entrée",F285,-F285))</f>
        <v/>
      </c>
      <c r="H285" s="26" t="n"/>
      <c r="I285" s="2" t="n"/>
      <c r="J285" s="1" t="n"/>
    </row>
    <row r="286">
      <c r="A286" s="1" t="n"/>
      <c r="B286" s="25" t="n"/>
      <c r="C286" s="26" t="n"/>
      <c r="D286" s="72">
        <f>IF(C286="","",IFERROR(INDEX(Effectif!$D$7:$D$21,MATCH(C286,Effectif!$C$7:$C$21,0)),""))</f>
        <v/>
      </c>
      <c r="E286" s="26" t="n"/>
      <c r="F286" s="73" t="n"/>
      <c r="G286" s="74">
        <f>IF(NOT(ISNUMBER(F286)),"",IF(E286="Entrée",F286,-F286))</f>
        <v/>
      </c>
      <c r="H286" s="26" t="n"/>
      <c r="I286" s="2" t="n"/>
      <c r="J286" s="1" t="n"/>
    </row>
    <row r="287">
      <c r="A287" s="1" t="n"/>
      <c r="B287" s="25" t="n"/>
      <c r="C287" s="26" t="n"/>
      <c r="D287" s="72">
        <f>IF(C287="","",IFERROR(INDEX(Effectif!$D$7:$D$21,MATCH(C287,Effectif!$C$7:$C$21,0)),""))</f>
        <v/>
      </c>
      <c r="E287" s="26" t="n"/>
      <c r="F287" s="73" t="n"/>
      <c r="G287" s="74">
        <f>IF(NOT(ISNUMBER(F287)),"",IF(E287="Entrée",F287,-F287))</f>
        <v/>
      </c>
      <c r="H287" s="26" t="n"/>
      <c r="I287" s="2" t="n"/>
      <c r="J287" s="1" t="n"/>
    </row>
    <row r="288">
      <c r="A288" s="1" t="n"/>
      <c r="B288" s="25" t="n"/>
      <c r="C288" s="26" t="n"/>
      <c r="D288" s="72">
        <f>IF(C288="","",IFERROR(INDEX(Effectif!$D$7:$D$21,MATCH(C288,Effectif!$C$7:$C$21,0)),""))</f>
        <v/>
      </c>
      <c r="E288" s="26" t="n"/>
      <c r="F288" s="73" t="n"/>
      <c r="G288" s="74">
        <f>IF(NOT(ISNUMBER(F288)),"",IF(E288="Entrée",F288,-F288))</f>
        <v/>
      </c>
      <c r="H288" s="26" t="n"/>
      <c r="I288" s="2" t="n"/>
      <c r="J288" s="1" t="n"/>
    </row>
    <row r="289">
      <c r="A289" s="1" t="n"/>
      <c r="B289" s="25" t="n"/>
      <c r="C289" s="26" t="n"/>
      <c r="D289" s="72">
        <f>IF(C289="","",IFERROR(INDEX(Effectif!$D$7:$D$21,MATCH(C289,Effectif!$C$7:$C$21,0)),""))</f>
        <v/>
      </c>
      <c r="E289" s="26" t="n"/>
      <c r="F289" s="73" t="n"/>
      <c r="G289" s="74">
        <f>IF(NOT(ISNUMBER(F289)),"",IF(E289="Entrée",F289,-F289))</f>
        <v/>
      </c>
      <c r="H289" s="26" t="n"/>
      <c r="I289" s="2" t="n"/>
      <c r="J289" s="1" t="n"/>
    </row>
    <row r="290">
      <c r="A290" s="1" t="n"/>
      <c r="B290" s="25" t="n"/>
      <c r="C290" s="26" t="n"/>
      <c r="D290" s="72">
        <f>IF(C290="","",IFERROR(INDEX(Effectif!$D$7:$D$21,MATCH(C290,Effectif!$C$7:$C$21,0)),""))</f>
        <v/>
      </c>
      <c r="E290" s="26" t="n"/>
      <c r="F290" s="73" t="n"/>
      <c r="G290" s="74">
        <f>IF(NOT(ISNUMBER(F290)),"",IF(E290="Entrée",F290,-F290))</f>
        <v/>
      </c>
      <c r="H290" s="26" t="n"/>
      <c r="I290" s="2" t="n"/>
      <c r="J290" s="1" t="n"/>
    </row>
    <row r="291">
      <c r="A291" s="1" t="n"/>
      <c r="B291" s="25" t="n"/>
      <c r="C291" s="26" t="n"/>
      <c r="D291" s="72">
        <f>IF(C291="","",IFERROR(INDEX(Effectif!$D$7:$D$21,MATCH(C291,Effectif!$C$7:$C$21,0)),""))</f>
        <v/>
      </c>
      <c r="E291" s="26" t="n"/>
      <c r="F291" s="73" t="n"/>
      <c r="G291" s="74">
        <f>IF(NOT(ISNUMBER(F291)),"",IF(E291="Entrée",F291,-F291))</f>
        <v/>
      </c>
      <c r="H291" s="26" t="n"/>
      <c r="I291" s="2" t="n"/>
      <c r="J291" s="1" t="n"/>
    </row>
    <row r="292">
      <c r="A292" s="1" t="n"/>
      <c r="B292" s="25" t="n"/>
      <c r="C292" s="26" t="n"/>
      <c r="D292" s="72">
        <f>IF(C292="","",IFERROR(INDEX(Effectif!$D$7:$D$21,MATCH(C292,Effectif!$C$7:$C$21,0)),""))</f>
        <v/>
      </c>
      <c r="E292" s="26" t="n"/>
      <c r="F292" s="73" t="n"/>
      <c r="G292" s="74">
        <f>IF(NOT(ISNUMBER(F292)),"",IF(E292="Entrée",F292,-F292))</f>
        <v/>
      </c>
      <c r="H292" s="26" t="n"/>
      <c r="I292" s="2" t="n"/>
      <c r="J292" s="1" t="n"/>
    </row>
    <row r="293">
      <c r="A293" s="1" t="n"/>
      <c r="B293" s="25" t="n"/>
      <c r="C293" s="26" t="n"/>
      <c r="D293" s="72">
        <f>IF(C293="","",IFERROR(INDEX(Effectif!$D$7:$D$21,MATCH(C293,Effectif!$C$7:$C$21,0)),""))</f>
        <v/>
      </c>
      <c r="E293" s="26" t="n"/>
      <c r="F293" s="73" t="n"/>
      <c r="G293" s="74">
        <f>IF(NOT(ISNUMBER(F293)),"",IF(E293="Entrée",F293,-F293))</f>
        <v/>
      </c>
      <c r="H293" s="26" t="n"/>
      <c r="I293" s="2" t="n"/>
      <c r="J293" s="1" t="n"/>
    </row>
    <row r="294">
      <c r="A294" s="1" t="n"/>
      <c r="B294" s="25" t="n"/>
      <c r="C294" s="26" t="n"/>
      <c r="D294" s="72">
        <f>IF(C294="","",IFERROR(INDEX(Effectif!$D$7:$D$21,MATCH(C294,Effectif!$C$7:$C$21,0)),""))</f>
        <v/>
      </c>
      <c r="E294" s="26" t="n"/>
      <c r="F294" s="73" t="n"/>
      <c r="G294" s="74">
        <f>IF(NOT(ISNUMBER(F294)),"",IF(E294="Entrée",F294,-F294))</f>
        <v/>
      </c>
      <c r="H294" s="26" t="n"/>
      <c r="I294" s="2" t="n"/>
      <c r="J294" s="1" t="n"/>
    </row>
    <row r="295">
      <c r="A295" s="1" t="n"/>
      <c r="B295" s="25" t="n"/>
      <c r="C295" s="26" t="n"/>
      <c r="D295" s="72">
        <f>IF(C295="","",IFERROR(INDEX(Effectif!$D$7:$D$21,MATCH(C295,Effectif!$C$7:$C$21,0)),""))</f>
        <v/>
      </c>
      <c r="E295" s="26" t="n"/>
      <c r="F295" s="73" t="n"/>
      <c r="G295" s="74">
        <f>IF(NOT(ISNUMBER(F295)),"",IF(E295="Entrée",F295,-F295))</f>
        <v/>
      </c>
      <c r="H295" s="26" t="n"/>
      <c r="I295" s="2" t="n"/>
      <c r="J295" s="1" t="n"/>
    </row>
    <row r="296">
      <c r="A296" s="1" t="n"/>
      <c r="B296" s="25" t="n"/>
      <c r="C296" s="26" t="n"/>
      <c r="D296" s="72">
        <f>IF(C296="","",IFERROR(INDEX(Effectif!$D$7:$D$21,MATCH(C296,Effectif!$C$7:$C$21,0)),""))</f>
        <v/>
      </c>
      <c r="E296" s="26" t="n"/>
      <c r="F296" s="73" t="n"/>
      <c r="G296" s="74">
        <f>IF(NOT(ISNUMBER(F296)),"",IF(E296="Entrée",F296,-F296))</f>
        <v/>
      </c>
      <c r="H296" s="26" t="n"/>
      <c r="I296" s="2" t="n"/>
      <c r="J296" s="1" t="n"/>
    </row>
    <row r="297">
      <c r="A297" s="1" t="n"/>
      <c r="B297" s="25" t="n"/>
      <c r="C297" s="26" t="n"/>
      <c r="D297" s="72">
        <f>IF(C297="","",IFERROR(INDEX(Effectif!$D$7:$D$21,MATCH(C297,Effectif!$C$7:$C$21,0)),""))</f>
        <v/>
      </c>
      <c r="E297" s="26" t="n"/>
      <c r="F297" s="73" t="n"/>
      <c r="G297" s="74">
        <f>IF(NOT(ISNUMBER(F297)),"",IF(E297="Entrée",F297,-F297))</f>
        <v/>
      </c>
      <c r="H297" s="26" t="n"/>
      <c r="I297" s="2" t="n"/>
      <c r="J297" s="1" t="n"/>
    </row>
    <row r="298">
      <c r="A298" s="1" t="n"/>
      <c r="B298" s="25" t="n"/>
      <c r="C298" s="26" t="n"/>
      <c r="D298" s="72">
        <f>IF(C298="","",IFERROR(INDEX(Effectif!$D$7:$D$21,MATCH(C298,Effectif!$C$7:$C$21,0)),""))</f>
        <v/>
      </c>
      <c r="E298" s="26" t="n"/>
      <c r="F298" s="73" t="n"/>
      <c r="G298" s="74">
        <f>IF(NOT(ISNUMBER(F298)),"",IF(E298="Entrée",F298,-F298))</f>
        <v/>
      </c>
      <c r="H298" s="26" t="n"/>
      <c r="I298" s="2" t="n"/>
      <c r="J298" s="1" t="n"/>
    </row>
    <row r="299">
      <c r="A299" s="1" t="n"/>
      <c r="B299" s="25" t="n"/>
      <c r="C299" s="26" t="n"/>
      <c r="D299" s="72">
        <f>IF(C299="","",IFERROR(INDEX(Effectif!$D$7:$D$21,MATCH(C299,Effectif!$C$7:$C$21,0)),""))</f>
        <v/>
      </c>
      <c r="E299" s="26" t="n"/>
      <c r="F299" s="73" t="n"/>
      <c r="G299" s="74">
        <f>IF(NOT(ISNUMBER(F299)),"",IF(E299="Entrée",F299,-F299))</f>
        <v/>
      </c>
      <c r="H299" s="26" t="n"/>
      <c r="I299" s="2" t="n"/>
      <c r="J299" s="1" t="n"/>
    </row>
    <row r="300">
      <c r="A300" s="1" t="n"/>
      <c r="B300" s="25" t="n"/>
      <c r="C300" s="26" t="n"/>
      <c r="D300" s="72">
        <f>IF(C300="","",IFERROR(INDEX(Effectif!$D$7:$D$21,MATCH(C300,Effectif!$C$7:$C$21,0)),""))</f>
        <v/>
      </c>
      <c r="E300" s="26" t="n"/>
      <c r="F300" s="73" t="n"/>
      <c r="G300" s="74">
        <f>IF(NOT(ISNUMBER(F300)),"",IF(E300="Entrée",F300,-F300))</f>
        <v/>
      </c>
      <c r="H300" s="26" t="n"/>
      <c r="I300" s="2" t="n"/>
      <c r="J300" s="1" t="n"/>
    </row>
    <row r="301">
      <c r="A301" s="1" t="n"/>
      <c r="B301" s="25" t="n"/>
      <c r="C301" s="26" t="n"/>
      <c r="D301" s="72">
        <f>IF(C301="","",IFERROR(INDEX(Effectif!$D$7:$D$21,MATCH(C301,Effectif!$C$7:$C$21,0)),""))</f>
        <v/>
      </c>
      <c r="E301" s="26" t="n"/>
      <c r="F301" s="73" t="n"/>
      <c r="G301" s="74">
        <f>IF(NOT(ISNUMBER(F301)),"",IF(E301="Entrée",F301,-F301))</f>
        <v/>
      </c>
      <c r="H301" s="26" t="n"/>
      <c r="I301" s="2" t="n"/>
      <c r="J301" s="1" t="n"/>
    </row>
    <row r="302">
      <c r="A302" s="1" t="n"/>
      <c r="B302" s="25" t="n"/>
      <c r="C302" s="26" t="n"/>
      <c r="D302" s="72">
        <f>IF(C302="","",IFERROR(INDEX(Effectif!$D$7:$D$21,MATCH(C302,Effectif!$C$7:$C$21,0)),""))</f>
        <v/>
      </c>
      <c r="E302" s="26" t="n"/>
      <c r="F302" s="73" t="n"/>
      <c r="G302" s="74">
        <f>IF(NOT(ISNUMBER(F302)),"",IF(E302="Entrée",F302,-F302))</f>
        <v/>
      </c>
      <c r="H302" s="26" t="n"/>
      <c r="I302" s="2" t="n"/>
      <c r="J302" s="1" t="n"/>
    </row>
    <row r="303">
      <c r="A303" s="1" t="n"/>
      <c r="B303" s="25" t="n"/>
      <c r="C303" s="26" t="n"/>
      <c r="D303" s="72">
        <f>IF(C303="","",IFERROR(INDEX(Effectif!$D$7:$D$21,MATCH(C303,Effectif!$C$7:$C$21,0)),""))</f>
        <v/>
      </c>
      <c r="E303" s="26" t="n"/>
      <c r="F303" s="73" t="n"/>
      <c r="G303" s="74">
        <f>IF(NOT(ISNUMBER(F303)),"",IF(E303="Entrée",F303,-F303))</f>
        <v/>
      </c>
      <c r="H303" s="26" t="n"/>
      <c r="I303" s="2" t="n"/>
      <c r="J303" s="1" t="n"/>
    </row>
    <row r="304">
      <c r="A304" s="1" t="n"/>
      <c r="B304" s="25" t="n"/>
      <c r="C304" s="26" t="n"/>
      <c r="D304" s="72">
        <f>IF(C304="","",IFERROR(INDEX(Effectif!$D$7:$D$21,MATCH(C304,Effectif!$C$7:$C$21,0)),""))</f>
        <v/>
      </c>
      <c r="E304" s="26" t="n"/>
      <c r="F304" s="73" t="n"/>
      <c r="G304" s="74">
        <f>IF(NOT(ISNUMBER(F304)),"",IF(E304="Entrée",F304,-F304))</f>
        <v/>
      </c>
      <c r="H304" s="26" t="n"/>
      <c r="I304" s="2" t="n"/>
      <c r="J304" s="1" t="n"/>
    </row>
    <row r="305">
      <c r="A305" s="1" t="n"/>
      <c r="B305" s="25" t="n"/>
      <c r="C305" s="26" t="n"/>
      <c r="D305" s="72">
        <f>IF(C305="","",IFERROR(INDEX(Effectif!$D$7:$D$21,MATCH(C305,Effectif!$C$7:$C$21,0)),""))</f>
        <v/>
      </c>
      <c r="E305" s="26" t="n"/>
      <c r="F305" s="73" t="n"/>
      <c r="G305" s="74">
        <f>IF(NOT(ISNUMBER(F305)),"",IF(E305="Entrée",F305,-F305))</f>
        <v/>
      </c>
      <c r="H305" s="26" t="n"/>
      <c r="I305" s="2" t="n"/>
      <c r="J305" s="1" t="n"/>
    </row>
    <row r="306">
      <c r="A306" s="1" t="n"/>
      <c r="B306" s="25" t="n"/>
      <c r="C306" s="26" t="n"/>
      <c r="D306" s="72">
        <f>IF(C306="","",IFERROR(INDEX(Effectif!$D$7:$D$21,MATCH(C306,Effectif!$C$7:$C$21,0)),""))</f>
        <v/>
      </c>
      <c r="E306" s="26" t="n"/>
      <c r="F306" s="73" t="n"/>
      <c r="G306" s="74">
        <f>IF(NOT(ISNUMBER(F306)),"",IF(E306="Entrée",F306,-F306))</f>
        <v/>
      </c>
      <c r="H306" s="26" t="n"/>
      <c r="I306" s="2" t="n"/>
      <c r="J306" s="1" t="n"/>
    </row>
    <row r="307">
      <c r="A307" s="1" t="n"/>
      <c r="B307" s="25" t="n"/>
      <c r="C307" s="26" t="n"/>
      <c r="D307" s="72">
        <f>IF(C307="","",IFERROR(INDEX(Effectif!$D$7:$D$21,MATCH(C307,Effectif!$C$7:$C$21,0)),""))</f>
        <v/>
      </c>
      <c r="E307" s="26" t="n"/>
      <c r="F307" s="73" t="n"/>
      <c r="G307" s="74">
        <f>IF(NOT(ISNUMBER(F307)),"",IF(E307="Entrée",F307,-F307))</f>
        <v/>
      </c>
      <c r="H307" s="26" t="n"/>
      <c r="I307" s="2" t="n"/>
      <c r="J307" s="1" t="n"/>
    </row>
    <row r="308">
      <c r="A308" s="1" t="n"/>
      <c r="B308" s="25" t="n"/>
      <c r="C308" s="26" t="n"/>
      <c r="D308" s="72">
        <f>IF(C308="","",IFERROR(INDEX(Effectif!$D$7:$D$21,MATCH(C308,Effectif!$C$7:$C$21,0)),""))</f>
        <v/>
      </c>
      <c r="E308" s="26" t="n"/>
      <c r="F308" s="73" t="n"/>
      <c r="G308" s="74">
        <f>IF(NOT(ISNUMBER(F308)),"",IF(E308="Entrée",F308,-F308))</f>
        <v/>
      </c>
      <c r="H308" s="26" t="n"/>
      <c r="I308" s="2" t="n"/>
      <c r="J308" s="1" t="n"/>
    </row>
    <row r="309">
      <c r="A309" s="1" t="n"/>
      <c r="B309" s="25" t="n"/>
      <c r="C309" s="26" t="n"/>
      <c r="D309" s="72">
        <f>IF(C309="","",IFERROR(INDEX(Effectif!$D$7:$D$21,MATCH(C309,Effectif!$C$7:$C$21,0)),""))</f>
        <v/>
      </c>
      <c r="E309" s="26" t="n"/>
      <c r="F309" s="73" t="n"/>
      <c r="G309" s="74">
        <f>IF(NOT(ISNUMBER(F309)),"",IF(E309="Entrée",F309,-F309))</f>
        <v/>
      </c>
      <c r="H309" s="26" t="n"/>
      <c r="I309" s="2" t="n"/>
      <c r="J309" s="1" t="n"/>
    </row>
    <row r="310">
      <c r="A310" s="1" t="n"/>
      <c r="B310" s="25" t="n"/>
      <c r="C310" s="26" t="n"/>
      <c r="D310" s="72">
        <f>IF(C310="","",IFERROR(INDEX(Effectif!$D$7:$D$21,MATCH(C310,Effectif!$C$7:$C$21,0)),""))</f>
        <v/>
      </c>
      <c r="E310" s="26" t="n"/>
      <c r="F310" s="73" t="n"/>
      <c r="G310" s="74">
        <f>IF(NOT(ISNUMBER(F310)),"",IF(E310="Entrée",F310,-F310))</f>
        <v/>
      </c>
      <c r="H310" s="26" t="n"/>
      <c r="I310" s="2" t="n"/>
      <c r="J310" s="1" t="n"/>
    </row>
    <row r="311">
      <c r="A311" s="1" t="n"/>
      <c r="B311" s="25" t="n"/>
      <c r="C311" s="26" t="n"/>
      <c r="D311" s="72">
        <f>IF(C311="","",IFERROR(INDEX(Effectif!$D$7:$D$21,MATCH(C311,Effectif!$C$7:$C$21,0)),""))</f>
        <v/>
      </c>
      <c r="E311" s="26" t="n"/>
      <c r="F311" s="73" t="n"/>
      <c r="G311" s="74">
        <f>IF(NOT(ISNUMBER(F311)),"",IF(E311="Entrée",F311,-F311))</f>
        <v/>
      </c>
      <c r="H311" s="26" t="n"/>
      <c r="I311" s="2" t="n"/>
      <c r="J311" s="1" t="n"/>
    </row>
    <row r="312">
      <c r="A312" s="1" t="n"/>
      <c r="B312" s="25" t="n"/>
      <c r="C312" s="26" t="n"/>
      <c r="D312" s="72">
        <f>IF(C312="","",IFERROR(INDEX(Effectif!$D$7:$D$21,MATCH(C312,Effectif!$C$7:$C$21,0)),""))</f>
        <v/>
      </c>
      <c r="E312" s="26" t="n"/>
      <c r="F312" s="73" t="n"/>
      <c r="G312" s="74">
        <f>IF(NOT(ISNUMBER(F312)),"",IF(E312="Entrée",F312,-F312))</f>
        <v/>
      </c>
      <c r="H312" s="26" t="n"/>
      <c r="I312" s="2" t="n"/>
      <c r="J312" s="1" t="n"/>
    </row>
    <row r="313">
      <c r="A313" s="1" t="n"/>
      <c r="B313" s="25" t="n"/>
      <c r="C313" s="26" t="n"/>
      <c r="D313" s="72">
        <f>IF(C313="","",IFERROR(INDEX(Effectif!$D$7:$D$21,MATCH(C313,Effectif!$C$7:$C$21,0)),""))</f>
        <v/>
      </c>
      <c r="E313" s="26" t="n"/>
      <c r="F313" s="73" t="n"/>
      <c r="G313" s="74">
        <f>IF(NOT(ISNUMBER(F313)),"",IF(E313="Entrée",F313,-F313))</f>
        <v/>
      </c>
      <c r="H313" s="26" t="n"/>
      <c r="I313" s="2" t="n"/>
      <c r="J313" s="1" t="n"/>
    </row>
    <row r="314">
      <c r="A314" s="1" t="n"/>
      <c r="B314" s="25" t="n"/>
      <c r="C314" s="26" t="n"/>
      <c r="D314" s="72">
        <f>IF(C314="","",IFERROR(INDEX(Effectif!$D$7:$D$21,MATCH(C314,Effectif!$C$7:$C$21,0)),""))</f>
        <v/>
      </c>
      <c r="E314" s="26" t="n"/>
      <c r="F314" s="73" t="n"/>
      <c r="G314" s="74">
        <f>IF(NOT(ISNUMBER(F314)),"",IF(E314="Entrée",F314,-F314))</f>
        <v/>
      </c>
      <c r="H314" s="26" t="n"/>
      <c r="I314" s="2" t="n"/>
      <c r="J314" s="1" t="n"/>
    </row>
    <row r="315">
      <c r="A315" s="1" t="n"/>
      <c r="B315" s="25" t="n"/>
      <c r="C315" s="26" t="n"/>
      <c r="D315" s="72">
        <f>IF(C315="","",IFERROR(INDEX(Effectif!$D$7:$D$21,MATCH(C315,Effectif!$C$7:$C$21,0)),""))</f>
        <v/>
      </c>
      <c r="E315" s="26" t="n"/>
      <c r="F315" s="73" t="n"/>
      <c r="G315" s="74">
        <f>IF(NOT(ISNUMBER(F315)),"",IF(E315="Entrée",F315,-F315))</f>
        <v/>
      </c>
      <c r="H315" s="26" t="n"/>
      <c r="I315" s="2" t="n"/>
      <c r="J315" s="1" t="n"/>
    </row>
    <row r="316">
      <c r="A316" s="1" t="n"/>
      <c r="B316" s="25" t="n"/>
      <c r="C316" s="26" t="n"/>
      <c r="D316" s="72">
        <f>IF(C316="","",IFERROR(INDEX(Effectif!$D$7:$D$21,MATCH(C316,Effectif!$C$7:$C$21,0)),""))</f>
        <v/>
      </c>
      <c r="E316" s="26" t="n"/>
      <c r="F316" s="73" t="n"/>
      <c r="G316" s="74">
        <f>IF(NOT(ISNUMBER(F316)),"",IF(E316="Entrée",F316,-F316))</f>
        <v/>
      </c>
      <c r="H316" s="26" t="n"/>
      <c r="I316" s="2" t="n"/>
      <c r="J316" s="1" t="n"/>
    </row>
    <row r="317">
      <c r="A317" s="1" t="n"/>
      <c r="B317" s="25" t="n"/>
      <c r="C317" s="26" t="n"/>
      <c r="D317" s="72">
        <f>IF(C317="","",IFERROR(INDEX(Effectif!$D$7:$D$21,MATCH(C317,Effectif!$C$7:$C$21,0)),""))</f>
        <v/>
      </c>
      <c r="E317" s="26" t="n"/>
      <c r="F317" s="73" t="n"/>
      <c r="G317" s="74">
        <f>IF(NOT(ISNUMBER(F317)),"",IF(E317="Entrée",F317,-F317))</f>
        <v/>
      </c>
      <c r="H317" s="26" t="n"/>
      <c r="I317" s="2" t="n"/>
      <c r="J317" s="1" t="n"/>
    </row>
    <row r="318">
      <c r="A318" s="1" t="n"/>
      <c r="B318" s="25" t="n"/>
      <c r="C318" s="26" t="n"/>
      <c r="D318" s="72">
        <f>IF(C318="","",IFERROR(INDEX(Effectif!$D$7:$D$21,MATCH(C318,Effectif!$C$7:$C$21,0)),""))</f>
        <v/>
      </c>
      <c r="E318" s="26" t="n"/>
      <c r="F318" s="73" t="n"/>
      <c r="G318" s="74">
        <f>IF(NOT(ISNUMBER(F318)),"",IF(E318="Entrée",F318,-F318))</f>
        <v/>
      </c>
      <c r="H318" s="26" t="n"/>
      <c r="I318" s="2" t="n"/>
      <c r="J318" s="1" t="n"/>
    </row>
    <row r="319">
      <c r="A319" s="1" t="n"/>
      <c r="B319" s="25" t="n"/>
      <c r="C319" s="26" t="n"/>
      <c r="D319" s="72">
        <f>IF(C319="","",IFERROR(INDEX(Effectif!$D$7:$D$21,MATCH(C319,Effectif!$C$7:$C$21,0)),""))</f>
        <v/>
      </c>
      <c r="E319" s="26" t="n"/>
      <c r="F319" s="73" t="n"/>
      <c r="G319" s="74">
        <f>IF(NOT(ISNUMBER(F319)),"",IF(E319="Entrée",F319,-F319))</f>
        <v/>
      </c>
      <c r="H319" s="26" t="n"/>
      <c r="I319" s="2" t="n"/>
      <c r="J319" s="1" t="n"/>
    </row>
    <row r="320">
      <c r="A320" s="1" t="n"/>
      <c r="B320" s="25" t="n"/>
      <c r="C320" s="26" t="n"/>
      <c r="D320" s="72">
        <f>IF(C320="","",IFERROR(INDEX(Effectif!$D$7:$D$21,MATCH(C320,Effectif!$C$7:$C$21,0)),""))</f>
        <v/>
      </c>
      <c r="E320" s="26" t="n"/>
      <c r="F320" s="73" t="n"/>
      <c r="G320" s="74">
        <f>IF(NOT(ISNUMBER(F320)),"",IF(E320="Entrée",F320,-F320))</f>
        <v/>
      </c>
      <c r="H320" s="26" t="n"/>
      <c r="I320" s="2" t="n"/>
      <c r="J320" s="1" t="n"/>
    </row>
    <row r="321">
      <c r="A321" s="1" t="n"/>
      <c r="B321" s="25" t="n"/>
      <c r="C321" s="26" t="n"/>
      <c r="D321" s="72">
        <f>IF(C321="","",IFERROR(INDEX(Effectif!$D$7:$D$21,MATCH(C321,Effectif!$C$7:$C$21,0)),""))</f>
        <v/>
      </c>
      <c r="E321" s="26" t="n"/>
      <c r="F321" s="73" t="n"/>
      <c r="G321" s="74">
        <f>IF(NOT(ISNUMBER(F321)),"",IF(E321="Entrée",F321,-F321))</f>
        <v/>
      </c>
      <c r="H321" s="26" t="n"/>
      <c r="I321" s="2" t="n"/>
      <c r="J321" s="1" t="n"/>
    </row>
    <row r="322">
      <c r="A322" s="1" t="n"/>
      <c r="B322" s="25" t="n"/>
      <c r="C322" s="26" t="n"/>
      <c r="D322" s="72">
        <f>IF(C322="","",IFERROR(INDEX(Effectif!$D$7:$D$21,MATCH(C322,Effectif!$C$7:$C$21,0)),""))</f>
        <v/>
      </c>
      <c r="E322" s="26" t="n"/>
      <c r="F322" s="73" t="n"/>
      <c r="G322" s="74">
        <f>IF(NOT(ISNUMBER(F322)),"",IF(E322="Entrée",F322,-F322))</f>
        <v/>
      </c>
      <c r="H322" s="26" t="n"/>
      <c r="I322" s="2" t="n"/>
      <c r="J322" s="1" t="n"/>
    </row>
    <row r="323">
      <c r="A323" s="1" t="n"/>
      <c r="B323" s="25" t="n"/>
      <c r="C323" s="26" t="n"/>
      <c r="D323" s="72">
        <f>IF(C323="","",IFERROR(INDEX(Effectif!$D$7:$D$21,MATCH(C323,Effectif!$C$7:$C$21,0)),""))</f>
        <v/>
      </c>
      <c r="E323" s="26" t="n"/>
      <c r="F323" s="73" t="n"/>
      <c r="G323" s="74">
        <f>IF(NOT(ISNUMBER(F323)),"",IF(E323="Entrée",F323,-F323))</f>
        <v/>
      </c>
      <c r="H323" s="26" t="n"/>
      <c r="I323" s="2" t="n"/>
      <c r="J323" s="1" t="n"/>
    </row>
    <row r="324">
      <c r="A324" s="1" t="n"/>
      <c r="B324" s="25" t="n"/>
      <c r="C324" s="26" t="n"/>
      <c r="D324" s="72">
        <f>IF(C324="","",IFERROR(INDEX(Effectif!$D$7:$D$21,MATCH(C324,Effectif!$C$7:$C$21,0)),""))</f>
        <v/>
      </c>
      <c r="E324" s="26" t="n"/>
      <c r="F324" s="73" t="n"/>
      <c r="G324" s="74">
        <f>IF(NOT(ISNUMBER(F324)),"",IF(E324="Entrée",F324,-F324))</f>
        <v/>
      </c>
      <c r="H324" s="26" t="n"/>
      <c r="I324" s="2" t="n"/>
      <c r="J324" s="1" t="n"/>
    </row>
    <row r="325">
      <c r="A325" s="1" t="n"/>
      <c r="B325" s="25" t="n"/>
      <c r="C325" s="26" t="n"/>
      <c r="D325" s="72">
        <f>IF(C325="","",IFERROR(INDEX(Effectif!$D$7:$D$21,MATCH(C325,Effectif!$C$7:$C$21,0)),""))</f>
        <v/>
      </c>
      <c r="E325" s="26" t="n"/>
      <c r="F325" s="73" t="n"/>
      <c r="G325" s="74">
        <f>IF(NOT(ISNUMBER(F325)),"",IF(E325="Entrée",F325,-F325))</f>
        <v/>
      </c>
      <c r="H325" s="26" t="n"/>
      <c r="I325" s="2" t="n"/>
      <c r="J325" s="1" t="n"/>
    </row>
    <row r="326">
      <c r="A326" s="1" t="n"/>
      <c r="B326" s="25" t="n"/>
      <c r="C326" s="26" t="n"/>
      <c r="D326" s="72">
        <f>IF(C326="","",IFERROR(INDEX(Effectif!$D$7:$D$21,MATCH(C326,Effectif!$C$7:$C$21,0)),""))</f>
        <v/>
      </c>
      <c r="E326" s="26" t="n"/>
      <c r="F326" s="73" t="n"/>
      <c r="G326" s="74">
        <f>IF(NOT(ISNUMBER(F326)),"",IF(E326="Entrée",F326,-F326))</f>
        <v/>
      </c>
      <c r="H326" s="26" t="n"/>
      <c r="I326" s="2" t="n"/>
      <c r="J326" s="1" t="n"/>
    </row>
    <row r="327">
      <c r="A327" s="1" t="n"/>
      <c r="B327" s="25" t="n"/>
      <c r="C327" s="26" t="n"/>
      <c r="D327" s="72">
        <f>IF(C327="","",IFERROR(INDEX(Effectif!$D$7:$D$21,MATCH(C327,Effectif!$C$7:$C$21,0)),""))</f>
        <v/>
      </c>
      <c r="E327" s="26" t="n"/>
      <c r="F327" s="73" t="n"/>
      <c r="G327" s="74">
        <f>IF(NOT(ISNUMBER(F327)),"",IF(E327="Entrée",F327,-F327))</f>
        <v/>
      </c>
      <c r="H327" s="26" t="n"/>
      <c r="I327" s="2" t="n"/>
      <c r="J327" s="1" t="n"/>
    </row>
    <row r="328">
      <c r="A328" s="1" t="n"/>
      <c r="B328" s="25" t="n"/>
      <c r="C328" s="26" t="n"/>
      <c r="D328" s="72">
        <f>IF(C328="","",IFERROR(INDEX(Effectif!$D$7:$D$21,MATCH(C328,Effectif!$C$7:$C$21,0)),""))</f>
        <v/>
      </c>
      <c r="E328" s="26" t="n"/>
      <c r="F328" s="73" t="n"/>
      <c r="G328" s="74">
        <f>IF(NOT(ISNUMBER(F328)),"",IF(E328="Entrée",F328,-F328))</f>
        <v/>
      </c>
      <c r="H328" s="26" t="n"/>
      <c r="I328" s="2" t="n"/>
      <c r="J328" s="1" t="n"/>
    </row>
    <row r="329">
      <c r="A329" s="1" t="n"/>
      <c r="B329" s="25" t="n"/>
      <c r="C329" s="26" t="n"/>
      <c r="D329" s="72">
        <f>IF(C329="","",IFERROR(INDEX(Effectif!$D$7:$D$21,MATCH(C329,Effectif!$C$7:$C$21,0)),""))</f>
        <v/>
      </c>
      <c r="E329" s="26" t="n"/>
      <c r="F329" s="73" t="n"/>
      <c r="G329" s="74">
        <f>IF(NOT(ISNUMBER(F329)),"",IF(E329="Entrée",F329,-F329))</f>
        <v/>
      </c>
      <c r="H329" s="26" t="n"/>
      <c r="I329" s="2" t="n"/>
      <c r="J329" s="1" t="n"/>
    </row>
    <row r="330">
      <c r="A330" s="1" t="n"/>
      <c r="B330" s="25" t="n"/>
      <c r="C330" s="26" t="n"/>
      <c r="D330" s="72">
        <f>IF(C330="","",IFERROR(INDEX(Effectif!$D$7:$D$21,MATCH(C330,Effectif!$C$7:$C$21,0)),""))</f>
        <v/>
      </c>
      <c r="E330" s="26" t="n"/>
      <c r="F330" s="73" t="n"/>
      <c r="G330" s="74">
        <f>IF(NOT(ISNUMBER(F330)),"",IF(E330="Entrée",F330,-F330))</f>
        <v/>
      </c>
      <c r="H330" s="26" t="n"/>
      <c r="I330" s="2" t="n"/>
      <c r="J330" s="1" t="n"/>
    </row>
    <row r="331">
      <c r="A331" s="1" t="n"/>
      <c r="B331" s="25" t="n"/>
      <c r="C331" s="26" t="n"/>
      <c r="D331" s="72">
        <f>IF(C331="","",IFERROR(INDEX(Effectif!$D$7:$D$21,MATCH(C331,Effectif!$C$7:$C$21,0)),""))</f>
        <v/>
      </c>
      <c r="E331" s="26" t="n"/>
      <c r="F331" s="73" t="n"/>
      <c r="G331" s="74">
        <f>IF(NOT(ISNUMBER(F331)),"",IF(E331="Entrée",F331,-F331))</f>
        <v/>
      </c>
      <c r="H331" s="26" t="n"/>
      <c r="I331" s="2" t="n"/>
      <c r="J331" s="1" t="n"/>
    </row>
    <row r="332">
      <c r="A332" s="1" t="n"/>
      <c r="B332" s="25" t="n"/>
      <c r="C332" s="26" t="n"/>
      <c r="D332" s="72">
        <f>IF(C332="","",IFERROR(INDEX(Effectif!$D$7:$D$21,MATCH(C332,Effectif!$C$7:$C$21,0)),""))</f>
        <v/>
      </c>
      <c r="E332" s="26" t="n"/>
      <c r="F332" s="73" t="n"/>
      <c r="G332" s="74">
        <f>IF(NOT(ISNUMBER(F332)),"",IF(E332="Entrée",F332,-F332))</f>
        <v/>
      </c>
      <c r="H332" s="26" t="n"/>
      <c r="I332" s="2" t="n"/>
      <c r="J332" s="1" t="n"/>
    </row>
    <row r="333">
      <c r="A333" s="1" t="n"/>
      <c r="B333" s="25" t="n"/>
      <c r="C333" s="26" t="n"/>
      <c r="D333" s="72">
        <f>IF(C333="","",IFERROR(INDEX(Effectif!$D$7:$D$21,MATCH(C333,Effectif!$C$7:$C$21,0)),""))</f>
        <v/>
      </c>
      <c r="E333" s="26" t="n"/>
      <c r="F333" s="73" t="n"/>
      <c r="G333" s="74">
        <f>IF(NOT(ISNUMBER(F333)),"",IF(E333="Entrée",F333,-F333))</f>
        <v/>
      </c>
      <c r="H333" s="26" t="n"/>
      <c r="I333" s="2" t="n"/>
      <c r="J333" s="1" t="n"/>
    </row>
    <row r="334">
      <c r="A334" s="1" t="n"/>
      <c r="B334" s="25" t="n"/>
      <c r="C334" s="26" t="n"/>
      <c r="D334" s="72">
        <f>IF(C334="","",IFERROR(INDEX(Effectif!$D$7:$D$21,MATCH(C334,Effectif!$C$7:$C$21,0)),""))</f>
        <v/>
      </c>
      <c r="E334" s="26" t="n"/>
      <c r="F334" s="73" t="n"/>
      <c r="G334" s="74">
        <f>IF(NOT(ISNUMBER(F334)),"",IF(E334="Entrée",F334,-F334))</f>
        <v/>
      </c>
      <c r="H334" s="26" t="n"/>
      <c r="I334" s="2" t="n"/>
      <c r="J334" s="1" t="n"/>
    </row>
    <row r="335">
      <c r="A335" s="1" t="n"/>
      <c r="B335" s="25" t="n"/>
      <c r="C335" s="26" t="n"/>
      <c r="D335" s="72">
        <f>IF(C335="","",IFERROR(INDEX(Effectif!$D$7:$D$21,MATCH(C335,Effectif!$C$7:$C$21,0)),""))</f>
        <v/>
      </c>
      <c r="E335" s="26" t="n"/>
      <c r="F335" s="73" t="n"/>
      <c r="G335" s="74">
        <f>IF(NOT(ISNUMBER(F335)),"",IF(E335="Entrée",F335,-F335))</f>
        <v/>
      </c>
      <c r="H335" s="26" t="n"/>
      <c r="I335" s="2" t="n"/>
      <c r="J335" s="1" t="n"/>
    </row>
    <row r="336">
      <c r="A336" s="1" t="n"/>
      <c r="B336" s="25" t="n"/>
      <c r="C336" s="26" t="n"/>
      <c r="D336" s="72">
        <f>IF(C336="","",IFERROR(INDEX(Effectif!$D$7:$D$21,MATCH(C336,Effectif!$C$7:$C$21,0)),""))</f>
        <v/>
      </c>
      <c r="E336" s="26" t="n"/>
      <c r="F336" s="73" t="n"/>
      <c r="G336" s="74">
        <f>IF(NOT(ISNUMBER(F336)),"",IF(E336="Entrée",F336,-F336))</f>
        <v/>
      </c>
      <c r="H336" s="26" t="n"/>
      <c r="I336" s="2" t="n"/>
      <c r="J336" s="1" t="n"/>
    </row>
    <row r="337">
      <c r="A337" s="1" t="n"/>
      <c r="B337" s="25" t="n"/>
      <c r="C337" s="26" t="n"/>
      <c r="D337" s="72">
        <f>IF(C337="","",IFERROR(INDEX(Effectif!$D$7:$D$21,MATCH(C337,Effectif!$C$7:$C$21,0)),""))</f>
        <v/>
      </c>
      <c r="E337" s="26" t="n"/>
      <c r="F337" s="73" t="n"/>
      <c r="G337" s="74">
        <f>IF(NOT(ISNUMBER(F337)),"",IF(E337="Entrée",F337,-F337))</f>
        <v/>
      </c>
      <c r="H337" s="26" t="n"/>
      <c r="I337" s="2" t="n"/>
      <c r="J337" s="1" t="n"/>
    </row>
    <row r="338">
      <c r="A338" s="1" t="n"/>
      <c r="B338" s="25" t="n"/>
      <c r="C338" s="26" t="n"/>
      <c r="D338" s="72">
        <f>IF(C338="","",IFERROR(INDEX(Effectif!$D$7:$D$21,MATCH(C338,Effectif!$C$7:$C$21,0)),""))</f>
        <v/>
      </c>
      <c r="E338" s="26" t="n"/>
      <c r="F338" s="73" t="n"/>
      <c r="G338" s="74">
        <f>IF(NOT(ISNUMBER(F338)),"",IF(E338="Entrée",F338,-F338))</f>
        <v/>
      </c>
      <c r="H338" s="26" t="n"/>
      <c r="I338" s="2" t="n"/>
      <c r="J338" s="1" t="n"/>
    </row>
    <row r="339">
      <c r="A339" s="1" t="n"/>
      <c r="B339" s="25" t="n"/>
      <c r="C339" s="26" t="n"/>
      <c r="D339" s="72">
        <f>IF(C339="","",IFERROR(INDEX(Effectif!$D$7:$D$21,MATCH(C339,Effectif!$C$7:$C$21,0)),""))</f>
        <v/>
      </c>
      <c r="E339" s="26" t="n"/>
      <c r="F339" s="73" t="n"/>
      <c r="G339" s="74">
        <f>IF(NOT(ISNUMBER(F339)),"",IF(E339="Entrée",F339,-F339))</f>
        <v/>
      </c>
      <c r="H339" s="26" t="n"/>
      <c r="I339" s="2" t="n"/>
      <c r="J339" s="1" t="n"/>
    </row>
    <row r="340">
      <c r="A340" s="1" t="n"/>
      <c r="B340" s="25" t="n"/>
      <c r="C340" s="26" t="n"/>
      <c r="D340" s="72">
        <f>IF(C340="","",IFERROR(INDEX(Effectif!$D$7:$D$21,MATCH(C340,Effectif!$C$7:$C$21,0)),""))</f>
        <v/>
      </c>
      <c r="E340" s="26" t="n"/>
      <c r="F340" s="73" t="n"/>
      <c r="G340" s="74">
        <f>IF(NOT(ISNUMBER(F340)),"",IF(E340="Entrée",F340,-F340))</f>
        <v/>
      </c>
      <c r="H340" s="26" t="n"/>
      <c r="I340" s="2" t="n"/>
      <c r="J340" s="1" t="n"/>
    </row>
    <row r="341">
      <c r="A341" s="1" t="n"/>
      <c r="B341" s="25" t="n"/>
      <c r="C341" s="26" t="n"/>
      <c r="D341" s="72">
        <f>IF(C341="","",IFERROR(INDEX(Effectif!$D$7:$D$21,MATCH(C341,Effectif!$C$7:$C$21,0)),""))</f>
        <v/>
      </c>
      <c r="E341" s="26" t="n"/>
      <c r="F341" s="73" t="n"/>
      <c r="G341" s="74">
        <f>IF(NOT(ISNUMBER(F341)),"",IF(E341="Entrée",F341,-F341))</f>
        <v/>
      </c>
      <c r="H341" s="26" t="n"/>
      <c r="I341" s="2" t="n"/>
      <c r="J341" s="1" t="n"/>
    </row>
    <row r="342">
      <c r="A342" s="1" t="n"/>
      <c r="B342" s="25" t="n"/>
      <c r="C342" s="26" t="n"/>
      <c r="D342" s="72">
        <f>IF(C342="","",IFERROR(INDEX(Effectif!$D$7:$D$21,MATCH(C342,Effectif!$C$7:$C$21,0)),""))</f>
        <v/>
      </c>
      <c r="E342" s="26" t="n"/>
      <c r="F342" s="73" t="n"/>
      <c r="G342" s="74">
        <f>IF(NOT(ISNUMBER(F342)),"",IF(E342="Entrée",F342,-F342))</f>
        <v/>
      </c>
      <c r="H342" s="26" t="n"/>
      <c r="I342" s="2" t="n"/>
      <c r="J342" s="1" t="n"/>
    </row>
    <row r="343">
      <c r="A343" s="1" t="n"/>
      <c r="B343" s="25" t="n"/>
      <c r="C343" s="26" t="n"/>
      <c r="D343" s="72">
        <f>IF(C343="","",IFERROR(INDEX(Effectif!$D$7:$D$21,MATCH(C343,Effectif!$C$7:$C$21,0)),""))</f>
        <v/>
      </c>
      <c r="E343" s="26" t="n"/>
      <c r="F343" s="73" t="n"/>
      <c r="G343" s="74">
        <f>IF(NOT(ISNUMBER(F343)),"",IF(E343="Entrée",F343,-F343))</f>
        <v/>
      </c>
      <c r="H343" s="26" t="n"/>
      <c r="I343" s="2" t="n"/>
      <c r="J343" s="1" t="n"/>
    </row>
    <row r="344">
      <c r="A344" s="1" t="n"/>
      <c r="B344" s="25" t="n"/>
      <c r="C344" s="26" t="n"/>
      <c r="D344" s="72">
        <f>IF(C344="","",IFERROR(INDEX(Effectif!$D$7:$D$21,MATCH(C344,Effectif!$C$7:$C$21,0)),""))</f>
        <v/>
      </c>
      <c r="E344" s="26" t="n"/>
      <c r="F344" s="73" t="n"/>
      <c r="G344" s="74">
        <f>IF(NOT(ISNUMBER(F344)),"",IF(E344="Entrée",F344,-F344))</f>
        <v/>
      </c>
      <c r="H344" s="26" t="n"/>
      <c r="I344" s="2" t="n"/>
      <c r="J344" s="1" t="n"/>
    </row>
    <row r="345">
      <c r="A345" s="1" t="n"/>
      <c r="B345" s="25" t="n"/>
      <c r="C345" s="26" t="n"/>
      <c r="D345" s="72">
        <f>IF(C345="","",IFERROR(INDEX(Effectif!$D$7:$D$21,MATCH(C345,Effectif!$C$7:$C$21,0)),""))</f>
        <v/>
      </c>
      <c r="E345" s="26" t="n"/>
      <c r="F345" s="73" t="n"/>
      <c r="G345" s="74">
        <f>IF(NOT(ISNUMBER(F345)),"",IF(E345="Entrée",F345,-F345))</f>
        <v/>
      </c>
      <c r="H345" s="26" t="n"/>
      <c r="I345" s="2" t="n"/>
      <c r="J345" s="1" t="n"/>
    </row>
    <row r="346">
      <c r="A346" s="1" t="n"/>
      <c r="B346" s="25" t="n"/>
      <c r="C346" s="26" t="n"/>
      <c r="D346" s="72">
        <f>IF(C346="","",IFERROR(INDEX(Effectif!$D$7:$D$21,MATCH(C346,Effectif!$C$7:$C$21,0)),""))</f>
        <v/>
      </c>
      <c r="E346" s="26" t="n"/>
      <c r="F346" s="73" t="n"/>
      <c r="G346" s="74">
        <f>IF(NOT(ISNUMBER(F346)),"",IF(E346="Entrée",F346,-F346))</f>
        <v/>
      </c>
      <c r="H346" s="26" t="n"/>
      <c r="I346" s="2" t="n"/>
      <c r="J346" s="1" t="n"/>
    </row>
    <row r="347">
      <c r="A347" s="1" t="n"/>
      <c r="B347" s="25" t="n"/>
      <c r="C347" s="26" t="n"/>
      <c r="D347" s="72">
        <f>IF(C347="","",IFERROR(INDEX(Effectif!$D$7:$D$21,MATCH(C347,Effectif!$C$7:$C$21,0)),""))</f>
        <v/>
      </c>
      <c r="E347" s="26" t="n"/>
      <c r="F347" s="73" t="n"/>
      <c r="G347" s="74">
        <f>IF(NOT(ISNUMBER(F347)),"",IF(E347="Entrée",F347,-F347))</f>
        <v/>
      </c>
      <c r="H347" s="26" t="n"/>
      <c r="I347" s="2" t="n"/>
      <c r="J347" s="1" t="n"/>
    </row>
    <row r="348">
      <c r="A348" s="1" t="n"/>
      <c r="B348" s="25" t="n"/>
      <c r="C348" s="26" t="n"/>
      <c r="D348" s="72">
        <f>IF(C348="","",IFERROR(INDEX(Effectif!$D$7:$D$21,MATCH(C348,Effectif!$C$7:$C$21,0)),""))</f>
        <v/>
      </c>
      <c r="E348" s="26" t="n"/>
      <c r="F348" s="73" t="n"/>
      <c r="G348" s="74">
        <f>IF(NOT(ISNUMBER(F348)),"",IF(E348="Entrée",F348,-F348))</f>
        <v/>
      </c>
      <c r="H348" s="26" t="n"/>
      <c r="I348" s="2" t="n"/>
      <c r="J348" s="1" t="n"/>
    </row>
    <row r="349">
      <c r="A349" s="1" t="n"/>
      <c r="B349" s="25" t="n"/>
      <c r="C349" s="26" t="n"/>
      <c r="D349" s="72">
        <f>IF(C349="","",IFERROR(INDEX(Effectif!$D$7:$D$21,MATCH(C349,Effectif!$C$7:$C$21,0)),""))</f>
        <v/>
      </c>
      <c r="E349" s="26" t="n"/>
      <c r="F349" s="73" t="n"/>
      <c r="G349" s="74">
        <f>IF(NOT(ISNUMBER(F349)),"",IF(E349="Entrée",F349,-F349))</f>
        <v/>
      </c>
      <c r="H349" s="26" t="n"/>
      <c r="I349" s="2" t="n"/>
      <c r="J349" s="1" t="n"/>
    </row>
    <row r="350">
      <c r="A350" s="1" t="n"/>
      <c r="B350" s="25" t="n"/>
      <c r="C350" s="26" t="n"/>
      <c r="D350" s="72">
        <f>IF(C350="","",IFERROR(INDEX(Effectif!$D$7:$D$21,MATCH(C350,Effectif!$C$7:$C$21,0)),""))</f>
        <v/>
      </c>
      <c r="E350" s="26" t="n"/>
      <c r="F350" s="73" t="n"/>
      <c r="G350" s="74">
        <f>IF(NOT(ISNUMBER(F350)),"",IF(E350="Entrée",F350,-F350))</f>
        <v/>
      </c>
      <c r="H350" s="26" t="n"/>
      <c r="I350" s="2" t="n"/>
      <c r="J350" s="1" t="n"/>
    </row>
    <row r="351">
      <c r="A351" s="1" t="n"/>
      <c r="B351" s="25" t="n"/>
      <c r="C351" s="26" t="n"/>
      <c r="D351" s="72">
        <f>IF(C351="","",IFERROR(INDEX(Effectif!$D$7:$D$21,MATCH(C351,Effectif!$C$7:$C$21,0)),""))</f>
        <v/>
      </c>
      <c r="E351" s="26" t="n"/>
      <c r="F351" s="73" t="n"/>
      <c r="G351" s="74">
        <f>IF(NOT(ISNUMBER(F351)),"",IF(E351="Entrée",F351,-F351))</f>
        <v/>
      </c>
      <c r="H351" s="26" t="n"/>
      <c r="I351" s="2" t="n"/>
      <c r="J351" s="1" t="n"/>
    </row>
    <row r="352">
      <c r="A352" s="1" t="n"/>
      <c r="B352" s="25" t="n"/>
      <c r="C352" s="26" t="n"/>
      <c r="D352" s="72">
        <f>IF(C352="","",IFERROR(INDEX(Effectif!$D$7:$D$21,MATCH(C352,Effectif!$C$7:$C$21,0)),""))</f>
        <v/>
      </c>
      <c r="E352" s="26" t="n"/>
      <c r="F352" s="73" t="n"/>
      <c r="G352" s="74">
        <f>IF(NOT(ISNUMBER(F352)),"",IF(E352="Entrée",F352,-F352))</f>
        <v/>
      </c>
      <c r="H352" s="26" t="n"/>
      <c r="I352" s="2" t="n"/>
      <c r="J352" s="1" t="n"/>
    </row>
    <row r="353">
      <c r="A353" s="1" t="n"/>
      <c r="B353" s="25" t="n"/>
      <c r="C353" s="26" t="n"/>
      <c r="D353" s="72">
        <f>IF(C353="","",IFERROR(INDEX(Effectif!$D$7:$D$21,MATCH(C353,Effectif!$C$7:$C$21,0)),""))</f>
        <v/>
      </c>
      <c r="E353" s="26" t="n"/>
      <c r="F353" s="73" t="n"/>
      <c r="G353" s="74">
        <f>IF(NOT(ISNUMBER(F353)),"",IF(E353="Entrée",F353,-F353))</f>
        <v/>
      </c>
      <c r="H353" s="26" t="n"/>
      <c r="I353" s="2" t="n"/>
      <c r="J353" s="1" t="n"/>
    </row>
    <row r="354">
      <c r="A354" s="1" t="n"/>
      <c r="B354" s="25" t="n"/>
      <c r="C354" s="26" t="n"/>
      <c r="D354" s="72">
        <f>IF(C354="","",IFERROR(INDEX(Effectif!$D$7:$D$21,MATCH(C354,Effectif!$C$7:$C$21,0)),""))</f>
        <v/>
      </c>
      <c r="E354" s="26" t="n"/>
      <c r="F354" s="73" t="n"/>
      <c r="G354" s="74">
        <f>IF(NOT(ISNUMBER(F354)),"",IF(E354="Entrée",F354,-F354))</f>
        <v/>
      </c>
      <c r="H354" s="26" t="n"/>
      <c r="I354" s="2" t="n"/>
      <c r="J354" s="1" t="n"/>
    </row>
    <row r="355">
      <c r="A355" s="1" t="n"/>
      <c r="B355" s="25" t="n"/>
      <c r="C355" s="26" t="n"/>
      <c r="D355" s="72">
        <f>IF(C355="","",IFERROR(INDEX(Effectif!$D$7:$D$21,MATCH(C355,Effectif!$C$7:$C$21,0)),""))</f>
        <v/>
      </c>
      <c r="E355" s="26" t="n"/>
      <c r="F355" s="73" t="n"/>
      <c r="G355" s="74">
        <f>IF(NOT(ISNUMBER(F355)),"",IF(E355="Entrée",F355,-F355))</f>
        <v/>
      </c>
      <c r="H355" s="26" t="n"/>
      <c r="I355" s="2" t="n"/>
      <c r="J355" s="1" t="n"/>
    </row>
    <row r="356">
      <c r="A356" s="1" t="n"/>
      <c r="B356" s="25" t="n"/>
      <c r="C356" s="26" t="n"/>
      <c r="D356" s="72">
        <f>IF(C356="","",IFERROR(INDEX(Effectif!$D$7:$D$21,MATCH(C356,Effectif!$C$7:$C$21,0)),""))</f>
        <v/>
      </c>
      <c r="E356" s="26" t="n"/>
      <c r="F356" s="73" t="n"/>
      <c r="G356" s="74">
        <f>IF(NOT(ISNUMBER(F356)),"",IF(E356="Entrée",F356,-F356))</f>
        <v/>
      </c>
      <c r="H356" s="26" t="n"/>
      <c r="I356" s="2" t="n"/>
      <c r="J356" s="1" t="n"/>
    </row>
    <row r="357">
      <c r="A357" s="1" t="n"/>
      <c r="B357" s="25" t="n"/>
      <c r="C357" s="26" t="n"/>
      <c r="D357" s="72">
        <f>IF(C357="","",IFERROR(INDEX(Effectif!$D$7:$D$21,MATCH(C357,Effectif!$C$7:$C$21,0)),""))</f>
        <v/>
      </c>
      <c r="E357" s="26" t="n"/>
      <c r="F357" s="73" t="n"/>
      <c r="G357" s="74">
        <f>IF(NOT(ISNUMBER(F357)),"",IF(E357="Entrée",F357,-F357))</f>
        <v/>
      </c>
      <c r="H357" s="26" t="n"/>
      <c r="I357" s="2" t="n"/>
      <c r="J357" s="1" t="n"/>
    </row>
    <row r="358">
      <c r="A358" s="1" t="n"/>
      <c r="B358" s="25" t="n"/>
      <c r="C358" s="26" t="n"/>
      <c r="D358" s="72">
        <f>IF(C358="","",IFERROR(INDEX(Effectif!$D$7:$D$21,MATCH(C358,Effectif!$C$7:$C$21,0)),""))</f>
        <v/>
      </c>
      <c r="E358" s="26" t="n"/>
      <c r="F358" s="73" t="n"/>
      <c r="G358" s="74">
        <f>IF(NOT(ISNUMBER(F358)),"",IF(E358="Entrée",F358,-F358))</f>
        <v/>
      </c>
      <c r="H358" s="26" t="n"/>
      <c r="I358" s="2" t="n"/>
      <c r="J358" s="1" t="n"/>
    </row>
    <row r="359">
      <c r="A359" s="1" t="n"/>
      <c r="B359" s="25" t="n"/>
      <c r="C359" s="26" t="n"/>
      <c r="D359" s="72">
        <f>IF(C359="","",IFERROR(INDEX(Effectif!$D$7:$D$21,MATCH(C359,Effectif!$C$7:$C$21,0)),""))</f>
        <v/>
      </c>
      <c r="E359" s="26" t="n"/>
      <c r="F359" s="73" t="n"/>
      <c r="G359" s="74">
        <f>IF(NOT(ISNUMBER(F359)),"",IF(E359="Entrée",F359,-F359))</f>
        <v/>
      </c>
      <c r="H359" s="26" t="n"/>
      <c r="I359" s="2" t="n"/>
      <c r="J359" s="1" t="n"/>
    </row>
    <row r="360">
      <c r="A360" s="1" t="n"/>
      <c r="B360" s="25" t="n"/>
      <c r="C360" s="26" t="n"/>
      <c r="D360" s="72">
        <f>IF(C360="","",IFERROR(INDEX(Effectif!$D$7:$D$21,MATCH(C360,Effectif!$C$7:$C$21,0)),""))</f>
        <v/>
      </c>
      <c r="E360" s="26" t="n"/>
      <c r="F360" s="73" t="n"/>
      <c r="G360" s="74">
        <f>IF(NOT(ISNUMBER(F360)),"",IF(E360="Entrée",F360,-F360))</f>
        <v/>
      </c>
      <c r="H360" s="26" t="n"/>
      <c r="I360" s="2" t="n"/>
      <c r="J360" s="1" t="n"/>
    </row>
    <row r="361">
      <c r="A361" s="1" t="n"/>
      <c r="B361" s="25" t="n"/>
      <c r="C361" s="26" t="n"/>
      <c r="D361" s="72">
        <f>IF(C361="","",IFERROR(INDEX(Effectif!$D$7:$D$21,MATCH(C361,Effectif!$C$7:$C$21,0)),""))</f>
        <v/>
      </c>
      <c r="E361" s="26" t="n"/>
      <c r="F361" s="73" t="n"/>
      <c r="G361" s="74">
        <f>IF(NOT(ISNUMBER(F361)),"",IF(E361="Entrée",F361,-F361))</f>
        <v/>
      </c>
      <c r="H361" s="26" t="n"/>
      <c r="I361" s="2" t="n"/>
      <c r="J361" s="1" t="n"/>
    </row>
    <row r="362">
      <c r="A362" s="1" t="n"/>
      <c r="B362" s="25" t="n"/>
      <c r="C362" s="26" t="n"/>
      <c r="D362" s="72">
        <f>IF(C362="","",IFERROR(INDEX(Effectif!$D$7:$D$21,MATCH(C362,Effectif!$C$7:$C$21,0)),""))</f>
        <v/>
      </c>
      <c r="E362" s="26" t="n"/>
      <c r="F362" s="73" t="n"/>
      <c r="G362" s="74">
        <f>IF(NOT(ISNUMBER(F362)),"",IF(E362="Entrée",F362,-F362))</f>
        <v/>
      </c>
      <c r="H362" s="26" t="n"/>
      <c r="I362" s="2" t="n"/>
      <c r="J362" s="1" t="n"/>
    </row>
    <row r="363">
      <c r="A363" s="1" t="n"/>
      <c r="B363" s="25" t="n"/>
      <c r="C363" s="26" t="n"/>
      <c r="D363" s="72">
        <f>IF(C363="","",IFERROR(INDEX(Effectif!$D$7:$D$21,MATCH(C363,Effectif!$C$7:$C$21,0)),""))</f>
        <v/>
      </c>
      <c r="E363" s="26" t="n"/>
      <c r="F363" s="73" t="n"/>
      <c r="G363" s="74">
        <f>IF(NOT(ISNUMBER(F363)),"",IF(E363="Entrée",F363,-F363))</f>
        <v/>
      </c>
      <c r="H363" s="26" t="n"/>
      <c r="I363" s="2" t="n"/>
      <c r="J363" s="1" t="n"/>
    </row>
    <row r="364">
      <c r="A364" s="1" t="n"/>
      <c r="B364" s="25" t="n"/>
      <c r="C364" s="26" t="n"/>
      <c r="D364" s="72">
        <f>IF(C364="","",IFERROR(INDEX(Effectif!$D$7:$D$21,MATCH(C364,Effectif!$C$7:$C$21,0)),""))</f>
        <v/>
      </c>
      <c r="E364" s="26" t="n"/>
      <c r="F364" s="73" t="n"/>
      <c r="G364" s="74">
        <f>IF(NOT(ISNUMBER(F364)),"",IF(E364="Entrée",F364,-F364))</f>
        <v/>
      </c>
      <c r="H364" s="26" t="n"/>
      <c r="I364" s="2" t="n"/>
      <c r="J364" s="1" t="n"/>
    </row>
    <row r="365">
      <c r="A365" s="1" t="n"/>
      <c r="B365" s="25" t="n"/>
      <c r="C365" s="26" t="n"/>
      <c r="D365" s="72">
        <f>IF(C365="","",IFERROR(INDEX(Effectif!$D$7:$D$21,MATCH(C365,Effectif!$C$7:$C$21,0)),""))</f>
        <v/>
      </c>
      <c r="E365" s="26" t="n"/>
      <c r="F365" s="73" t="n"/>
      <c r="G365" s="74">
        <f>IF(NOT(ISNUMBER(F365)),"",IF(E365="Entrée",F365,-F365))</f>
        <v/>
      </c>
      <c r="H365" s="26" t="n"/>
      <c r="I365" s="2" t="n"/>
      <c r="J365" s="1" t="n"/>
    </row>
    <row r="366">
      <c r="A366" s="1" t="n"/>
      <c r="B366" s="25" t="n"/>
      <c r="C366" s="26" t="n"/>
      <c r="D366" s="72">
        <f>IF(C366="","",IFERROR(INDEX(Effectif!$D$7:$D$21,MATCH(C366,Effectif!$C$7:$C$21,0)),""))</f>
        <v/>
      </c>
      <c r="E366" s="26" t="n"/>
      <c r="F366" s="73" t="n"/>
      <c r="G366" s="74">
        <f>IF(NOT(ISNUMBER(F366)),"",IF(E366="Entrée",F366,-F366))</f>
        <v/>
      </c>
      <c r="H366" s="26" t="n"/>
      <c r="I366" s="2" t="n"/>
      <c r="J366" s="1" t="n"/>
    </row>
    <row r="367">
      <c r="A367" s="1" t="n"/>
      <c r="B367" s="25" t="n"/>
      <c r="C367" s="26" t="n"/>
      <c r="D367" s="72">
        <f>IF(C367="","",IFERROR(INDEX(Effectif!$D$7:$D$21,MATCH(C367,Effectif!$C$7:$C$21,0)),""))</f>
        <v/>
      </c>
      <c r="E367" s="26" t="n"/>
      <c r="F367" s="73" t="n"/>
      <c r="G367" s="74">
        <f>IF(NOT(ISNUMBER(F367)),"",IF(E367="Entrée",F367,-F367))</f>
        <v/>
      </c>
      <c r="H367" s="26" t="n"/>
      <c r="I367" s="2" t="n"/>
      <c r="J367" s="1" t="n"/>
    </row>
    <row r="368">
      <c r="A368" s="1" t="n"/>
      <c r="B368" s="25" t="n"/>
      <c r="C368" s="26" t="n"/>
      <c r="D368" s="72">
        <f>IF(C368="","",IFERROR(INDEX(Effectif!$D$7:$D$21,MATCH(C368,Effectif!$C$7:$C$21,0)),""))</f>
        <v/>
      </c>
      <c r="E368" s="26" t="n"/>
      <c r="F368" s="73" t="n"/>
      <c r="G368" s="74">
        <f>IF(NOT(ISNUMBER(F368)),"",IF(E368="Entrée",F368,-F368))</f>
        <v/>
      </c>
      <c r="H368" s="26" t="n"/>
      <c r="I368" s="2" t="n"/>
      <c r="J368" s="1" t="n"/>
    </row>
    <row r="369">
      <c r="A369" s="1" t="n"/>
      <c r="B369" s="25" t="n"/>
      <c r="C369" s="26" t="n"/>
      <c r="D369" s="72">
        <f>IF(C369="","",IFERROR(INDEX(Effectif!$D$7:$D$21,MATCH(C369,Effectif!$C$7:$C$21,0)),""))</f>
        <v/>
      </c>
      <c r="E369" s="26" t="n"/>
      <c r="F369" s="73" t="n"/>
      <c r="G369" s="74">
        <f>IF(NOT(ISNUMBER(F369)),"",IF(E369="Entrée",F369,-F369))</f>
        <v/>
      </c>
      <c r="H369" s="26" t="n"/>
      <c r="I369" s="2" t="n"/>
      <c r="J369" s="1" t="n"/>
    </row>
    <row r="370">
      <c r="A370" s="1" t="n"/>
      <c r="B370" s="25" t="n"/>
      <c r="C370" s="26" t="n"/>
      <c r="D370" s="72">
        <f>IF(C370="","",IFERROR(INDEX(Effectif!$D$7:$D$21,MATCH(C370,Effectif!$C$7:$C$21,0)),""))</f>
        <v/>
      </c>
      <c r="E370" s="26" t="n"/>
      <c r="F370" s="73" t="n"/>
      <c r="G370" s="74">
        <f>IF(NOT(ISNUMBER(F370)),"",IF(E370="Entrée",F370,-F370))</f>
        <v/>
      </c>
      <c r="H370" s="26" t="n"/>
      <c r="I370" s="2" t="n"/>
      <c r="J370" s="1" t="n"/>
    </row>
    <row r="371">
      <c r="A371" s="1" t="n"/>
      <c r="B371" s="25" t="n"/>
      <c r="C371" s="26" t="n"/>
      <c r="D371" s="72">
        <f>IF(C371="","",IFERROR(INDEX(Effectif!$D$7:$D$21,MATCH(C371,Effectif!$C$7:$C$21,0)),""))</f>
        <v/>
      </c>
      <c r="E371" s="26" t="n"/>
      <c r="F371" s="73" t="n"/>
      <c r="G371" s="74">
        <f>IF(NOT(ISNUMBER(F371)),"",IF(E371="Entrée",F371,-F371))</f>
        <v/>
      </c>
      <c r="H371" s="26" t="n"/>
      <c r="I371" s="2" t="n"/>
      <c r="J371" s="1" t="n"/>
    </row>
    <row r="372">
      <c r="A372" s="1" t="n"/>
      <c r="B372" s="25" t="n"/>
      <c r="C372" s="26" t="n"/>
      <c r="D372" s="72">
        <f>IF(C372="","",IFERROR(INDEX(Effectif!$D$7:$D$21,MATCH(C372,Effectif!$C$7:$C$21,0)),""))</f>
        <v/>
      </c>
      <c r="E372" s="26" t="n"/>
      <c r="F372" s="73" t="n"/>
      <c r="G372" s="74">
        <f>IF(NOT(ISNUMBER(F372)),"",IF(E372="Entrée",F372,-F372))</f>
        <v/>
      </c>
      <c r="H372" s="26" t="n"/>
      <c r="I372" s="2" t="n"/>
      <c r="J372" s="1" t="n"/>
    </row>
    <row r="373">
      <c r="A373" s="1" t="n"/>
      <c r="B373" s="25" t="n"/>
      <c r="C373" s="26" t="n"/>
      <c r="D373" s="72">
        <f>IF(C373="","",IFERROR(INDEX(Effectif!$D$7:$D$21,MATCH(C373,Effectif!$C$7:$C$21,0)),""))</f>
        <v/>
      </c>
      <c r="E373" s="26" t="n"/>
      <c r="F373" s="73" t="n"/>
      <c r="G373" s="74">
        <f>IF(NOT(ISNUMBER(F373)),"",IF(E373="Entrée",F373,-F373))</f>
        <v/>
      </c>
      <c r="H373" s="26" t="n"/>
      <c r="I373" s="2" t="n"/>
      <c r="J373" s="1" t="n"/>
    </row>
    <row r="374">
      <c r="A374" s="1" t="n"/>
      <c r="B374" s="25" t="n"/>
      <c r="C374" s="26" t="n"/>
      <c r="D374" s="72">
        <f>IF(C374="","",IFERROR(INDEX(Effectif!$D$7:$D$21,MATCH(C374,Effectif!$C$7:$C$21,0)),""))</f>
        <v/>
      </c>
      <c r="E374" s="26" t="n"/>
      <c r="F374" s="73" t="n"/>
      <c r="G374" s="74">
        <f>IF(NOT(ISNUMBER(F374)),"",IF(E374="Entrée",F374,-F374))</f>
        <v/>
      </c>
      <c r="H374" s="26" t="n"/>
      <c r="I374" s="2" t="n"/>
      <c r="J374" s="1" t="n"/>
    </row>
    <row r="375">
      <c r="A375" s="1" t="n"/>
      <c r="B375" s="25" t="n"/>
      <c r="C375" s="26" t="n"/>
      <c r="D375" s="72">
        <f>IF(C375="","",IFERROR(INDEX(Effectif!$D$7:$D$21,MATCH(C375,Effectif!$C$7:$C$21,0)),""))</f>
        <v/>
      </c>
      <c r="E375" s="26" t="n"/>
      <c r="F375" s="73" t="n"/>
      <c r="G375" s="74">
        <f>IF(NOT(ISNUMBER(F375)),"",IF(E375="Entrée",F375,-F375))</f>
        <v/>
      </c>
      <c r="H375" s="26" t="n"/>
      <c r="I375" s="2" t="n"/>
      <c r="J375" s="1" t="n"/>
    </row>
    <row r="376">
      <c r="A376" s="1" t="n"/>
      <c r="B376" s="25" t="n"/>
      <c r="C376" s="26" t="n"/>
      <c r="D376" s="72">
        <f>IF(C376="","",IFERROR(INDEX(Effectif!$D$7:$D$21,MATCH(C376,Effectif!$C$7:$C$21,0)),""))</f>
        <v/>
      </c>
      <c r="E376" s="26" t="n"/>
      <c r="F376" s="73" t="n"/>
      <c r="G376" s="74">
        <f>IF(NOT(ISNUMBER(F376)),"",IF(E376="Entrée",F376,-F376))</f>
        <v/>
      </c>
      <c r="H376" s="26" t="n"/>
      <c r="I376" s="2" t="n"/>
      <c r="J376" s="1" t="n"/>
    </row>
    <row r="377">
      <c r="A377" s="1" t="n"/>
      <c r="B377" s="25" t="n"/>
      <c r="C377" s="26" t="n"/>
      <c r="D377" s="72">
        <f>IF(C377="","",IFERROR(INDEX(Effectif!$D$7:$D$21,MATCH(C377,Effectif!$C$7:$C$21,0)),""))</f>
        <v/>
      </c>
      <c r="E377" s="26" t="n"/>
      <c r="F377" s="73" t="n"/>
      <c r="G377" s="74">
        <f>IF(NOT(ISNUMBER(F377)),"",IF(E377="Entrée",F377,-F377))</f>
        <v/>
      </c>
      <c r="H377" s="26" t="n"/>
      <c r="I377" s="2" t="n"/>
      <c r="J377" s="1" t="n"/>
    </row>
    <row r="378">
      <c r="A378" s="1" t="n"/>
      <c r="B378" s="25" t="n"/>
      <c r="C378" s="26" t="n"/>
      <c r="D378" s="72">
        <f>IF(C378="","",IFERROR(INDEX(Effectif!$D$7:$D$21,MATCH(C378,Effectif!$C$7:$C$21,0)),""))</f>
        <v/>
      </c>
      <c r="E378" s="26" t="n"/>
      <c r="F378" s="73" t="n"/>
      <c r="G378" s="74">
        <f>IF(NOT(ISNUMBER(F378)),"",IF(E378="Entrée",F378,-F378))</f>
        <v/>
      </c>
      <c r="H378" s="26" t="n"/>
      <c r="I378" s="2" t="n"/>
      <c r="J378" s="1" t="n"/>
    </row>
    <row r="379">
      <c r="A379" s="1" t="n"/>
      <c r="B379" s="25" t="n"/>
      <c r="C379" s="26" t="n"/>
      <c r="D379" s="72">
        <f>IF(C379="","",IFERROR(INDEX(Effectif!$D$7:$D$21,MATCH(C379,Effectif!$C$7:$C$21,0)),""))</f>
        <v/>
      </c>
      <c r="E379" s="26" t="n"/>
      <c r="F379" s="73" t="n"/>
      <c r="G379" s="74">
        <f>IF(NOT(ISNUMBER(F379)),"",IF(E379="Entrée",F379,-F379))</f>
        <v/>
      </c>
      <c r="H379" s="26" t="n"/>
      <c r="I379" s="2" t="n"/>
      <c r="J379" s="1" t="n"/>
    </row>
    <row r="380">
      <c r="A380" s="1" t="n"/>
      <c r="B380" s="25" t="n"/>
      <c r="C380" s="26" t="n"/>
      <c r="D380" s="72">
        <f>IF(C380="","",IFERROR(INDEX(Effectif!$D$7:$D$21,MATCH(C380,Effectif!$C$7:$C$21,0)),""))</f>
        <v/>
      </c>
      <c r="E380" s="26" t="n"/>
      <c r="F380" s="73" t="n"/>
      <c r="G380" s="74">
        <f>IF(NOT(ISNUMBER(F380)),"",IF(E380="Entrée",F380,-F380))</f>
        <v/>
      </c>
      <c r="H380" s="26" t="n"/>
      <c r="I380" s="2" t="n"/>
      <c r="J380" s="1" t="n"/>
    </row>
    <row r="381">
      <c r="A381" s="1" t="n"/>
      <c r="B381" s="25" t="n"/>
      <c r="C381" s="26" t="n"/>
      <c r="D381" s="72">
        <f>IF(C381="","",IFERROR(INDEX(Effectif!$D$7:$D$21,MATCH(C381,Effectif!$C$7:$C$21,0)),""))</f>
        <v/>
      </c>
      <c r="E381" s="26" t="n"/>
      <c r="F381" s="73" t="n"/>
      <c r="G381" s="74">
        <f>IF(NOT(ISNUMBER(F381)),"",IF(E381="Entrée",F381,-F381))</f>
        <v/>
      </c>
      <c r="H381" s="26" t="n"/>
      <c r="I381" s="2" t="n"/>
      <c r="J381" s="1" t="n"/>
    </row>
    <row r="382">
      <c r="A382" s="1" t="n"/>
      <c r="B382" s="25" t="n"/>
      <c r="C382" s="26" t="n"/>
      <c r="D382" s="72">
        <f>IF(C382="","",IFERROR(INDEX(Effectif!$D$7:$D$21,MATCH(C382,Effectif!$C$7:$C$21,0)),""))</f>
        <v/>
      </c>
      <c r="E382" s="26" t="n"/>
      <c r="F382" s="73" t="n"/>
      <c r="G382" s="74">
        <f>IF(NOT(ISNUMBER(F382)),"",IF(E382="Entrée",F382,-F382))</f>
        <v/>
      </c>
      <c r="H382" s="26" t="n"/>
      <c r="I382" s="2" t="n"/>
      <c r="J382" s="1" t="n"/>
    </row>
    <row r="383">
      <c r="A383" s="1" t="n"/>
      <c r="B383" s="25" t="n"/>
      <c r="C383" s="26" t="n"/>
      <c r="D383" s="72">
        <f>IF(C383="","",IFERROR(INDEX(Effectif!$D$7:$D$21,MATCH(C383,Effectif!$C$7:$C$21,0)),""))</f>
        <v/>
      </c>
      <c r="E383" s="26" t="n"/>
      <c r="F383" s="73" t="n"/>
      <c r="G383" s="74">
        <f>IF(NOT(ISNUMBER(F383)),"",IF(E383="Entrée",F383,-F383))</f>
        <v/>
      </c>
      <c r="H383" s="26" t="n"/>
      <c r="I383" s="2" t="n"/>
      <c r="J383" s="1" t="n"/>
    </row>
    <row r="384">
      <c r="A384" s="1" t="n"/>
      <c r="B384" s="25" t="n"/>
      <c r="C384" s="26" t="n"/>
      <c r="D384" s="72">
        <f>IF(C384="","",IFERROR(INDEX(Effectif!$D$7:$D$21,MATCH(C384,Effectif!$C$7:$C$21,0)),""))</f>
        <v/>
      </c>
      <c r="E384" s="26" t="n"/>
      <c r="F384" s="73" t="n"/>
      <c r="G384" s="74">
        <f>IF(NOT(ISNUMBER(F384)),"",IF(E384="Entrée",F384,-F384))</f>
        <v/>
      </c>
      <c r="H384" s="26" t="n"/>
      <c r="I384" s="2" t="n"/>
      <c r="J384" s="1" t="n"/>
    </row>
    <row r="385">
      <c r="A385" s="1" t="n"/>
      <c r="B385" s="25" t="n"/>
      <c r="C385" s="26" t="n"/>
      <c r="D385" s="72">
        <f>IF(C385="","",IFERROR(INDEX(Effectif!$D$7:$D$21,MATCH(C385,Effectif!$C$7:$C$21,0)),""))</f>
        <v/>
      </c>
      <c r="E385" s="26" t="n"/>
      <c r="F385" s="73" t="n"/>
      <c r="G385" s="74">
        <f>IF(NOT(ISNUMBER(F385)),"",IF(E385="Entrée",F385,-F385))</f>
        <v/>
      </c>
      <c r="H385" s="26" t="n"/>
      <c r="I385" s="2" t="n"/>
      <c r="J385" s="1" t="n"/>
    </row>
    <row r="386">
      <c r="A386" s="1" t="n"/>
      <c r="B386" s="25" t="n"/>
      <c r="C386" s="26" t="n"/>
      <c r="D386" s="72">
        <f>IF(C386="","",IFERROR(INDEX(Effectif!$D$7:$D$21,MATCH(C386,Effectif!$C$7:$C$21,0)),""))</f>
        <v/>
      </c>
      <c r="E386" s="26" t="n"/>
      <c r="F386" s="73" t="n"/>
      <c r="G386" s="74">
        <f>IF(NOT(ISNUMBER(F386)),"",IF(E386="Entrée",F386,-F386))</f>
        <v/>
      </c>
      <c r="H386" s="26" t="n"/>
      <c r="I386" s="2" t="n"/>
      <c r="J386" s="1" t="n"/>
    </row>
    <row r="387">
      <c r="A387" s="1" t="n"/>
      <c r="B387" s="25" t="n"/>
      <c r="C387" s="26" t="n"/>
      <c r="D387" s="72">
        <f>IF(C387="","",IFERROR(INDEX(Effectif!$D$7:$D$21,MATCH(C387,Effectif!$C$7:$C$21,0)),""))</f>
        <v/>
      </c>
      <c r="E387" s="26" t="n"/>
      <c r="F387" s="73" t="n"/>
      <c r="G387" s="74">
        <f>IF(NOT(ISNUMBER(F387)),"",IF(E387="Entrée",F387,-F387))</f>
        <v/>
      </c>
      <c r="H387" s="26" t="n"/>
      <c r="I387" s="2" t="n"/>
      <c r="J387" s="1" t="n"/>
    </row>
    <row r="388">
      <c r="A388" s="1" t="n"/>
      <c r="B388" s="25" t="n"/>
      <c r="C388" s="26" t="n"/>
      <c r="D388" s="72">
        <f>IF(C388="","",IFERROR(INDEX(Effectif!$D$7:$D$21,MATCH(C388,Effectif!$C$7:$C$21,0)),""))</f>
        <v/>
      </c>
      <c r="E388" s="26" t="n"/>
      <c r="F388" s="73" t="n"/>
      <c r="G388" s="74">
        <f>IF(NOT(ISNUMBER(F388)),"",IF(E388="Entrée",F388,-F388))</f>
        <v/>
      </c>
      <c r="H388" s="26" t="n"/>
      <c r="I388" s="2" t="n"/>
      <c r="J388" s="1" t="n"/>
    </row>
    <row r="389">
      <c r="A389" s="1" t="n"/>
      <c r="B389" s="25" t="n"/>
      <c r="C389" s="26" t="n"/>
      <c r="D389" s="72">
        <f>IF(C389="","",IFERROR(INDEX(Effectif!$D$7:$D$21,MATCH(C389,Effectif!$C$7:$C$21,0)),""))</f>
        <v/>
      </c>
      <c r="E389" s="26" t="n"/>
      <c r="F389" s="73" t="n"/>
      <c r="G389" s="74">
        <f>IF(NOT(ISNUMBER(F389)),"",IF(E389="Entrée",F389,-F389))</f>
        <v/>
      </c>
      <c r="H389" s="26" t="n"/>
      <c r="I389" s="2" t="n"/>
      <c r="J389" s="1" t="n"/>
    </row>
    <row r="390">
      <c r="A390" s="1" t="n"/>
      <c r="B390" s="25" t="n"/>
      <c r="C390" s="26" t="n"/>
      <c r="D390" s="72">
        <f>IF(C390="","",IFERROR(INDEX(Effectif!$D$7:$D$21,MATCH(C390,Effectif!$C$7:$C$21,0)),""))</f>
        <v/>
      </c>
      <c r="E390" s="26" t="n"/>
      <c r="F390" s="73" t="n"/>
      <c r="G390" s="74">
        <f>IF(NOT(ISNUMBER(F390)),"",IF(E390="Entrée",F390,-F390))</f>
        <v/>
      </c>
      <c r="H390" s="26" t="n"/>
      <c r="I390" s="2" t="n"/>
      <c r="J390" s="1" t="n"/>
    </row>
    <row r="391">
      <c r="A391" s="1" t="n"/>
      <c r="B391" s="25" t="n"/>
      <c r="C391" s="26" t="n"/>
      <c r="D391" s="72">
        <f>IF(C391="","",IFERROR(INDEX(Effectif!$D$7:$D$21,MATCH(C391,Effectif!$C$7:$C$21,0)),""))</f>
        <v/>
      </c>
      <c r="E391" s="26" t="n"/>
      <c r="F391" s="73" t="n"/>
      <c r="G391" s="74">
        <f>IF(NOT(ISNUMBER(F391)),"",IF(E391="Entrée",F391,-F391))</f>
        <v/>
      </c>
      <c r="H391" s="26" t="n"/>
      <c r="I391" s="2" t="n"/>
      <c r="J391" s="1" t="n"/>
    </row>
    <row r="392">
      <c r="A392" s="1" t="n"/>
      <c r="B392" s="25" t="n"/>
      <c r="C392" s="26" t="n"/>
      <c r="D392" s="72">
        <f>IF(C392="","",IFERROR(INDEX(Effectif!$D$7:$D$21,MATCH(C392,Effectif!$C$7:$C$21,0)),""))</f>
        <v/>
      </c>
      <c r="E392" s="26" t="n"/>
      <c r="F392" s="73" t="n"/>
      <c r="G392" s="74">
        <f>IF(NOT(ISNUMBER(F392)),"",IF(E392="Entrée",F392,-F392))</f>
        <v/>
      </c>
      <c r="H392" s="26" t="n"/>
      <c r="I392" s="2" t="n"/>
      <c r="J392" s="1" t="n"/>
    </row>
    <row r="393">
      <c r="A393" s="1" t="n"/>
      <c r="B393" s="25" t="n"/>
      <c r="C393" s="26" t="n"/>
      <c r="D393" s="72">
        <f>IF(C393="","",IFERROR(INDEX(Effectif!$D$7:$D$21,MATCH(C393,Effectif!$C$7:$C$21,0)),""))</f>
        <v/>
      </c>
      <c r="E393" s="26" t="n"/>
      <c r="F393" s="73" t="n"/>
      <c r="G393" s="74">
        <f>IF(NOT(ISNUMBER(F393)),"",IF(E393="Entrée",F393,-F393))</f>
        <v/>
      </c>
      <c r="H393" s="26" t="n"/>
      <c r="I393" s="2" t="n"/>
      <c r="J393" s="1" t="n"/>
    </row>
    <row r="394">
      <c r="A394" s="1" t="n"/>
      <c r="B394" s="25" t="n"/>
      <c r="C394" s="26" t="n"/>
      <c r="D394" s="72">
        <f>IF(C394="","",IFERROR(INDEX(Effectif!$D$7:$D$21,MATCH(C394,Effectif!$C$7:$C$21,0)),""))</f>
        <v/>
      </c>
      <c r="E394" s="26" t="n"/>
      <c r="F394" s="73" t="n"/>
      <c r="G394" s="74">
        <f>IF(NOT(ISNUMBER(F394)),"",IF(E394="Entrée",F394,-F394))</f>
        <v/>
      </c>
      <c r="H394" s="26" t="n"/>
      <c r="I394" s="2" t="n"/>
      <c r="J394" s="1" t="n"/>
    </row>
    <row r="395">
      <c r="A395" s="1" t="n"/>
      <c r="B395" s="25" t="n"/>
      <c r="C395" s="26" t="n"/>
      <c r="D395" s="72">
        <f>IF(C395="","",IFERROR(INDEX(Effectif!$D$7:$D$21,MATCH(C395,Effectif!$C$7:$C$21,0)),""))</f>
        <v/>
      </c>
      <c r="E395" s="26" t="n"/>
      <c r="F395" s="73" t="n"/>
      <c r="G395" s="74">
        <f>IF(NOT(ISNUMBER(F395)),"",IF(E395="Entrée",F395,-F395))</f>
        <v/>
      </c>
      <c r="H395" s="26" t="n"/>
      <c r="I395" s="2" t="n"/>
      <c r="J395" s="1" t="n"/>
    </row>
    <row r="396">
      <c r="A396" s="1" t="n"/>
      <c r="B396" s="25" t="n"/>
      <c r="C396" s="26" t="n"/>
      <c r="D396" s="72">
        <f>IF(C396="","",IFERROR(INDEX(Effectif!$D$7:$D$21,MATCH(C396,Effectif!$C$7:$C$21,0)),""))</f>
        <v/>
      </c>
      <c r="E396" s="26" t="n"/>
      <c r="F396" s="73" t="n"/>
      <c r="G396" s="74">
        <f>IF(NOT(ISNUMBER(F396)),"",IF(E396="Entrée",F396,-F396))</f>
        <v/>
      </c>
      <c r="H396" s="26" t="n"/>
      <c r="I396" s="2" t="n"/>
      <c r="J396" s="1" t="n"/>
    </row>
    <row r="397">
      <c r="A397" s="1" t="n"/>
      <c r="B397" s="25" t="n"/>
      <c r="C397" s="26" t="n"/>
      <c r="D397" s="72">
        <f>IF(C397="","",IFERROR(INDEX(Effectif!$D$7:$D$21,MATCH(C397,Effectif!$C$7:$C$21,0)),""))</f>
        <v/>
      </c>
      <c r="E397" s="26" t="n"/>
      <c r="F397" s="73" t="n"/>
      <c r="G397" s="74">
        <f>IF(NOT(ISNUMBER(F397)),"",IF(E397="Entrée",F397,-F397))</f>
        <v/>
      </c>
      <c r="H397" s="26" t="n"/>
      <c r="I397" s="2" t="n"/>
      <c r="J397" s="1" t="n"/>
    </row>
    <row r="398">
      <c r="A398" s="1" t="n"/>
      <c r="B398" s="25" t="n"/>
      <c r="C398" s="26" t="n"/>
      <c r="D398" s="72">
        <f>IF(C398="","",IFERROR(INDEX(Effectif!$D$7:$D$21,MATCH(C398,Effectif!$C$7:$C$21,0)),""))</f>
        <v/>
      </c>
      <c r="E398" s="26" t="n"/>
      <c r="F398" s="73" t="n"/>
      <c r="G398" s="74">
        <f>IF(NOT(ISNUMBER(F398)),"",IF(E398="Entrée",F398,-F398))</f>
        <v/>
      </c>
      <c r="H398" s="26" t="n"/>
      <c r="I398" s="2" t="n"/>
      <c r="J398" s="1" t="n"/>
    </row>
    <row r="399">
      <c r="A399" s="1" t="n"/>
      <c r="B399" s="25" t="n"/>
      <c r="C399" s="26" t="n"/>
      <c r="D399" s="72">
        <f>IF(C399="","",IFERROR(INDEX(Effectif!$D$7:$D$21,MATCH(C399,Effectif!$C$7:$C$21,0)),""))</f>
        <v/>
      </c>
      <c r="E399" s="26" t="n"/>
      <c r="F399" s="73" t="n"/>
      <c r="G399" s="74">
        <f>IF(NOT(ISNUMBER(F399)),"",IF(E399="Entrée",F399,-F399))</f>
        <v/>
      </c>
      <c r="H399" s="26" t="n"/>
      <c r="I399" s="2" t="n"/>
      <c r="J399" s="1" t="n"/>
    </row>
    <row r="400">
      <c r="A400" s="1" t="n"/>
      <c r="B400" s="25" t="n"/>
      <c r="C400" s="26" t="n"/>
      <c r="D400" s="72">
        <f>IF(C400="","",IFERROR(INDEX(Effectif!$D$7:$D$21,MATCH(C400,Effectif!$C$7:$C$21,0)),""))</f>
        <v/>
      </c>
      <c r="E400" s="26" t="n"/>
      <c r="F400" s="73" t="n"/>
      <c r="G400" s="74">
        <f>IF(NOT(ISNUMBER(F400)),"",IF(E400="Entrée",F400,-F400))</f>
        <v/>
      </c>
      <c r="H400" s="26" t="n"/>
      <c r="I400" s="2" t="n"/>
      <c r="J400" s="1" t="n"/>
    </row>
    <row r="401">
      <c r="A401" s="1" t="n"/>
      <c r="B401" s="25" t="n"/>
      <c r="C401" s="26" t="n"/>
      <c r="D401" s="72">
        <f>IF(C401="","",IFERROR(INDEX(Effectif!$D$7:$D$21,MATCH(C401,Effectif!$C$7:$C$21,0)),""))</f>
        <v/>
      </c>
      <c r="E401" s="26" t="n"/>
      <c r="F401" s="73" t="n"/>
      <c r="G401" s="74">
        <f>IF(NOT(ISNUMBER(F401)),"",IF(E401="Entrée",F401,-F401))</f>
        <v/>
      </c>
      <c r="H401" s="26" t="n"/>
      <c r="I401" s="2" t="n"/>
      <c r="J401" s="1" t="n"/>
    </row>
    <row r="402">
      <c r="A402" s="1" t="n"/>
      <c r="B402" s="25" t="n"/>
      <c r="C402" s="26" t="n"/>
      <c r="D402" s="72">
        <f>IF(C402="","",IFERROR(INDEX(Effectif!$D$7:$D$21,MATCH(C402,Effectif!$C$7:$C$21,0)),""))</f>
        <v/>
      </c>
      <c r="E402" s="26" t="n"/>
      <c r="F402" s="73" t="n"/>
      <c r="G402" s="74">
        <f>IF(NOT(ISNUMBER(F402)),"",IF(E402="Entrée",F402,-F402))</f>
        <v/>
      </c>
      <c r="H402" s="26" t="n"/>
      <c r="I402" s="2" t="n"/>
      <c r="J402" s="1" t="n"/>
    </row>
    <row r="403">
      <c r="A403" s="1" t="n"/>
      <c r="B403" s="25" t="n"/>
      <c r="C403" s="26" t="n"/>
      <c r="D403" s="72">
        <f>IF(C403="","",IFERROR(INDEX(Effectif!$D$7:$D$21,MATCH(C403,Effectif!$C$7:$C$21,0)),""))</f>
        <v/>
      </c>
      <c r="E403" s="26" t="n"/>
      <c r="F403" s="73" t="n"/>
      <c r="G403" s="74">
        <f>IF(NOT(ISNUMBER(F403)),"",IF(E403="Entrée",F403,-F403))</f>
        <v/>
      </c>
      <c r="H403" s="26" t="n"/>
      <c r="I403" s="2" t="n"/>
      <c r="J403" s="1" t="n"/>
    </row>
    <row r="404">
      <c r="A404" s="1" t="n"/>
      <c r="B404" s="25" t="n"/>
      <c r="C404" s="26" t="n"/>
      <c r="D404" s="72">
        <f>IF(C404="","",IFERROR(INDEX(Effectif!$D$7:$D$21,MATCH(C404,Effectif!$C$7:$C$21,0)),""))</f>
        <v/>
      </c>
      <c r="E404" s="26" t="n"/>
      <c r="F404" s="73" t="n"/>
      <c r="G404" s="74">
        <f>IF(NOT(ISNUMBER(F404)),"",IF(E404="Entrée",F404,-F404))</f>
        <v/>
      </c>
      <c r="H404" s="26" t="n"/>
      <c r="I404" s="2" t="n"/>
      <c r="J404" s="1" t="n"/>
    </row>
    <row r="405">
      <c r="A405" s="1" t="n"/>
      <c r="B405" s="25" t="n"/>
      <c r="C405" s="26" t="n"/>
      <c r="D405" s="72">
        <f>IF(C405="","",IFERROR(INDEX(Effectif!$D$7:$D$21,MATCH(C405,Effectif!$C$7:$C$21,0)),""))</f>
        <v/>
      </c>
      <c r="E405" s="26" t="n"/>
      <c r="F405" s="73" t="n"/>
      <c r="G405" s="74">
        <f>IF(NOT(ISNUMBER(F405)),"",IF(E405="Entrée",F405,-F405))</f>
        <v/>
      </c>
      <c r="H405" s="26" t="n"/>
      <c r="I405" s="2" t="n"/>
      <c r="J405" s="1" t="n"/>
    </row>
    <row r="406">
      <c r="A406" s="1" t="n"/>
      <c r="B406" s="25" t="n"/>
      <c r="C406" s="26" t="n"/>
      <c r="D406" s="72">
        <f>IF(C406="","",IFERROR(INDEX(Effectif!$D$7:$D$21,MATCH(C406,Effectif!$C$7:$C$21,0)),""))</f>
        <v/>
      </c>
      <c r="E406" s="26" t="n"/>
      <c r="F406" s="73" t="n"/>
      <c r="G406" s="74">
        <f>IF(NOT(ISNUMBER(F406)),"",IF(E406="Entrée",F406,-F406))</f>
        <v/>
      </c>
      <c r="H406" s="26" t="n"/>
      <c r="I406" s="2" t="n"/>
      <c r="J406" s="1" t="n"/>
    </row>
    <row r="407">
      <c r="A407" s="1" t="n"/>
      <c r="B407" s="25" t="n"/>
      <c r="C407" s="26" t="n"/>
      <c r="D407" s="72">
        <f>IF(C407="","",IFERROR(INDEX(Effectif!$D$7:$D$21,MATCH(C407,Effectif!$C$7:$C$21,0)),""))</f>
        <v/>
      </c>
      <c r="E407" s="26" t="n"/>
      <c r="F407" s="73" t="n"/>
      <c r="G407" s="74">
        <f>IF(NOT(ISNUMBER(F407)),"",IF(E407="Entrée",F407,-F407))</f>
        <v/>
      </c>
      <c r="H407" s="26" t="n"/>
      <c r="I407" s="2" t="n"/>
      <c r="J407" s="1" t="n"/>
    </row>
    <row r="408">
      <c r="A408" s="1" t="n"/>
      <c r="B408" s="25" t="n"/>
      <c r="C408" s="26" t="n"/>
      <c r="D408" s="72">
        <f>IF(C408="","",IFERROR(INDEX(Effectif!$D$7:$D$21,MATCH(C408,Effectif!$C$7:$C$21,0)),""))</f>
        <v/>
      </c>
      <c r="E408" s="26" t="n"/>
      <c r="F408" s="73" t="n"/>
      <c r="G408" s="74">
        <f>IF(NOT(ISNUMBER(F408)),"",IF(E408="Entrée",F408,-F408))</f>
        <v/>
      </c>
      <c r="H408" s="26" t="n"/>
      <c r="I408" s="2" t="n"/>
      <c r="J408" s="1" t="n"/>
    </row>
    <row r="409">
      <c r="A409" s="1" t="n"/>
      <c r="B409" s="25" t="n"/>
      <c r="C409" s="26" t="n"/>
      <c r="D409" s="72">
        <f>IF(C409="","",IFERROR(INDEX(Effectif!$D$7:$D$21,MATCH(C409,Effectif!$C$7:$C$21,0)),""))</f>
        <v/>
      </c>
      <c r="E409" s="26" t="n"/>
      <c r="F409" s="73" t="n"/>
      <c r="G409" s="74">
        <f>IF(NOT(ISNUMBER(F409)),"",IF(E409="Entrée",F409,-F409))</f>
        <v/>
      </c>
      <c r="H409" s="26" t="n"/>
      <c r="I409" s="2" t="n"/>
      <c r="J409" s="1" t="n"/>
    </row>
    <row r="410">
      <c r="A410" s="1" t="n"/>
      <c r="B410" s="25" t="n"/>
      <c r="C410" s="26" t="n"/>
      <c r="D410" s="72">
        <f>IF(C410="","",IFERROR(INDEX(Effectif!$D$7:$D$21,MATCH(C410,Effectif!$C$7:$C$21,0)),""))</f>
        <v/>
      </c>
      <c r="E410" s="26" t="n"/>
      <c r="F410" s="73" t="n"/>
      <c r="G410" s="74">
        <f>IF(NOT(ISNUMBER(F410)),"",IF(E410="Entrée",F410,-F410))</f>
        <v/>
      </c>
      <c r="H410" s="26" t="n"/>
      <c r="I410" s="2" t="n"/>
      <c r="J410" s="1" t="n"/>
    </row>
    <row r="411">
      <c r="A411" s="1" t="n"/>
      <c r="B411" s="25" t="n"/>
      <c r="C411" s="26" t="n"/>
      <c r="D411" s="72">
        <f>IF(C411="","",IFERROR(INDEX(Effectif!$D$7:$D$21,MATCH(C411,Effectif!$C$7:$C$21,0)),""))</f>
        <v/>
      </c>
      <c r="E411" s="26" t="n"/>
      <c r="F411" s="73" t="n"/>
      <c r="G411" s="74">
        <f>IF(NOT(ISNUMBER(F411)),"",IF(E411="Entrée",F411,-F411))</f>
        <v/>
      </c>
      <c r="H411" s="26" t="n"/>
      <c r="I411" s="2" t="n"/>
      <c r="J411" s="1" t="n"/>
    </row>
    <row r="412">
      <c r="A412" s="1" t="n"/>
      <c r="B412" s="25" t="n"/>
      <c r="C412" s="26" t="n"/>
      <c r="D412" s="72">
        <f>IF(C412="","",IFERROR(INDEX(Effectif!$D$7:$D$21,MATCH(C412,Effectif!$C$7:$C$21,0)),""))</f>
        <v/>
      </c>
      <c r="E412" s="26" t="n"/>
      <c r="F412" s="73" t="n"/>
      <c r="G412" s="74">
        <f>IF(NOT(ISNUMBER(F412)),"",IF(E412="Entrée",F412,-F412))</f>
        <v/>
      </c>
      <c r="H412" s="26" t="n"/>
      <c r="I412" s="2" t="n"/>
      <c r="J412" s="1" t="n"/>
    </row>
    <row r="413">
      <c r="A413" s="1" t="n"/>
      <c r="B413" s="25" t="n"/>
      <c r="C413" s="26" t="n"/>
      <c r="D413" s="72">
        <f>IF(C413="","",IFERROR(INDEX(Effectif!$D$7:$D$21,MATCH(C413,Effectif!$C$7:$C$21,0)),""))</f>
        <v/>
      </c>
      <c r="E413" s="26" t="n"/>
      <c r="F413" s="73" t="n"/>
      <c r="G413" s="74">
        <f>IF(NOT(ISNUMBER(F413)),"",IF(E413="Entrée",F413,-F413))</f>
        <v/>
      </c>
      <c r="H413" s="26" t="n"/>
      <c r="I413" s="2" t="n"/>
      <c r="J413" s="1" t="n"/>
    </row>
    <row r="414">
      <c r="A414" s="1" t="n"/>
      <c r="B414" s="25" t="n"/>
      <c r="C414" s="26" t="n"/>
      <c r="D414" s="72">
        <f>IF(C414="","",IFERROR(INDEX(Effectif!$D$7:$D$21,MATCH(C414,Effectif!$C$7:$C$21,0)),""))</f>
        <v/>
      </c>
      <c r="E414" s="26" t="n"/>
      <c r="F414" s="73" t="n"/>
      <c r="G414" s="74">
        <f>IF(NOT(ISNUMBER(F414)),"",IF(E414="Entrée",F414,-F414))</f>
        <v/>
      </c>
      <c r="H414" s="26" t="n"/>
      <c r="I414" s="2" t="n"/>
      <c r="J414" s="1" t="n"/>
    </row>
    <row r="415">
      <c r="A415" s="1" t="n"/>
      <c r="B415" s="25" t="n"/>
      <c r="C415" s="26" t="n"/>
      <c r="D415" s="72">
        <f>IF(C415="","",IFERROR(INDEX(Effectif!$D$7:$D$21,MATCH(C415,Effectif!$C$7:$C$21,0)),""))</f>
        <v/>
      </c>
      <c r="E415" s="26" t="n"/>
      <c r="F415" s="73" t="n"/>
      <c r="G415" s="74">
        <f>IF(NOT(ISNUMBER(F415)),"",IF(E415="Entrée",F415,-F415))</f>
        <v/>
      </c>
      <c r="H415" s="26" t="n"/>
      <c r="I415" s="2" t="n"/>
      <c r="J415" s="1" t="n"/>
    </row>
    <row r="416">
      <c r="A416" s="1" t="n"/>
      <c r="B416" s="25" t="n"/>
      <c r="C416" s="26" t="n"/>
      <c r="D416" s="72">
        <f>IF(C416="","",IFERROR(INDEX(Effectif!$D$7:$D$21,MATCH(C416,Effectif!$C$7:$C$21,0)),""))</f>
        <v/>
      </c>
      <c r="E416" s="26" t="n"/>
      <c r="F416" s="73" t="n"/>
      <c r="G416" s="74">
        <f>IF(NOT(ISNUMBER(F416)),"",IF(E416="Entrée",F416,-F416))</f>
        <v/>
      </c>
      <c r="H416" s="26" t="n"/>
      <c r="I416" s="2" t="n"/>
      <c r="J416" s="1" t="n"/>
    </row>
    <row r="417">
      <c r="A417" s="1" t="n"/>
      <c r="B417" s="25" t="n"/>
      <c r="C417" s="26" t="n"/>
      <c r="D417" s="72">
        <f>IF(C417="","",IFERROR(INDEX(Effectif!$D$7:$D$21,MATCH(C417,Effectif!$C$7:$C$21,0)),""))</f>
        <v/>
      </c>
      <c r="E417" s="26" t="n"/>
      <c r="F417" s="73" t="n"/>
      <c r="G417" s="74">
        <f>IF(NOT(ISNUMBER(F417)),"",IF(E417="Entrée",F417,-F417))</f>
        <v/>
      </c>
      <c r="H417" s="26" t="n"/>
      <c r="I417" s="2" t="n"/>
      <c r="J417" s="1" t="n"/>
    </row>
    <row r="418">
      <c r="A418" s="1" t="n"/>
      <c r="B418" s="25" t="n"/>
      <c r="C418" s="26" t="n"/>
      <c r="D418" s="72">
        <f>IF(C418="","",IFERROR(INDEX(Effectif!$D$7:$D$21,MATCH(C418,Effectif!$C$7:$C$21,0)),""))</f>
        <v/>
      </c>
      <c r="E418" s="26" t="n"/>
      <c r="F418" s="73" t="n"/>
      <c r="G418" s="74">
        <f>IF(NOT(ISNUMBER(F418)),"",IF(E418="Entrée",F418,-F418))</f>
        <v/>
      </c>
      <c r="H418" s="26" t="n"/>
      <c r="I418" s="2" t="n"/>
      <c r="J418" s="1" t="n"/>
    </row>
    <row r="419">
      <c r="A419" s="1" t="n"/>
      <c r="B419" s="25" t="n"/>
      <c r="C419" s="26" t="n"/>
      <c r="D419" s="72">
        <f>IF(C419="","",IFERROR(INDEX(Effectif!$D$7:$D$21,MATCH(C419,Effectif!$C$7:$C$21,0)),""))</f>
        <v/>
      </c>
      <c r="E419" s="26" t="n"/>
      <c r="F419" s="73" t="n"/>
      <c r="G419" s="74">
        <f>IF(NOT(ISNUMBER(F419)),"",IF(E419="Entrée",F419,-F419))</f>
        <v/>
      </c>
      <c r="H419" s="26" t="n"/>
      <c r="I419" s="2" t="n"/>
      <c r="J419" s="1" t="n"/>
    </row>
    <row r="420">
      <c r="A420" s="1" t="n"/>
      <c r="B420" s="25" t="n"/>
      <c r="C420" s="26" t="n"/>
      <c r="D420" s="72">
        <f>IF(C420="","",IFERROR(INDEX(Effectif!$D$7:$D$21,MATCH(C420,Effectif!$C$7:$C$21,0)),""))</f>
        <v/>
      </c>
      <c r="E420" s="26" t="n"/>
      <c r="F420" s="73" t="n"/>
      <c r="G420" s="74">
        <f>IF(NOT(ISNUMBER(F420)),"",IF(E420="Entrée",F420,-F420))</f>
        <v/>
      </c>
      <c r="H420" s="26" t="n"/>
      <c r="I420" s="2" t="n"/>
      <c r="J420" s="1" t="n"/>
    </row>
    <row r="421">
      <c r="A421" s="1" t="n"/>
      <c r="B421" s="25" t="n"/>
      <c r="C421" s="26" t="n"/>
      <c r="D421" s="72">
        <f>IF(C421="","",IFERROR(INDEX(Effectif!$D$7:$D$21,MATCH(C421,Effectif!$C$7:$C$21,0)),""))</f>
        <v/>
      </c>
      <c r="E421" s="26" t="n"/>
      <c r="F421" s="73" t="n"/>
      <c r="G421" s="74">
        <f>IF(NOT(ISNUMBER(F421)),"",IF(E421="Entrée",F421,-F421))</f>
        <v/>
      </c>
      <c r="H421" s="26" t="n"/>
      <c r="I421" s="2" t="n"/>
      <c r="J421" s="1" t="n"/>
    </row>
    <row r="422">
      <c r="A422" s="1" t="n"/>
      <c r="B422" s="25" t="n"/>
      <c r="C422" s="26" t="n"/>
      <c r="D422" s="72">
        <f>IF(C422="","",IFERROR(INDEX(Effectif!$D$7:$D$21,MATCH(C422,Effectif!$C$7:$C$21,0)),""))</f>
        <v/>
      </c>
      <c r="E422" s="26" t="n"/>
      <c r="F422" s="73" t="n"/>
      <c r="G422" s="74">
        <f>IF(NOT(ISNUMBER(F422)),"",IF(E422="Entrée",F422,-F422))</f>
        <v/>
      </c>
      <c r="H422" s="26" t="n"/>
      <c r="I422" s="2" t="n"/>
      <c r="J422" s="1" t="n"/>
    </row>
    <row r="423">
      <c r="A423" s="1" t="n"/>
      <c r="B423" s="25" t="n"/>
      <c r="C423" s="26" t="n"/>
      <c r="D423" s="72">
        <f>IF(C423="","",IFERROR(INDEX(Effectif!$D$7:$D$21,MATCH(C423,Effectif!$C$7:$C$21,0)),""))</f>
        <v/>
      </c>
      <c r="E423" s="26" t="n"/>
      <c r="F423" s="73" t="n"/>
      <c r="G423" s="74">
        <f>IF(NOT(ISNUMBER(F423)),"",IF(E423="Entrée",F423,-F423))</f>
        <v/>
      </c>
      <c r="H423" s="26" t="n"/>
      <c r="I423" s="2" t="n"/>
      <c r="J423" s="1" t="n"/>
    </row>
    <row r="424">
      <c r="A424" s="1" t="n"/>
      <c r="B424" s="25" t="n"/>
      <c r="C424" s="26" t="n"/>
      <c r="D424" s="72">
        <f>IF(C424="","",IFERROR(INDEX(Effectif!$D$7:$D$21,MATCH(C424,Effectif!$C$7:$C$21,0)),""))</f>
        <v/>
      </c>
      <c r="E424" s="26" t="n"/>
      <c r="F424" s="73" t="n"/>
      <c r="G424" s="74">
        <f>IF(NOT(ISNUMBER(F424)),"",IF(E424="Entrée",F424,-F424))</f>
        <v/>
      </c>
      <c r="H424" s="26" t="n"/>
      <c r="I424" s="2" t="n"/>
      <c r="J424" s="1" t="n"/>
    </row>
    <row r="425">
      <c r="A425" s="1" t="n"/>
      <c r="B425" s="25" t="n"/>
      <c r="C425" s="26" t="n"/>
      <c r="D425" s="72">
        <f>IF(C425="","",IFERROR(INDEX(Effectif!$D$7:$D$21,MATCH(C425,Effectif!$C$7:$C$21,0)),""))</f>
        <v/>
      </c>
      <c r="E425" s="26" t="n"/>
      <c r="F425" s="73" t="n"/>
      <c r="G425" s="74">
        <f>IF(NOT(ISNUMBER(F425)),"",IF(E425="Entrée",F425,-F425))</f>
        <v/>
      </c>
      <c r="H425" s="26" t="n"/>
      <c r="I425" s="2" t="n"/>
      <c r="J425" s="1" t="n"/>
    </row>
    <row r="426">
      <c r="A426" s="1" t="n"/>
      <c r="B426" s="25" t="n"/>
      <c r="C426" s="26" t="n"/>
      <c r="D426" s="72">
        <f>IF(C426="","",IFERROR(INDEX(Effectif!$D$7:$D$21,MATCH(C426,Effectif!$C$7:$C$21,0)),""))</f>
        <v/>
      </c>
      <c r="E426" s="26" t="n"/>
      <c r="F426" s="73" t="n"/>
      <c r="G426" s="74">
        <f>IF(NOT(ISNUMBER(F426)),"",IF(E426="Entrée",F426,-F426))</f>
        <v/>
      </c>
      <c r="H426" s="26" t="n"/>
      <c r="I426" s="2" t="n"/>
      <c r="J426" s="1" t="n"/>
    </row>
    <row r="427">
      <c r="A427" s="1" t="n"/>
      <c r="B427" s="25" t="n"/>
      <c r="C427" s="26" t="n"/>
      <c r="D427" s="72">
        <f>IF(C427="","",IFERROR(INDEX(Effectif!$D$7:$D$21,MATCH(C427,Effectif!$C$7:$C$21,0)),""))</f>
        <v/>
      </c>
      <c r="E427" s="26" t="n"/>
      <c r="F427" s="73" t="n"/>
      <c r="G427" s="74">
        <f>IF(NOT(ISNUMBER(F427)),"",IF(E427="Entrée",F427,-F427))</f>
        <v/>
      </c>
      <c r="H427" s="26" t="n"/>
      <c r="I427" s="2" t="n"/>
      <c r="J427" s="1" t="n"/>
    </row>
    <row r="428">
      <c r="A428" s="1" t="n"/>
      <c r="B428" s="25" t="n"/>
      <c r="C428" s="26" t="n"/>
      <c r="D428" s="72">
        <f>IF(C428="","",IFERROR(INDEX(Effectif!$D$7:$D$21,MATCH(C428,Effectif!$C$7:$C$21,0)),""))</f>
        <v/>
      </c>
      <c r="E428" s="26" t="n"/>
      <c r="F428" s="73" t="n"/>
      <c r="G428" s="74">
        <f>IF(NOT(ISNUMBER(F428)),"",IF(E428="Entrée",F428,-F428))</f>
        <v/>
      </c>
      <c r="H428" s="26" t="n"/>
      <c r="I428" s="2" t="n"/>
      <c r="J428" s="1" t="n"/>
    </row>
    <row r="429">
      <c r="A429" s="1" t="n"/>
      <c r="B429" s="25" t="n"/>
      <c r="C429" s="26" t="n"/>
      <c r="D429" s="72">
        <f>IF(C429="","",IFERROR(INDEX(Effectif!$D$7:$D$21,MATCH(C429,Effectif!$C$7:$C$21,0)),""))</f>
        <v/>
      </c>
      <c r="E429" s="26" t="n"/>
      <c r="F429" s="73" t="n"/>
      <c r="G429" s="74">
        <f>IF(NOT(ISNUMBER(F429)),"",IF(E429="Entrée",F429,-F429))</f>
        <v/>
      </c>
      <c r="H429" s="26" t="n"/>
      <c r="I429" s="2" t="n"/>
      <c r="J429" s="1" t="n"/>
    </row>
    <row r="430">
      <c r="A430" s="1" t="n"/>
      <c r="B430" s="25" t="n"/>
      <c r="C430" s="26" t="n"/>
      <c r="D430" s="72">
        <f>IF(C430="","",IFERROR(INDEX(Effectif!$D$7:$D$21,MATCH(C430,Effectif!$C$7:$C$21,0)),""))</f>
        <v/>
      </c>
      <c r="E430" s="26" t="n"/>
      <c r="F430" s="73" t="n"/>
      <c r="G430" s="74">
        <f>IF(NOT(ISNUMBER(F430)),"",IF(E430="Entrée",F430,-F430))</f>
        <v/>
      </c>
      <c r="H430" s="26" t="n"/>
      <c r="I430" s="2" t="n"/>
      <c r="J430" s="1" t="n"/>
    </row>
    <row r="431">
      <c r="A431" s="1" t="n"/>
      <c r="B431" s="25" t="n"/>
      <c r="C431" s="26" t="n"/>
      <c r="D431" s="72">
        <f>IF(C431="","",IFERROR(INDEX(Effectif!$D$7:$D$21,MATCH(C431,Effectif!$C$7:$C$21,0)),""))</f>
        <v/>
      </c>
      <c r="E431" s="26" t="n"/>
      <c r="F431" s="73" t="n"/>
      <c r="G431" s="74">
        <f>IF(NOT(ISNUMBER(F431)),"",IF(E431="Entrée",F431,-F431))</f>
        <v/>
      </c>
      <c r="H431" s="26" t="n"/>
      <c r="I431" s="2" t="n"/>
      <c r="J431" s="1" t="n"/>
    </row>
    <row r="432">
      <c r="A432" s="1" t="n"/>
      <c r="B432" s="25" t="n"/>
      <c r="C432" s="26" t="n"/>
      <c r="D432" s="72">
        <f>IF(C432="","",IFERROR(INDEX(Effectif!$D$7:$D$21,MATCH(C432,Effectif!$C$7:$C$21,0)),""))</f>
        <v/>
      </c>
      <c r="E432" s="26" t="n"/>
      <c r="F432" s="73" t="n"/>
      <c r="G432" s="74">
        <f>IF(NOT(ISNUMBER(F432)),"",IF(E432="Entrée",F432,-F432))</f>
        <v/>
      </c>
      <c r="H432" s="26" t="n"/>
      <c r="I432" s="2" t="n"/>
      <c r="J432" s="1" t="n"/>
    </row>
    <row r="433">
      <c r="A433" s="1" t="n"/>
      <c r="B433" s="25" t="n"/>
      <c r="C433" s="26" t="n"/>
      <c r="D433" s="72">
        <f>IF(C433="","",IFERROR(INDEX(Effectif!$D$7:$D$21,MATCH(C433,Effectif!$C$7:$C$21,0)),""))</f>
        <v/>
      </c>
      <c r="E433" s="26" t="n"/>
      <c r="F433" s="73" t="n"/>
      <c r="G433" s="74">
        <f>IF(NOT(ISNUMBER(F433)),"",IF(E433="Entrée",F433,-F433))</f>
        <v/>
      </c>
      <c r="H433" s="26" t="n"/>
      <c r="I433" s="2" t="n"/>
      <c r="J433" s="1" t="n"/>
    </row>
    <row r="434">
      <c r="A434" s="1" t="n"/>
      <c r="B434" s="25" t="n"/>
      <c r="C434" s="26" t="n"/>
      <c r="D434" s="72">
        <f>IF(C434="","",IFERROR(INDEX(Effectif!$D$7:$D$21,MATCH(C434,Effectif!$C$7:$C$21,0)),""))</f>
        <v/>
      </c>
      <c r="E434" s="26" t="n"/>
      <c r="F434" s="73" t="n"/>
      <c r="G434" s="74">
        <f>IF(NOT(ISNUMBER(F434)),"",IF(E434="Entrée",F434,-F434))</f>
        <v/>
      </c>
      <c r="H434" s="26" t="n"/>
      <c r="I434" s="2" t="n"/>
      <c r="J434" s="1" t="n"/>
    </row>
    <row r="435">
      <c r="A435" s="1" t="n"/>
      <c r="B435" s="25" t="n"/>
      <c r="C435" s="26" t="n"/>
      <c r="D435" s="72">
        <f>IF(C435="","",IFERROR(INDEX(Effectif!$D$7:$D$21,MATCH(C435,Effectif!$C$7:$C$21,0)),""))</f>
        <v/>
      </c>
      <c r="E435" s="26" t="n"/>
      <c r="F435" s="73" t="n"/>
      <c r="G435" s="74">
        <f>IF(NOT(ISNUMBER(F435)),"",IF(E435="Entrée",F435,-F435))</f>
        <v/>
      </c>
      <c r="H435" s="26" t="n"/>
      <c r="I435" s="2" t="n"/>
      <c r="J435" s="1" t="n"/>
    </row>
    <row r="436">
      <c r="A436" s="1" t="n"/>
      <c r="B436" s="25" t="n"/>
      <c r="C436" s="26" t="n"/>
      <c r="D436" s="72">
        <f>IF(C436="","",IFERROR(INDEX(Effectif!$D$7:$D$21,MATCH(C436,Effectif!$C$7:$C$21,0)),""))</f>
        <v/>
      </c>
      <c r="E436" s="26" t="n"/>
      <c r="F436" s="73" t="n"/>
      <c r="G436" s="74">
        <f>IF(NOT(ISNUMBER(F436)),"",IF(E436="Entrée",F436,-F436))</f>
        <v/>
      </c>
      <c r="H436" s="26" t="n"/>
      <c r="I436" s="2" t="n"/>
      <c r="J436" s="1" t="n"/>
    </row>
    <row r="437">
      <c r="A437" s="1" t="n"/>
      <c r="B437" s="25" t="n"/>
      <c r="C437" s="26" t="n"/>
      <c r="D437" s="72">
        <f>IF(C437="","",IFERROR(INDEX(Effectif!$D$7:$D$21,MATCH(C437,Effectif!$C$7:$C$21,0)),""))</f>
        <v/>
      </c>
      <c r="E437" s="26" t="n"/>
      <c r="F437" s="73" t="n"/>
      <c r="G437" s="74">
        <f>IF(NOT(ISNUMBER(F437)),"",IF(E437="Entrée",F437,-F437))</f>
        <v/>
      </c>
      <c r="H437" s="26" t="n"/>
      <c r="I437" s="2" t="n"/>
      <c r="J437" s="1" t="n"/>
    </row>
    <row r="438">
      <c r="A438" s="1" t="n"/>
      <c r="B438" s="25" t="n"/>
      <c r="C438" s="26" t="n"/>
      <c r="D438" s="72">
        <f>IF(C438="","",IFERROR(INDEX(Effectif!$D$7:$D$21,MATCH(C438,Effectif!$C$7:$C$21,0)),""))</f>
        <v/>
      </c>
      <c r="E438" s="26" t="n"/>
      <c r="F438" s="73" t="n"/>
      <c r="G438" s="74">
        <f>IF(NOT(ISNUMBER(F438)),"",IF(E438="Entrée",F438,-F438))</f>
        <v/>
      </c>
      <c r="H438" s="26" t="n"/>
      <c r="I438" s="2" t="n"/>
      <c r="J438" s="1" t="n"/>
    </row>
    <row r="439">
      <c r="A439" s="1" t="n"/>
      <c r="B439" s="25" t="n"/>
      <c r="C439" s="26" t="n"/>
      <c r="D439" s="72">
        <f>IF(C439="","",IFERROR(INDEX(Effectif!$D$7:$D$21,MATCH(C439,Effectif!$C$7:$C$21,0)),""))</f>
        <v/>
      </c>
      <c r="E439" s="26" t="n"/>
      <c r="F439" s="73" t="n"/>
      <c r="G439" s="74">
        <f>IF(NOT(ISNUMBER(F439)),"",IF(E439="Entrée",F439,-F439))</f>
        <v/>
      </c>
      <c r="H439" s="26" t="n"/>
      <c r="I439" s="2" t="n"/>
      <c r="J439" s="1" t="n"/>
    </row>
    <row r="440">
      <c r="A440" s="1" t="n"/>
      <c r="B440" s="25" t="n"/>
      <c r="C440" s="26" t="n"/>
      <c r="D440" s="72">
        <f>IF(C440="","",IFERROR(INDEX(Effectif!$D$7:$D$21,MATCH(C440,Effectif!$C$7:$C$21,0)),""))</f>
        <v/>
      </c>
      <c r="E440" s="26" t="n"/>
      <c r="F440" s="73" t="n"/>
      <c r="G440" s="74">
        <f>IF(NOT(ISNUMBER(F440)),"",IF(E440="Entrée",F440,-F440))</f>
        <v/>
      </c>
      <c r="H440" s="26" t="n"/>
      <c r="I440" s="2" t="n"/>
      <c r="J440" s="1" t="n"/>
    </row>
    <row r="441">
      <c r="A441" s="1" t="n"/>
      <c r="B441" s="25" t="n"/>
      <c r="C441" s="26" t="n"/>
      <c r="D441" s="72">
        <f>IF(C441="","",IFERROR(INDEX(Effectif!$D$7:$D$21,MATCH(C441,Effectif!$C$7:$C$21,0)),""))</f>
        <v/>
      </c>
      <c r="E441" s="26" t="n"/>
      <c r="F441" s="73" t="n"/>
      <c r="G441" s="74">
        <f>IF(NOT(ISNUMBER(F441)),"",IF(E441="Entrée",F441,-F441))</f>
        <v/>
      </c>
      <c r="H441" s="26" t="n"/>
      <c r="I441" s="2" t="n"/>
      <c r="J441" s="1" t="n"/>
    </row>
    <row r="442">
      <c r="A442" s="1" t="n"/>
      <c r="B442" s="25" t="n"/>
      <c r="C442" s="26" t="n"/>
      <c r="D442" s="72">
        <f>IF(C442="","",IFERROR(INDEX(Effectif!$D$7:$D$21,MATCH(C442,Effectif!$C$7:$C$21,0)),""))</f>
        <v/>
      </c>
      <c r="E442" s="26" t="n"/>
      <c r="F442" s="73" t="n"/>
      <c r="G442" s="74">
        <f>IF(NOT(ISNUMBER(F442)),"",IF(E442="Entrée",F442,-F442))</f>
        <v/>
      </c>
      <c r="H442" s="26" t="n"/>
      <c r="I442" s="2" t="n"/>
      <c r="J442" s="1" t="n"/>
    </row>
    <row r="443">
      <c r="A443" s="1" t="n"/>
      <c r="B443" s="25" t="n"/>
      <c r="C443" s="26" t="n"/>
      <c r="D443" s="72">
        <f>IF(C443="","",IFERROR(INDEX(Effectif!$D$7:$D$21,MATCH(C443,Effectif!$C$7:$C$21,0)),""))</f>
        <v/>
      </c>
      <c r="E443" s="26" t="n"/>
      <c r="F443" s="73" t="n"/>
      <c r="G443" s="74">
        <f>IF(NOT(ISNUMBER(F443)),"",IF(E443="Entrée",F443,-F443))</f>
        <v/>
      </c>
      <c r="H443" s="26" t="n"/>
      <c r="I443" s="2" t="n"/>
      <c r="J443" s="1" t="n"/>
    </row>
    <row r="444">
      <c r="A444" s="1" t="n"/>
      <c r="B444" s="25" t="n"/>
      <c r="C444" s="26" t="n"/>
      <c r="D444" s="72">
        <f>IF(C444="","",IFERROR(INDEX(Effectif!$D$7:$D$21,MATCH(C444,Effectif!$C$7:$C$21,0)),""))</f>
        <v/>
      </c>
      <c r="E444" s="26" t="n"/>
      <c r="F444" s="73" t="n"/>
      <c r="G444" s="74">
        <f>IF(NOT(ISNUMBER(F444)),"",IF(E444="Entrée",F444,-F444))</f>
        <v/>
      </c>
      <c r="H444" s="26" t="n"/>
      <c r="I444" s="2" t="n"/>
      <c r="J444" s="1" t="n"/>
    </row>
    <row r="445">
      <c r="A445" s="1" t="n"/>
      <c r="B445" s="25" t="n"/>
      <c r="C445" s="26" t="n"/>
      <c r="D445" s="72">
        <f>IF(C445="","",IFERROR(INDEX(Effectif!$D$7:$D$21,MATCH(C445,Effectif!$C$7:$C$21,0)),""))</f>
        <v/>
      </c>
      <c r="E445" s="26" t="n"/>
      <c r="F445" s="73" t="n"/>
      <c r="G445" s="74">
        <f>IF(NOT(ISNUMBER(F445)),"",IF(E445="Entrée",F445,-F445))</f>
        <v/>
      </c>
      <c r="H445" s="26" t="n"/>
      <c r="I445" s="2" t="n"/>
      <c r="J445" s="1" t="n"/>
    </row>
    <row r="446">
      <c r="A446" s="1" t="n"/>
      <c r="B446" s="25" t="n"/>
      <c r="C446" s="26" t="n"/>
      <c r="D446" s="72">
        <f>IF(C446="","",IFERROR(INDEX(Effectif!$D$7:$D$21,MATCH(C446,Effectif!$C$7:$C$21,0)),""))</f>
        <v/>
      </c>
      <c r="E446" s="26" t="n"/>
      <c r="F446" s="73" t="n"/>
      <c r="G446" s="74">
        <f>IF(NOT(ISNUMBER(F446)),"",IF(E446="Entrée",F446,-F446))</f>
        <v/>
      </c>
      <c r="H446" s="26" t="n"/>
      <c r="I446" s="2" t="n"/>
      <c r="J446" s="1" t="n"/>
    </row>
    <row r="447">
      <c r="A447" s="1" t="n"/>
      <c r="B447" s="25" t="n"/>
      <c r="C447" s="26" t="n"/>
      <c r="D447" s="72">
        <f>IF(C447="","",IFERROR(INDEX(Effectif!$D$7:$D$21,MATCH(C447,Effectif!$C$7:$C$21,0)),""))</f>
        <v/>
      </c>
      <c r="E447" s="26" t="n"/>
      <c r="F447" s="73" t="n"/>
      <c r="G447" s="74">
        <f>IF(NOT(ISNUMBER(F447)),"",IF(E447="Entrée",F447,-F447))</f>
        <v/>
      </c>
      <c r="H447" s="26" t="n"/>
      <c r="I447" s="2" t="n"/>
      <c r="J447" s="1" t="n"/>
    </row>
    <row r="448">
      <c r="A448" s="1" t="n"/>
      <c r="B448" s="25" t="n"/>
      <c r="C448" s="26" t="n"/>
      <c r="D448" s="72">
        <f>IF(C448="","",IFERROR(INDEX(Effectif!$D$7:$D$21,MATCH(C448,Effectif!$C$7:$C$21,0)),""))</f>
        <v/>
      </c>
      <c r="E448" s="26" t="n"/>
      <c r="F448" s="73" t="n"/>
      <c r="G448" s="74">
        <f>IF(NOT(ISNUMBER(F448)),"",IF(E448="Entrée",F448,-F448))</f>
        <v/>
      </c>
      <c r="H448" s="26" t="n"/>
      <c r="I448" s="2" t="n"/>
      <c r="J448" s="1" t="n"/>
    </row>
    <row r="449">
      <c r="A449" s="1" t="n"/>
      <c r="B449" s="25" t="n"/>
      <c r="C449" s="26" t="n"/>
      <c r="D449" s="72">
        <f>IF(C449="","",IFERROR(INDEX(Effectif!$D$7:$D$21,MATCH(C449,Effectif!$C$7:$C$21,0)),""))</f>
        <v/>
      </c>
      <c r="E449" s="26" t="n"/>
      <c r="F449" s="73" t="n"/>
      <c r="G449" s="74">
        <f>IF(NOT(ISNUMBER(F449)),"",IF(E449="Entrée",F449,-F449))</f>
        <v/>
      </c>
      <c r="H449" s="26" t="n"/>
      <c r="I449" s="2" t="n"/>
      <c r="J449" s="1" t="n"/>
    </row>
    <row r="450">
      <c r="A450" s="1" t="n"/>
      <c r="B450" s="25" t="n"/>
      <c r="C450" s="26" t="n"/>
      <c r="D450" s="72">
        <f>IF(C450="","",IFERROR(INDEX(Effectif!$D$7:$D$21,MATCH(C450,Effectif!$C$7:$C$21,0)),""))</f>
        <v/>
      </c>
      <c r="E450" s="26" t="n"/>
      <c r="F450" s="73" t="n"/>
      <c r="G450" s="74">
        <f>IF(NOT(ISNUMBER(F450)),"",IF(E450="Entrée",F450,-F450))</f>
        <v/>
      </c>
      <c r="H450" s="26" t="n"/>
      <c r="I450" s="2" t="n"/>
      <c r="J450" s="1" t="n"/>
    </row>
    <row r="451">
      <c r="A451" s="1" t="n"/>
      <c r="B451" s="25" t="n"/>
      <c r="C451" s="26" t="n"/>
      <c r="D451" s="72">
        <f>IF(C451="","",IFERROR(INDEX(Effectif!$D$7:$D$21,MATCH(C451,Effectif!$C$7:$C$21,0)),""))</f>
        <v/>
      </c>
      <c r="E451" s="26" t="n"/>
      <c r="F451" s="73" t="n"/>
      <c r="G451" s="74">
        <f>IF(NOT(ISNUMBER(F451)),"",IF(E451="Entrée",F451,-F451))</f>
        <v/>
      </c>
      <c r="H451" s="26" t="n"/>
      <c r="I451" s="2" t="n"/>
      <c r="J451" s="1" t="n"/>
    </row>
    <row r="452">
      <c r="A452" s="1" t="n"/>
      <c r="B452" s="25" t="n"/>
      <c r="C452" s="26" t="n"/>
      <c r="D452" s="72">
        <f>IF(C452="","",IFERROR(INDEX(Effectif!$D$7:$D$21,MATCH(C452,Effectif!$C$7:$C$21,0)),""))</f>
        <v/>
      </c>
      <c r="E452" s="26" t="n"/>
      <c r="F452" s="73" t="n"/>
      <c r="G452" s="74">
        <f>IF(NOT(ISNUMBER(F452)),"",IF(E452="Entrée",F452,-F452))</f>
        <v/>
      </c>
      <c r="H452" s="26" t="n"/>
      <c r="I452" s="2" t="n"/>
      <c r="J452" s="1" t="n"/>
    </row>
    <row r="453">
      <c r="A453" s="1" t="n"/>
      <c r="B453" s="25" t="n"/>
      <c r="C453" s="26" t="n"/>
      <c r="D453" s="72">
        <f>IF(C453="","",IFERROR(INDEX(Effectif!$D$7:$D$21,MATCH(C453,Effectif!$C$7:$C$21,0)),""))</f>
        <v/>
      </c>
      <c r="E453" s="26" t="n"/>
      <c r="F453" s="73" t="n"/>
      <c r="G453" s="74">
        <f>IF(NOT(ISNUMBER(F453)),"",IF(E453="Entrée",F453,-F453))</f>
        <v/>
      </c>
      <c r="H453" s="26" t="n"/>
      <c r="I453" s="2" t="n"/>
      <c r="J453" s="1" t="n"/>
    </row>
    <row r="454">
      <c r="A454" s="1" t="n"/>
      <c r="B454" s="25" t="n"/>
      <c r="C454" s="26" t="n"/>
      <c r="D454" s="72">
        <f>IF(C454="","",IFERROR(INDEX(Effectif!$D$7:$D$21,MATCH(C454,Effectif!$C$7:$C$21,0)),""))</f>
        <v/>
      </c>
      <c r="E454" s="26" t="n"/>
      <c r="F454" s="73" t="n"/>
      <c r="G454" s="74">
        <f>IF(NOT(ISNUMBER(F454)),"",IF(E454="Entrée",F454,-F454))</f>
        <v/>
      </c>
      <c r="H454" s="26" t="n"/>
      <c r="I454" s="2" t="n"/>
      <c r="J454" s="1" t="n"/>
    </row>
    <row r="455">
      <c r="A455" s="1" t="n"/>
      <c r="B455" s="25" t="n"/>
      <c r="C455" s="26" t="n"/>
      <c r="D455" s="72">
        <f>IF(C455="","",IFERROR(INDEX(Effectif!$D$7:$D$21,MATCH(C455,Effectif!$C$7:$C$21,0)),""))</f>
        <v/>
      </c>
      <c r="E455" s="26" t="n"/>
      <c r="F455" s="73" t="n"/>
      <c r="G455" s="74">
        <f>IF(NOT(ISNUMBER(F455)),"",IF(E455="Entrée",F455,-F455))</f>
        <v/>
      </c>
      <c r="H455" s="26" t="n"/>
      <c r="I455" s="2" t="n"/>
      <c r="J455" s="1" t="n"/>
    </row>
    <row r="456">
      <c r="A456" s="1" t="n"/>
      <c r="B456" s="25" t="n"/>
      <c r="C456" s="26" t="n"/>
      <c r="D456" s="72">
        <f>IF(C456="","",IFERROR(INDEX(Effectif!$D$7:$D$21,MATCH(C456,Effectif!$C$7:$C$21,0)),""))</f>
        <v/>
      </c>
      <c r="E456" s="26" t="n"/>
      <c r="F456" s="73" t="n"/>
      <c r="G456" s="74">
        <f>IF(NOT(ISNUMBER(F456)),"",IF(E456="Entrée",F456,-F456))</f>
        <v/>
      </c>
      <c r="H456" s="26" t="n"/>
      <c r="I456" s="2" t="n"/>
      <c r="J456" s="1" t="n"/>
    </row>
    <row r="457">
      <c r="A457" s="1" t="n"/>
      <c r="B457" s="25" t="n"/>
      <c r="C457" s="26" t="n"/>
      <c r="D457" s="72">
        <f>IF(C457="","",IFERROR(INDEX(Effectif!$D$7:$D$21,MATCH(C457,Effectif!$C$7:$C$21,0)),""))</f>
        <v/>
      </c>
      <c r="E457" s="26" t="n"/>
      <c r="F457" s="73" t="n"/>
      <c r="G457" s="74">
        <f>IF(NOT(ISNUMBER(F457)),"",IF(E457="Entrée",F457,-F457))</f>
        <v/>
      </c>
      <c r="H457" s="26" t="n"/>
      <c r="I457" s="2" t="n"/>
      <c r="J457" s="1" t="n"/>
    </row>
    <row r="458">
      <c r="A458" s="1" t="n"/>
      <c r="B458" s="25" t="n"/>
      <c r="C458" s="26" t="n"/>
      <c r="D458" s="72">
        <f>IF(C458="","",IFERROR(INDEX(Effectif!$D$7:$D$21,MATCH(C458,Effectif!$C$7:$C$21,0)),""))</f>
        <v/>
      </c>
      <c r="E458" s="26" t="n"/>
      <c r="F458" s="73" t="n"/>
      <c r="G458" s="74">
        <f>IF(NOT(ISNUMBER(F458)),"",IF(E458="Entrée",F458,-F458))</f>
        <v/>
      </c>
      <c r="H458" s="26" t="n"/>
      <c r="I458" s="2" t="n"/>
      <c r="J458" s="1" t="n"/>
    </row>
    <row r="459">
      <c r="A459" s="1" t="n"/>
      <c r="B459" s="25" t="n"/>
      <c r="C459" s="26" t="n"/>
      <c r="D459" s="72">
        <f>IF(C459="","",IFERROR(INDEX(Effectif!$D$7:$D$21,MATCH(C459,Effectif!$C$7:$C$21,0)),""))</f>
        <v/>
      </c>
      <c r="E459" s="26" t="n"/>
      <c r="F459" s="73" t="n"/>
      <c r="G459" s="74">
        <f>IF(NOT(ISNUMBER(F459)),"",IF(E459="Entrée",F459,-F459))</f>
        <v/>
      </c>
      <c r="H459" s="26" t="n"/>
      <c r="I459" s="2" t="n"/>
      <c r="J459" s="1" t="n"/>
    </row>
    <row r="460">
      <c r="A460" s="1" t="n"/>
      <c r="B460" s="25" t="n"/>
      <c r="C460" s="26" t="n"/>
      <c r="D460" s="72">
        <f>IF(C460="","",IFERROR(INDEX(Effectif!$D$7:$D$21,MATCH(C460,Effectif!$C$7:$C$21,0)),""))</f>
        <v/>
      </c>
      <c r="E460" s="26" t="n"/>
      <c r="F460" s="73" t="n"/>
      <c r="G460" s="74">
        <f>IF(NOT(ISNUMBER(F460)),"",IF(E460="Entrée",F460,-F460))</f>
        <v/>
      </c>
      <c r="H460" s="26" t="n"/>
      <c r="I460" s="2" t="n"/>
      <c r="J460" s="1" t="n"/>
    </row>
    <row r="461">
      <c r="A461" s="1" t="n"/>
      <c r="B461" s="25" t="n"/>
      <c r="C461" s="26" t="n"/>
      <c r="D461" s="72">
        <f>IF(C461="","",IFERROR(INDEX(Effectif!$D$7:$D$21,MATCH(C461,Effectif!$C$7:$C$21,0)),""))</f>
        <v/>
      </c>
      <c r="E461" s="26" t="n"/>
      <c r="F461" s="73" t="n"/>
      <c r="G461" s="74">
        <f>IF(NOT(ISNUMBER(F461)),"",IF(E461="Entrée",F461,-F461))</f>
        <v/>
      </c>
      <c r="H461" s="26" t="n"/>
      <c r="I461" s="2" t="n"/>
      <c r="J461" s="1" t="n"/>
    </row>
    <row r="462">
      <c r="A462" s="1" t="n"/>
      <c r="B462" s="25" t="n"/>
      <c r="C462" s="26" t="n"/>
      <c r="D462" s="72">
        <f>IF(C462="","",IFERROR(INDEX(Effectif!$D$7:$D$21,MATCH(C462,Effectif!$C$7:$C$21,0)),""))</f>
        <v/>
      </c>
      <c r="E462" s="26" t="n"/>
      <c r="F462" s="73" t="n"/>
      <c r="G462" s="74">
        <f>IF(NOT(ISNUMBER(F462)),"",IF(E462="Entrée",F462,-F462))</f>
        <v/>
      </c>
      <c r="H462" s="26" t="n"/>
      <c r="I462" s="2" t="n"/>
      <c r="J462" s="1" t="n"/>
    </row>
    <row r="463">
      <c r="A463" s="1" t="n"/>
      <c r="B463" s="25" t="n"/>
      <c r="C463" s="26" t="n"/>
      <c r="D463" s="72">
        <f>IF(C463="","",IFERROR(INDEX(Effectif!$D$7:$D$21,MATCH(C463,Effectif!$C$7:$C$21,0)),""))</f>
        <v/>
      </c>
      <c r="E463" s="26" t="n"/>
      <c r="F463" s="73" t="n"/>
      <c r="G463" s="74">
        <f>IF(NOT(ISNUMBER(F463)),"",IF(E463="Entrée",F463,-F463))</f>
        <v/>
      </c>
      <c r="H463" s="26" t="n"/>
      <c r="I463" s="2" t="n"/>
      <c r="J463" s="1" t="n"/>
    </row>
    <row r="464">
      <c r="A464" s="1" t="n"/>
      <c r="B464" s="25" t="n"/>
      <c r="C464" s="26" t="n"/>
      <c r="D464" s="72">
        <f>IF(C464="","",IFERROR(INDEX(Effectif!$D$7:$D$21,MATCH(C464,Effectif!$C$7:$C$21,0)),""))</f>
        <v/>
      </c>
      <c r="E464" s="26" t="n"/>
      <c r="F464" s="73" t="n"/>
      <c r="G464" s="74">
        <f>IF(NOT(ISNUMBER(F464)),"",IF(E464="Entrée",F464,-F464))</f>
        <v/>
      </c>
      <c r="H464" s="26" t="n"/>
      <c r="I464" s="2" t="n"/>
      <c r="J464" s="1" t="n"/>
    </row>
    <row r="465">
      <c r="A465" s="1" t="n"/>
      <c r="B465" s="25" t="n"/>
      <c r="C465" s="26" t="n"/>
      <c r="D465" s="72">
        <f>IF(C465="","",IFERROR(INDEX(Effectif!$D$7:$D$21,MATCH(C465,Effectif!$C$7:$C$21,0)),""))</f>
        <v/>
      </c>
      <c r="E465" s="26" t="n"/>
      <c r="F465" s="73" t="n"/>
      <c r="G465" s="74">
        <f>IF(NOT(ISNUMBER(F465)),"",IF(E465="Entrée",F465,-F465))</f>
        <v/>
      </c>
      <c r="H465" s="26" t="n"/>
      <c r="I465" s="2" t="n"/>
      <c r="J465" s="1" t="n"/>
    </row>
    <row r="466">
      <c r="A466" s="1" t="n"/>
      <c r="B466" s="25" t="n"/>
      <c r="C466" s="26" t="n"/>
      <c r="D466" s="72">
        <f>IF(C466="","",IFERROR(INDEX(Effectif!$D$7:$D$21,MATCH(C466,Effectif!$C$7:$C$21,0)),""))</f>
        <v/>
      </c>
      <c r="E466" s="26" t="n"/>
      <c r="F466" s="73" t="n"/>
      <c r="G466" s="74">
        <f>IF(NOT(ISNUMBER(F466)),"",IF(E466="Entrée",F466,-F466))</f>
        <v/>
      </c>
      <c r="H466" s="26" t="n"/>
      <c r="I466" s="2" t="n"/>
      <c r="J466" s="1" t="n"/>
    </row>
    <row r="467">
      <c r="A467" s="1" t="n"/>
      <c r="B467" s="25" t="n"/>
      <c r="C467" s="26" t="n"/>
      <c r="D467" s="72">
        <f>IF(C467="","",IFERROR(INDEX(Effectif!$D$7:$D$21,MATCH(C467,Effectif!$C$7:$C$21,0)),""))</f>
        <v/>
      </c>
      <c r="E467" s="26" t="n"/>
      <c r="F467" s="73" t="n"/>
      <c r="G467" s="74">
        <f>IF(NOT(ISNUMBER(F467)),"",IF(E467="Entrée",F467,-F467))</f>
        <v/>
      </c>
      <c r="H467" s="26" t="n"/>
      <c r="I467" s="2" t="n"/>
      <c r="J467" s="1" t="n"/>
    </row>
    <row r="468">
      <c r="A468" s="1" t="n"/>
      <c r="B468" s="25" t="n"/>
      <c r="C468" s="26" t="n"/>
      <c r="D468" s="72">
        <f>IF(C468="","",IFERROR(INDEX(Effectif!$D$7:$D$21,MATCH(C468,Effectif!$C$7:$C$21,0)),""))</f>
        <v/>
      </c>
      <c r="E468" s="26" t="n"/>
      <c r="F468" s="73" t="n"/>
      <c r="G468" s="74">
        <f>IF(NOT(ISNUMBER(F468)),"",IF(E468="Entrée",F468,-F468))</f>
        <v/>
      </c>
      <c r="H468" s="26" t="n"/>
      <c r="I468" s="2" t="n"/>
      <c r="J468" s="1" t="n"/>
    </row>
    <row r="469">
      <c r="A469" s="1" t="n"/>
      <c r="B469" s="25" t="n"/>
      <c r="C469" s="26" t="n"/>
      <c r="D469" s="72">
        <f>IF(C469="","",IFERROR(INDEX(Effectif!$D$7:$D$21,MATCH(C469,Effectif!$C$7:$C$21,0)),""))</f>
        <v/>
      </c>
      <c r="E469" s="26" t="n"/>
      <c r="F469" s="73" t="n"/>
      <c r="G469" s="74">
        <f>IF(NOT(ISNUMBER(F469)),"",IF(E469="Entrée",F469,-F469))</f>
        <v/>
      </c>
      <c r="H469" s="26" t="n"/>
      <c r="I469" s="2" t="n"/>
      <c r="J469" s="1" t="n"/>
    </row>
    <row r="470">
      <c r="A470" s="1" t="n"/>
      <c r="B470" s="25" t="n"/>
      <c r="C470" s="26" t="n"/>
      <c r="D470" s="72">
        <f>IF(C470="","",IFERROR(INDEX(Effectif!$D$7:$D$21,MATCH(C470,Effectif!$C$7:$C$21,0)),""))</f>
        <v/>
      </c>
      <c r="E470" s="26" t="n"/>
      <c r="F470" s="73" t="n"/>
      <c r="G470" s="74">
        <f>IF(NOT(ISNUMBER(F470)),"",IF(E470="Entrée",F470,-F470))</f>
        <v/>
      </c>
      <c r="H470" s="26" t="n"/>
      <c r="I470" s="2" t="n"/>
      <c r="J470" s="1" t="n"/>
    </row>
    <row r="471">
      <c r="A471" s="1" t="n"/>
      <c r="B471" s="25" t="n"/>
      <c r="C471" s="26" t="n"/>
      <c r="D471" s="72">
        <f>IF(C471="","",IFERROR(INDEX(Effectif!$D$7:$D$21,MATCH(C471,Effectif!$C$7:$C$21,0)),""))</f>
        <v/>
      </c>
      <c r="E471" s="26" t="n"/>
      <c r="F471" s="73" t="n"/>
      <c r="G471" s="74">
        <f>IF(NOT(ISNUMBER(F471)),"",IF(E471="Entrée",F471,-F471))</f>
        <v/>
      </c>
      <c r="H471" s="26" t="n"/>
      <c r="I471" s="2" t="n"/>
      <c r="J471" s="1" t="n"/>
    </row>
    <row r="472">
      <c r="A472" s="1" t="n"/>
      <c r="B472" s="25" t="n"/>
      <c r="C472" s="26" t="n"/>
      <c r="D472" s="72">
        <f>IF(C472="","",IFERROR(INDEX(Effectif!$D$7:$D$21,MATCH(C472,Effectif!$C$7:$C$21,0)),""))</f>
        <v/>
      </c>
      <c r="E472" s="26" t="n"/>
      <c r="F472" s="73" t="n"/>
      <c r="G472" s="74">
        <f>IF(NOT(ISNUMBER(F472)),"",IF(E472="Entrée",F472,-F472))</f>
        <v/>
      </c>
      <c r="H472" s="26" t="n"/>
      <c r="I472" s="2" t="n"/>
      <c r="J472" s="1" t="n"/>
    </row>
    <row r="473">
      <c r="A473" s="1" t="n"/>
      <c r="B473" s="25" t="n"/>
      <c r="C473" s="26" t="n"/>
      <c r="D473" s="72">
        <f>IF(C473="","",IFERROR(INDEX(Effectif!$D$7:$D$21,MATCH(C473,Effectif!$C$7:$C$21,0)),""))</f>
        <v/>
      </c>
      <c r="E473" s="26" t="n"/>
      <c r="F473" s="73" t="n"/>
      <c r="G473" s="74">
        <f>IF(NOT(ISNUMBER(F473)),"",IF(E473="Entrée",F473,-F473))</f>
        <v/>
      </c>
      <c r="H473" s="26" t="n"/>
      <c r="I473" s="2" t="n"/>
      <c r="J473" s="1" t="n"/>
    </row>
    <row r="474">
      <c r="A474" s="1" t="n"/>
      <c r="B474" s="25" t="n"/>
      <c r="C474" s="26" t="n"/>
      <c r="D474" s="72">
        <f>IF(C474="","",IFERROR(INDEX(Effectif!$D$7:$D$21,MATCH(C474,Effectif!$C$7:$C$21,0)),""))</f>
        <v/>
      </c>
      <c r="E474" s="26" t="n"/>
      <c r="F474" s="73" t="n"/>
      <c r="G474" s="74">
        <f>IF(NOT(ISNUMBER(F474)),"",IF(E474="Entrée",F474,-F474))</f>
        <v/>
      </c>
      <c r="H474" s="26" t="n"/>
      <c r="I474" s="2" t="n"/>
      <c r="J474" s="1" t="n"/>
    </row>
    <row r="475">
      <c r="A475" s="1" t="n"/>
      <c r="B475" s="25" t="n"/>
      <c r="C475" s="26" t="n"/>
      <c r="D475" s="72">
        <f>IF(C475="","",IFERROR(INDEX(Effectif!$D$7:$D$21,MATCH(C475,Effectif!$C$7:$C$21,0)),""))</f>
        <v/>
      </c>
      <c r="E475" s="26" t="n"/>
      <c r="F475" s="73" t="n"/>
      <c r="G475" s="74">
        <f>IF(NOT(ISNUMBER(F475)),"",IF(E475="Entrée",F475,-F475))</f>
        <v/>
      </c>
      <c r="H475" s="26" t="n"/>
      <c r="I475" s="2" t="n"/>
      <c r="J475" s="1" t="n"/>
    </row>
    <row r="476">
      <c r="A476" s="1" t="n"/>
      <c r="B476" s="25" t="n"/>
      <c r="C476" s="26" t="n"/>
      <c r="D476" s="72">
        <f>IF(C476="","",IFERROR(INDEX(Effectif!$D$7:$D$21,MATCH(C476,Effectif!$C$7:$C$21,0)),""))</f>
        <v/>
      </c>
      <c r="E476" s="26" t="n"/>
      <c r="F476" s="73" t="n"/>
      <c r="G476" s="74">
        <f>IF(NOT(ISNUMBER(F476)),"",IF(E476="Entrée",F476,-F476))</f>
        <v/>
      </c>
      <c r="H476" s="26" t="n"/>
      <c r="I476" s="2" t="n"/>
      <c r="J476" s="1" t="n"/>
    </row>
    <row r="477">
      <c r="A477" s="1" t="n"/>
      <c r="B477" s="25" t="n"/>
      <c r="C477" s="26" t="n"/>
      <c r="D477" s="72">
        <f>IF(C477="","",IFERROR(INDEX(Effectif!$D$7:$D$21,MATCH(C477,Effectif!$C$7:$C$21,0)),""))</f>
        <v/>
      </c>
      <c r="E477" s="26" t="n"/>
      <c r="F477" s="73" t="n"/>
      <c r="G477" s="74">
        <f>IF(NOT(ISNUMBER(F477)),"",IF(E477="Entrée",F477,-F477))</f>
        <v/>
      </c>
      <c r="H477" s="26" t="n"/>
      <c r="I477" s="2" t="n"/>
      <c r="J477" s="1" t="n"/>
    </row>
    <row r="478">
      <c r="A478" s="1" t="n"/>
      <c r="B478" s="25" t="n"/>
      <c r="C478" s="26" t="n"/>
      <c r="D478" s="72">
        <f>IF(C478="","",IFERROR(INDEX(Effectif!$D$7:$D$21,MATCH(C478,Effectif!$C$7:$C$21,0)),""))</f>
        <v/>
      </c>
      <c r="E478" s="26" t="n"/>
      <c r="F478" s="73" t="n"/>
      <c r="G478" s="74">
        <f>IF(NOT(ISNUMBER(F478)),"",IF(E478="Entrée",F478,-F478))</f>
        <v/>
      </c>
      <c r="H478" s="26" t="n"/>
      <c r="I478" s="2" t="n"/>
      <c r="J478" s="1" t="n"/>
    </row>
    <row r="479">
      <c r="A479" s="1" t="n"/>
      <c r="B479" s="25" t="n"/>
      <c r="C479" s="26" t="n"/>
      <c r="D479" s="72">
        <f>IF(C479="","",IFERROR(INDEX(Effectif!$D$7:$D$21,MATCH(C479,Effectif!$C$7:$C$21,0)),""))</f>
        <v/>
      </c>
      <c r="E479" s="26" t="n"/>
      <c r="F479" s="73" t="n"/>
      <c r="G479" s="74">
        <f>IF(NOT(ISNUMBER(F479)),"",IF(E479="Entrée",F479,-F479))</f>
        <v/>
      </c>
      <c r="H479" s="26" t="n"/>
      <c r="I479" s="2" t="n"/>
      <c r="J479" s="1" t="n"/>
    </row>
    <row r="480">
      <c r="A480" s="1" t="n"/>
      <c r="B480" s="25" t="n"/>
      <c r="C480" s="26" t="n"/>
      <c r="D480" s="72">
        <f>IF(C480="","",IFERROR(INDEX(Effectif!$D$7:$D$21,MATCH(C480,Effectif!$C$7:$C$21,0)),""))</f>
        <v/>
      </c>
      <c r="E480" s="26" t="n"/>
      <c r="F480" s="73" t="n"/>
      <c r="G480" s="74">
        <f>IF(NOT(ISNUMBER(F480)),"",IF(E480="Entrée",F480,-F480))</f>
        <v/>
      </c>
      <c r="H480" s="26" t="n"/>
      <c r="I480" s="2" t="n"/>
      <c r="J480" s="1" t="n"/>
    </row>
    <row r="481">
      <c r="A481" s="1" t="n"/>
      <c r="B481" s="25" t="n"/>
      <c r="C481" s="26" t="n"/>
      <c r="D481" s="72">
        <f>IF(C481="","",IFERROR(INDEX(Effectif!$D$7:$D$21,MATCH(C481,Effectif!$C$7:$C$21,0)),""))</f>
        <v/>
      </c>
      <c r="E481" s="26" t="n"/>
      <c r="F481" s="73" t="n"/>
      <c r="G481" s="74">
        <f>IF(NOT(ISNUMBER(F481)),"",IF(E481="Entrée",F481,-F481))</f>
        <v/>
      </c>
      <c r="H481" s="26" t="n"/>
      <c r="I481" s="2" t="n"/>
      <c r="J481" s="1" t="n"/>
    </row>
    <row r="482">
      <c r="A482" s="1" t="n"/>
      <c r="B482" s="25" t="n"/>
      <c r="C482" s="26" t="n"/>
      <c r="D482" s="72">
        <f>IF(C482="","",IFERROR(INDEX(Effectif!$D$7:$D$21,MATCH(C482,Effectif!$C$7:$C$21,0)),""))</f>
        <v/>
      </c>
      <c r="E482" s="26" t="n"/>
      <c r="F482" s="73" t="n"/>
      <c r="G482" s="74">
        <f>IF(NOT(ISNUMBER(F482)),"",IF(E482="Entrée",F482,-F482))</f>
        <v/>
      </c>
      <c r="H482" s="26" t="n"/>
      <c r="I482" s="2" t="n"/>
      <c r="J482" s="1" t="n"/>
    </row>
    <row r="483">
      <c r="A483" s="1" t="n"/>
      <c r="B483" s="25" t="n"/>
      <c r="C483" s="26" t="n"/>
      <c r="D483" s="72">
        <f>IF(C483="","",IFERROR(INDEX(Effectif!$D$7:$D$21,MATCH(C483,Effectif!$C$7:$C$21,0)),""))</f>
        <v/>
      </c>
      <c r="E483" s="26" t="n"/>
      <c r="F483" s="73" t="n"/>
      <c r="G483" s="74">
        <f>IF(NOT(ISNUMBER(F483)),"",IF(E483="Entrée",F483,-F483))</f>
        <v/>
      </c>
      <c r="H483" s="26" t="n"/>
      <c r="I483" s="2" t="n"/>
      <c r="J483" s="1" t="n"/>
    </row>
    <row r="484">
      <c r="A484" s="1" t="n"/>
      <c r="B484" s="25" t="n"/>
      <c r="C484" s="26" t="n"/>
      <c r="D484" s="72">
        <f>IF(C484="","",IFERROR(INDEX(Effectif!$D$7:$D$21,MATCH(C484,Effectif!$C$7:$C$21,0)),""))</f>
        <v/>
      </c>
      <c r="E484" s="26" t="n"/>
      <c r="F484" s="73" t="n"/>
      <c r="G484" s="74">
        <f>IF(NOT(ISNUMBER(F484)),"",IF(E484="Entrée",F484,-F484))</f>
        <v/>
      </c>
      <c r="H484" s="26" t="n"/>
      <c r="I484" s="2" t="n"/>
      <c r="J484" s="1" t="n"/>
    </row>
    <row r="485">
      <c r="A485" s="1" t="n"/>
      <c r="B485" s="25" t="n"/>
      <c r="C485" s="26" t="n"/>
      <c r="D485" s="72">
        <f>IF(C485="","",IFERROR(INDEX(Effectif!$D$7:$D$21,MATCH(C485,Effectif!$C$7:$C$21,0)),""))</f>
        <v/>
      </c>
      <c r="E485" s="26" t="n"/>
      <c r="F485" s="73" t="n"/>
      <c r="G485" s="74">
        <f>IF(NOT(ISNUMBER(F485)),"",IF(E485="Entrée",F485,-F485))</f>
        <v/>
      </c>
      <c r="H485" s="26" t="n"/>
      <c r="I485" s="2" t="n"/>
      <c r="J485" s="1" t="n"/>
    </row>
    <row r="486">
      <c r="A486" s="1" t="n"/>
      <c r="B486" s="25" t="n"/>
      <c r="C486" s="26" t="n"/>
      <c r="D486" s="72">
        <f>IF(C486="","",IFERROR(INDEX(Effectif!$D$7:$D$21,MATCH(C486,Effectif!$C$7:$C$21,0)),""))</f>
        <v/>
      </c>
      <c r="E486" s="26" t="n"/>
      <c r="F486" s="73" t="n"/>
      <c r="G486" s="74">
        <f>IF(NOT(ISNUMBER(F486)),"",IF(E486="Entrée",F486,-F486))</f>
        <v/>
      </c>
      <c r="H486" s="26" t="n"/>
      <c r="I486" s="2" t="n"/>
      <c r="J486" s="1" t="n"/>
    </row>
    <row r="487">
      <c r="A487" s="1" t="n"/>
      <c r="B487" s="25" t="n"/>
      <c r="C487" s="26" t="n"/>
      <c r="D487" s="72">
        <f>IF(C487="","",IFERROR(INDEX(Effectif!$D$7:$D$21,MATCH(C487,Effectif!$C$7:$C$21,0)),""))</f>
        <v/>
      </c>
      <c r="E487" s="26" t="n"/>
      <c r="F487" s="73" t="n"/>
      <c r="G487" s="74">
        <f>IF(NOT(ISNUMBER(F487)),"",IF(E487="Entrée",F487,-F487))</f>
        <v/>
      </c>
      <c r="H487" s="26" t="n"/>
      <c r="I487" s="2" t="n"/>
      <c r="J487" s="1" t="n"/>
    </row>
    <row r="488">
      <c r="A488" s="1" t="n"/>
      <c r="B488" s="25" t="n"/>
      <c r="C488" s="26" t="n"/>
      <c r="D488" s="72">
        <f>IF(C488="","",IFERROR(INDEX(Effectif!$D$7:$D$21,MATCH(C488,Effectif!$C$7:$C$21,0)),""))</f>
        <v/>
      </c>
      <c r="E488" s="26" t="n"/>
      <c r="F488" s="73" t="n"/>
      <c r="G488" s="74">
        <f>IF(NOT(ISNUMBER(F488)),"",IF(E488="Entrée",F488,-F488))</f>
        <v/>
      </c>
      <c r="H488" s="26" t="n"/>
      <c r="I488" s="2" t="n"/>
      <c r="J488" s="1" t="n"/>
    </row>
    <row r="489">
      <c r="A489" s="1" t="n"/>
      <c r="B489" s="25" t="n"/>
      <c r="C489" s="26" t="n"/>
      <c r="D489" s="72">
        <f>IF(C489="","",IFERROR(INDEX(Effectif!$D$7:$D$21,MATCH(C489,Effectif!$C$7:$C$21,0)),""))</f>
        <v/>
      </c>
      <c r="E489" s="26" t="n"/>
      <c r="F489" s="73" t="n"/>
      <c r="G489" s="74">
        <f>IF(NOT(ISNUMBER(F489)),"",IF(E489="Entrée",F489,-F489))</f>
        <v/>
      </c>
      <c r="H489" s="26" t="n"/>
      <c r="I489" s="2" t="n"/>
      <c r="J489" s="1" t="n"/>
    </row>
    <row r="490">
      <c r="A490" s="1" t="n"/>
      <c r="B490" s="25" t="n"/>
      <c r="C490" s="26" t="n"/>
      <c r="D490" s="72">
        <f>IF(C490="","",IFERROR(INDEX(Effectif!$D$7:$D$21,MATCH(C490,Effectif!$C$7:$C$21,0)),""))</f>
        <v/>
      </c>
      <c r="E490" s="26" t="n"/>
      <c r="F490" s="73" t="n"/>
      <c r="G490" s="74">
        <f>IF(NOT(ISNUMBER(F490)),"",IF(E490="Entrée",F490,-F490))</f>
        <v/>
      </c>
      <c r="H490" s="26" t="n"/>
      <c r="I490" s="2" t="n"/>
      <c r="J490" s="1" t="n"/>
    </row>
    <row r="491">
      <c r="A491" s="1" t="n"/>
      <c r="B491" s="25" t="n"/>
      <c r="C491" s="26" t="n"/>
      <c r="D491" s="72">
        <f>IF(C491="","",IFERROR(INDEX(Effectif!$D$7:$D$21,MATCH(C491,Effectif!$C$7:$C$21,0)),""))</f>
        <v/>
      </c>
      <c r="E491" s="26" t="n"/>
      <c r="F491" s="73" t="n"/>
      <c r="G491" s="74">
        <f>IF(NOT(ISNUMBER(F491)),"",IF(E491="Entrée",F491,-F491))</f>
        <v/>
      </c>
      <c r="H491" s="26" t="n"/>
      <c r="I491" s="2" t="n"/>
      <c r="J491" s="1" t="n"/>
    </row>
    <row r="492">
      <c r="A492" s="1" t="n"/>
      <c r="B492" s="25" t="n"/>
      <c r="C492" s="26" t="n"/>
      <c r="D492" s="72">
        <f>IF(C492="","",IFERROR(INDEX(Effectif!$D$7:$D$21,MATCH(C492,Effectif!$C$7:$C$21,0)),""))</f>
        <v/>
      </c>
      <c r="E492" s="26" t="n"/>
      <c r="F492" s="73" t="n"/>
      <c r="G492" s="74">
        <f>IF(NOT(ISNUMBER(F492)),"",IF(E492="Entrée",F492,-F492))</f>
        <v/>
      </c>
      <c r="H492" s="26" t="n"/>
      <c r="I492" s="2" t="n"/>
      <c r="J492" s="1" t="n"/>
    </row>
    <row r="493">
      <c r="A493" s="1" t="n"/>
      <c r="B493" s="25" t="n"/>
      <c r="C493" s="26" t="n"/>
      <c r="D493" s="72">
        <f>IF(C493="","",IFERROR(INDEX(Effectif!$D$7:$D$21,MATCH(C493,Effectif!$C$7:$C$21,0)),""))</f>
        <v/>
      </c>
      <c r="E493" s="26" t="n"/>
      <c r="F493" s="73" t="n"/>
      <c r="G493" s="74">
        <f>IF(NOT(ISNUMBER(F493)),"",IF(E493="Entrée",F493,-F493))</f>
        <v/>
      </c>
      <c r="H493" s="26" t="n"/>
      <c r="I493" s="2" t="n"/>
      <c r="J493" s="1" t="n"/>
    </row>
    <row r="494">
      <c r="A494" s="1" t="n"/>
      <c r="B494" s="25" t="n"/>
      <c r="C494" s="26" t="n"/>
      <c r="D494" s="72">
        <f>IF(C494="","",IFERROR(INDEX(Effectif!$D$7:$D$21,MATCH(C494,Effectif!$C$7:$C$21,0)),""))</f>
        <v/>
      </c>
      <c r="E494" s="26" t="n"/>
      <c r="F494" s="73" t="n"/>
      <c r="G494" s="74">
        <f>IF(NOT(ISNUMBER(F494)),"",IF(E494="Entrée",F494,-F494))</f>
        <v/>
      </c>
      <c r="H494" s="26" t="n"/>
      <c r="I494" s="2" t="n"/>
      <c r="J494" s="1" t="n"/>
    </row>
    <row r="495">
      <c r="A495" s="1" t="n"/>
      <c r="B495" s="25" t="n"/>
      <c r="C495" s="26" t="n"/>
      <c r="D495" s="72">
        <f>IF(C495="","",IFERROR(INDEX(Effectif!$D$7:$D$21,MATCH(C495,Effectif!$C$7:$C$21,0)),""))</f>
        <v/>
      </c>
      <c r="E495" s="26" t="n"/>
      <c r="F495" s="73" t="n"/>
      <c r="G495" s="74">
        <f>IF(NOT(ISNUMBER(F495)),"",IF(E495="Entrée",F495,-F495))</f>
        <v/>
      </c>
      <c r="H495" s="26" t="n"/>
      <c r="I495" s="2" t="n"/>
      <c r="J495" s="1" t="n"/>
    </row>
    <row r="496">
      <c r="A496" s="1" t="n"/>
      <c r="B496" s="25" t="n"/>
      <c r="C496" s="26" t="n"/>
      <c r="D496" s="72">
        <f>IF(C496="","",IFERROR(INDEX(Effectif!$D$7:$D$21,MATCH(C496,Effectif!$C$7:$C$21,0)),""))</f>
        <v/>
      </c>
      <c r="E496" s="26" t="n"/>
      <c r="F496" s="73" t="n"/>
      <c r="G496" s="74">
        <f>IF(NOT(ISNUMBER(F496)),"",IF(E496="Entrée",F496,-F496))</f>
        <v/>
      </c>
      <c r="H496" s="26" t="n"/>
      <c r="I496" s="2" t="n"/>
      <c r="J496" s="1" t="n"/>
    </row>
    <row r="497">
      <c r="A497" s="1" t="n"/>
      <c r="B497" s="25" t="n"/>
      <c r="C497" s="26" t="n"/>
      <c r="D497" s="72">
        <f>IF(C497="","",IFERROR(INDEX(Effectif!$D$7:$D$21,MATCH(C497,Effectif!$C$7:$C$21,0)),""))</f>
        <v/>
      </c>
      <c r="E497" s="26" t="n"/>
      <c r="F497" s="73" t="n"/>
      <c r="G497" s="74">
        <f>IF(NOT(ISNUMBER(F497)),"",IF(E497="Entrée",F497,-F497))</f>
        <v/>
      </c>
      <c r="H497" s="26" t="n"/>
      <c r="I497" s="2" t="n"/>
      <c r="J497" s="1" t="n"/>
    </row>
    <row r="498">
      <c r="A498" s="1" t="n"/>
      <c r="B498" s="25" t="n"/>
      <c r="C498" s="26" t="n"/>
      <c r="D498" s="72">
        <f>IF(C498="","",IFERROR(INDEX(Effectif!$D$7:$D$21,MATCH(C498,Effectif!$C$7:$C$21,0)),""))</f>
        <v/>
      </c>
      <c r="E498" s="26" t="n"/>
      <c r="F498" s="73" t="n"/>
      <c r="G498" s="74">
        <f>IF(NOT(ISNUMBER(F498)),"",IF(E498="Entrée",F498,-F498))</f>
        <v/>
      </c>
      <c r="H498" s="26" t="n"/>
      <c r="I498" s="2" t="n"/>
      <c r="J498" s="1" t="n"/>
    </row>
    <row r="499">
      <c r="A499" s="1" t="n"/>
      <c r="B499" s="25" t="n"/>
      <c r="C499" s="26" t="n"/>
      <c r="D499" s="72">
        <f>IF(C499="","",IFERROR(INDEX(Effectif!$D$7:$D$21,MATCH(C499,Effectif!$C$7:$C$21,0)),""))</f>
        <v/>
      </c>
      <c r="E499" s="26" t="n"/>
      <c r="F499" s="73" t="n"/>
      <c r="G499" s="74">
        <f>IF(NOT(ISNUMBER(F499)),"",IF(E499="Entrée",F499,-F499))</f>
        <v/>
      </c>
      <c r="H499" s="26" t="n"/>
      <c r="I499" s="2" t="n"/>
      <c r="J499" s="1" t="n"/>
    </row>
    <row r="500">
      <c r="A500" s="1" t="n"/>
      <c r="B500" s="25" t="n"/>
      <c r="C500" s="26" t="n"/>
      <c r="D500" s="72">
        <f>IF(C500="","",IFERROR(INDEX(Effectif!$D$7:$D$21,MATCH(C500,Effectif!$C$7:$C$21,0)),""))</f>
        <v/>
      </c>
      <c r="E500" s="26" t="n"/>
      <c r="F500" s="73" t="n"/>
      <c r="G500" s="74">
        <f>IF(NOT(ISNUMBER(F500)),"",IF(E500="Entrée",F500,-F500))</f>
        <v/>
      </c>
      <c r="H500" s="26" t="n"/>
      <c r="I500" s="2" t="n"/>
      <c r="J500" s="1" t="n"/>
    </row>
    <row r="501">
      <c r="A501" s="1" t="n"/>
      <c r="B501" s="25" t="n"/>
      <c r="C501" s="26" t="n"/>
      <c r="D501" s="72">
        <f>IF(C501="","",IFERROR(INDEX(Effectif!$D$7:$D$21,MATCH(C501,Effectif!$C$7:$C$21,0)),""))</f>
        <v/>
      </c>
      <c r="E501" s="26" t="n"/>
      <c r="F501" s="73" t="n"/>
      <c r="G501" s="74">
        <f>IF(NOT(ISNUMBER(F501)),"",IF(E501="Entrée",F501,-F501))</f>
        <v/>
      </c>
      <c r="H501" s="26" t="n"/>
      <c r="I501" s="2" t="n"/>
      <c r="J501" s="1" t="n"/>
    </row>
    <row r="502">
      <c r="A502" s="1" t="n"/>
      <c r="B502" s="25" t="n"/>
      <c r="C502" s="26" t="n"/>
      <c r="D502" s="72">
        <f>IF(C502="","",IFERROR(INDEX(Effectif!$D$7:$D$21,MATCH(C502,Effectif!$C$7:$C$21,0)),""))</f>
        <v/>
      </c>
      <c r="E502" s="26" t="n"/>
      <c r="F502" s="73" t="n"/>
      <c r="G502" s="74">
        <f>IF(NOT(ISNUMBER(F502)),"",IF(E502="Entrée",F502,-F502))</f>
        <v/>
      </c>
      <c r="H502" s="26" t="n"/>
      <c r="I502" s="2" t="n"/>
      <c r="J502" s="1" t="n"/>
    </row>
    <row r="503">
      <c r="A503" s="1" t="n"/>
      <c r="B503" s="25" t="n"/>
      <c r="C503" s="26" t="n"/>
      <c r="D503" s="72">
        <f>IF(C503="","",IFERROR(INDEX(Effectif!$D$7:$D$21,MATCH(C503,Effectif!$C$7:$C$21,0)),""))</f>
        <v/>
      </c>
      <c r="E503" s="26" t="n"/>
      <c r="F503" s="73" t="n"/>
      <c r="G503" s="74">
        <f>IF(NOT(ISNUMBER(F503)),"",IF(E503="Entrée",F503,-F503))</f>
        <v/>
      </c>
      <c r="H503" s="26" t="n"/>
      <c r="I503" s="2" t="n"/>
      <c r="J503" s="1" t="n"/>
    </row>
    <row r="504">
      <c r="A504" s="1" t="n"/>
      <c r="B504" s="25" t="n"/>
      <c r="C504" s="26" t="n"/>
      <c r="D504" s="72">
        <f>IF(C504="","",IFERROR(INDEX(Effectif!$D$7:$D$21,MATCH(C504,Effectif!$C$7:$C$21,0)),""))</f>
        <v/>
      </c>
      <c r="E504" s="26" t="n"/>
      <c r="F504" s="73" t="n"/>
      <c r="G504" s="74">
        <f>IF(NOT(ISNUMBER(F504)),"",IF(E504="Entrée",F504,-F504))</f>
        <v/>
      </c>
      <c r="H504" s="26" t="n"/>
      <c r="I504" s="2" t="n"/>
      <c r="J504" s="1" t="n"/>
    </row>
    <row r="505">
      <c r="A505" s="1" t="n"/>
      <c r="B505" s="25" t="n"/>
      <c r="C505" s="26" t="n"/>
      <c r="D505" s="72">
        <f>IF(C505="","",IFERROR(INDEX(Effectif!$D$7:$D$21,MATCH(C505,Effectif!$C$7:$C$21,0)),""))</f>
        <v/>
      </c>
      <c r="E505" s="26" t="n"/>
      <c r="F505" s="73" t="n"/>
      <c r="G505" s="74">
        <f>IF(NOT(ISNUMBER(F505)),"",IF(E505="Entrée",F505,-F505))</f>
        <v/>
      </c>
      <c r="H505" s="26" t="n"/>
      <c r="I505" s="2" t="n"/>
      <c r="J505" s="1" t="n"/>
    </row>
    <row r="506">
      <c r="A506" s="1" t="n"/>
      <c r="B506" s="25" t="n"/>
      <c r="C506" s="26" t="n"/>
      <c r="D506" s="72">
        <f>IF(C506="","",IFERROR(INDEX(Effectif!$D$7:$D$21,MATCH(C506,Effectif!$C$7:$C$21,0)),""))</f>
        <v/>
      </c>
      <c r="E506" s="26" t="n"/>
      <c r="F506" s="73" t="n"/>
      <c r="G506" s="74">
        <f>IF(NOT(ISNUMBER(F506)),"",IF(E506="Entrée",F506,-F506))</f>
        <v/>
      </c>
      <c r="H506" s="26" t="n"/>
      <c r="I506" s="2" t="n"/>
      <c r="J506" s="1" t="n"/>
    </row>
    <row r="507">
      <c r="A507" s="1" t="n"/>
      <c r="B507" s="25" t="n"/>
      <c r="C507" s="26" t="n"/>
      <c r="D507" s="72">
        <f>IF(C507="","",IFERROR(INDEX(Effectif!$D$7:$D$21,MATCH(C507,Effectif!$C$7:$C$21,0)),""))</f>
        <v/>
      </c>
      <c r="E507" s="26" t="n"/>
      <c r="F507" s="73" t="n"/>
      <c r="G507" s="74">
        <f>IF(NOT(ISNUMBER(F507)),"",IF(E507="Entrée",F507,-F507))</f>
        <v/>
      </c>
      <c r="H507" s="26" t="n"/>
      <c r="I507" s="2" t="n"/>
      <c r="J507" s="1" t="n"/>
    </row>
    <row r="508">
      <c r="A508" s="1" t="n"/>
      <c r="B508" s="2" t="n"/>
      <c r="C508" s="2" t="n"/>
      <c r="D508" s="2" t="n"/>
      <c r="E508" s="2" t="n"/>
      <c r="F508" s="2" t="n"/>
      <c r="G508" s="2" t="n"/>
      <c r="H508" s="2" t="n"/>
      <c r="I508" s="2" t="n"/>
      <c r="J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</row>
  </sheetData>
  <mergeCells count="2">
    <mergeCell ref="B4:H4"/>
    <mergeCell ref="B2:H2"/>
  </mergeCells>
  <conditionalFormatting sqref="G8:G507">
    <cfRule type="expression" priority="1" dxfId="7">
      <formula>AND(ISNUMBER(G8),G8&lt;0)</formula>
    </cfRule>
    <cfRule type="expression" priority="2" dxfId="10">
      <formula>AND(ISNUMBER(G8),G8&gt;0)</formula>
    </cfRule>
  </conditionalFormatting>
  <dataValidations count="2">
    <dataValidation sqref="C8:C507" showDropDown="0" showInputMessage="0" showErrorMessage="0" allowBlank="1" type="list">
      <formula1>=Effectif!$C$7:$C$21</formula1>
    </dataValidation>
    <dataValidation sqref="E8:E507" showDropDown="0" showInputMessage="0" showErrorMessage="0" allowBlank="1" type="list">
      <formula1>"Entrée,Sortie,Prime"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Feuil10">
    <outlinePr summaryBelow="1" summaryRight="1"/>
    <pageSetUpPr/>
  </sheetPr>
  <dimension ref="A1:J24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0" customWidth="1" min="2" max="2"/>
    <col width="22" customWidth="1" min="3" max="3"/>
    <col width="28" customWidth="1" min="4" max="4"/>
    <col width="16" customWidth="1" min="5" max="5"/>
    <col width="20" customWidth="1" min="6" max="6"/>
    <col width="26" customWidth="1" min="7" max="7"/>
    <col width="14" customWidth="1" min="8" max="8"/>
    <col width="12" customWidth="1" min="9" max="9"/>
    <col width="3" customWidth="1" min="10" max="10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</row>
    <row r="2" ht="40" customHeight="1">
      <c r="A2" s="1" t="n"/>
      <c r="B2" s="9" t="inlineStr">
        <is>
          <t>EFFECTIF — YELLOW JAKE</t>
        </is>
      </c>
      <c r="J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10" t="inlineStr">
        <is>
          <t>⬅ Accueil</t>
        </is>
      </c>
      <c r="J3" s="1" t="n"/>
    </row>
    <row r="4">
      <c r="A4" s="1" t="n"/>
      <c r="B4" s="11" t="inlineStr">
        <is>
          <t>Liste du personnel. Les noms alimentent les listes « Vendeur » et « Employé » des autres onglets.</t>
        </is>
      </c>
      <c r="J4" s="1" t="n"/>
    </row>
    <row r="5">
      <c r="A5" s="1" t="n"/>
      <c r="B5" s="2" t="n"/>
      <c r="C5" s="2" t="n"/>
      <c r="D5" s="2" t="n"/>
      <c r="E5" s="2" t="n"/>
      <c r="F5" s="2" t="n"/>
      <c r="G5" s="2" t="n"/>
      <c r="H5" s="2" t="n"/>
      <c r="I5" s="2" t="n"/>
      <c r="J5" s="1" t="n"/>
    </row>
    <row r="6" ht="32" customHeight="1">
      <c r="A6" s="1" t="n"/>
      <c r="B6" s="14" t="inlineStr">
        <is>
          <t>N°</t>
        </is>
      </c>
      <c r="C6" s="14" t="inlineStr">
        <is>
          <t>Prénom | Nom</t>
        </is>
      </c>
      <c r="D6" s="14" t="inlineStr">
        <is>
          <t>Grade</t>
        </is>
      </c>
      <c r="E6" s="14" t="inlineStr">
        <is>
          <t>Taux horaire</t>
        </is>
      </c>
      <c r="F6" s="14" t="inlineStr">
        <is>
          <t>Numéro de téléphone</t>
        </is>
      </c>
      <c r="G6" s="14" t="inlineStr">
        <is>
          <t>Mail</t>
        </is>
      </c>
      <c r="H6" s="14" t="inlineStr">
        <is>
          <t>Contrat de travail</t>
        </is>
      </c>
      <c r="I6" s="14" t="inlineStr">
        <is>
          <t>Actif</t>
        </is>
      </c>
      <c r="J6" s="1" t="n"/>
    </row>
    <row r="7">
      <c r="A7" s="1" t="n"/>
      <c r="B7" s="43" t="n">
        <v>1</v>
      </c>
      <c r="C7" s="43" t="inlineStr">
        <is>
          <t>Exemple Barman</t>
        </is>
      </c>
      <c r="D7" s="43" t="inlineStr">
        <is>
          <t>🍺・Barman confirmé</t>
        </is>
      </c>
      <c r="E7" s="73" t="n"/>
      <c r="F7" s="75" t="n"/>
      <c r="G7" s="26" t="n"/>
      <c r="H7" s="26" t="inlineStr">
        <is>
          <t>Oui</t>
        </is>
      </c>
      <c r="I7" s="26" t="inlineStr">
        <is>
          <t>Oui</t>
        </is>
      </c>
      <c r="J7" s="1" t="n"/>
    </row>
    <row r="8">
      <c r="A8" s="1" t="n"/>
      <c r="B8" s="43" t="n">
        <v>2</v>
      </c>
      <c r="C8" s="43" t="n"/>
      <c r="D8" s="43" t="n"/>
      <c r="E8" s="73" t="n"/>
      <c r="F8" s="75" t="n"/>
      <c r="G8" s="26" t="n"/>
      <c r="H8" s="26" t="n"/>
      <c r="I8" s="26" t="n"/>
      <c r="J8" s="1" t="n"/>
    </row>
    <row r="9">
      <c r="A9" s="1" t="n"/>
      <c r="B9" s="43" t="n">
        <v>3</v>
      </c>
      <c r="C9" s="43" t="n"/>
      <c r="D9" s="43" t="n"/>
      <c r="E9" s="73" t="n"/>
      <c r="F9" s="75" t="n"/>
      <c r="G9" s="26" t="n"/>
      <c r="H9" s="26" t="n"/>
      <c r="I9" s="26" t="n"/>
      <c r="J9" s="1" t="n"/>
    </row>
    <row r="10">
      <c r="A10" s="1" t="n"/>
      <c r="B10" s="43" t="n">
        <v>4</v>
      </c>
      <c r="C10" s="43" t="n"/>
      <c r="D10" s="43" t="n"/>
      <c r="E10" s="73" t="n"/>
      <c r="F10" s="75" t="n"/>
      <c r="G10" s="26" t="n"/>
      <c r="H10" s="26" t="n"/>
      <c r="I10" s="26" t="n"/>
      <c r="J10" s="1" t="n"/>
    </row>
    <row r="11">
      <c r="A11" s="1" t="n"/>
      <c r="B11" s="43" t="n">
        <v>5</v>
      </c>
      <c r="C11" s="43" t="n"/>
      <c r="D11" s="43" t="n"/>
      <c r="E11" s="73" t="n"/>
      <c r="F11" s="75" t="n"/>
      <c r="G11" s="26" t="n"/>
      <c r="H11" s="26" t="n"/>
      <c r="I11" s="26" t="n"/>
      <c r="J11" s="1" t="n"/>
    </row>
    <row r="12">
      <c r="A12" s="1" t="n"/>
      <c r="B12" s="43" t="n">
        <v>6</v>
      </c>
      <c r="C12" s="43" t="n"/>
      <c r="D12" s="43" t="n"/>
      <c r="E12" s="73" t="n"/>
      <c r="F12" s="75" t="n"/>
      <c r="G12" s="26" t="n"/>
      <c r="H12" s="26" t="n"/>
      <c r="I12" s="26" t="n"/>
      <c r="J12" s="1" t="n"/>
    </row>
    <row r="13">
      <c r="A13" s="1" t="n"/>
      <c r="B13" s="43" t="n">
        <v>7</v>
      </c>
      <c r="C13" s="43" t="n"/>
      <c r="D13" s="43" t="n"/>
      <c r="E13" s="73" t="n"/>
      <c r="F13" s="75" t="n"/>
      <c r="G13" s="26" t="n"/>
      <c r="H13" s="26" t="n"/>
      <c r="I13" s="26" t="n"/>
      <c r="J13" s="1" t="n"/>
    </row>
    <row r="14">
      <c r="A14" s="1" t="n"/>
      <c r="B14" s="43" t="n">
        <v>8</v>
      </c>
      <c r="C14" s="43" t="n"/>
      <c r="D14" s="43" t="n"/>
      <c r="E14" s="73" t="n"/>
      <c r="F14" s="75" t="n"/>
      <c r="G14" s="26" t="n"/>
      <c r="H14" s="26" t="n"/>
      <c r="I14" s="26" t="n"/>
      <c r="J14" s="1" t="n"/>
    </row>
    <row r="15">
      <c r="A15" s="1" t="n"/>
      <c r="B15" s="43" t="n">
        <v>9</v>
      </c>
      <c r="C15" s="43" t="n"/>
      <c r="D15" s="43" t="n"/>
      <c r="E15" s="73" t="n"/>
      <c r="F15" s="75" t="n"/>
      <c r="G15" s="26" t="n"/>
      <c r="H15" s="26" t="n"/>
      <c r="I15" s="26" t="n"/>
      <c r="J15" s="1" t="n"/>
    </row>
    <row r="16">
      <c r="A16" s="1" t="n"/>
      <c r="B16" s="43" t="n">
        <v>10</v>
      </c>
      <c r="C16" s="43" t="n"/>
      <c r="D16" s="43" t="n"/>
      <c r="E16" s="73" t="n"/>
      <c r="F16" s="75" t="n"/>
      <c r="G16" s="26" t="n"/>
      <c r="H16" s="26" t="n"/>
      <c r="I16" s="26" t="n"/>
      <c r="J16" s="1" t="n"/>
    </row>
    <row r="17">
      <c r="A17" s="1" t="n"/>
      <c r="B17" s="43" t="n">
        <v>11</v>
      </c>
      <c r="C17" s="43" t="n"/>
      <c r="D17" s="43" t="n"/>
      <c r="E17" s="73" t="n"/>
      <c r="F17" s="75" t="n"/>
      <c r="G17" s="26" t="n"/>
      <c r="H17" s="26" t="n"/>
      <c r="I17" s="26" t="n"/>
      <c r="J17" s="1" t="n"/>
    </row>
    <row r="18">
      <c r="A18" s="1" t="n"/>
      <c r="B18" s="43" t="n">
        <v>12</v>
      </c>
      <c r="C18" s="43" t="n"/>
      <c r="D18" s="43" t="n"/>
      <c r="E18" s="73" t="n"/>
      <c r="F18" s="75" t="n"/>
      <c r="G18" s="26" t="n"/>
      <c r="H18" s="26" t="n"/>
      <c r="I18" s="26" t="n"/>
      <c r="J18" s="1" t="n"/>
    </row>
    <row r="19">
      <c r="A19" s="1" t="n"/>
      <c r="B19" s="43" t="n">
        <v>13</v>
      </c>
      <c r="C19" s="43" t="n"/>
      <c r="D19" s="43" t="n"/>
      <c r="E19" s="73" t="n"/>
      <c r="F19" s="75" t="n"/>
      <c r="G19" s="26" t="n"/>
      <c r="H19" s="26" t="n"/>
      <c r="I19" s="26" t="n"/>
      <c r="J19" s="1" t="n"/>
    </row>
    <row r="20">
      <c r="A20" s="1" t="n"/>
      <c r="B20" s="43" t="n">
        <v>14</v>
      </c>
      <c r="C20" s="43" t="n"/>
      <c r="D20" s="43" t="n"/>
      <c r="E20" s="73" t="n"/>
      <c r="F20" s="75" t="n"/>
      <c r="G20" s="26" t="n"/>
      <c r="H20" s="26" t="n"/>
      <c r="I20" s="26" t="n"/>
      <c r="J20" s="1" t="n"/>
    </row>
    <row r="21">
      <c r="A21" s="1" t="n"/>
      <c r="B21" s="43" t="n">
        <v>15</v>
      </c>
      <c r="C21" s="43" t="n"/>
      <c r="D21" s="43" t="n"/>
      <c r="E21" s="73" t="n"/>
      <c r="F21" s="75" t="n"/>
      <c r="G21" s="26" t="n"/>
      <c r="H21" s="26" t="n"/>
      <c r="I21" s="26" t="n"/>
      <c r="J21" s="1" t="n"/>
    </row>
    <row r="22">
      <c r="A22" s="1" t="n"/>
      <c r="B22" s="2" t="n"/>
      <c r="C22" s="2" t="n"/>
      <c r="D22" s="2" t="n"/>
      <c r="E22" s="2" t="n"/>
      <c r="F22" s="2" t="n"/>
      <c r="G22" s="2" t="n"/>
      <c r="H22" s="2" t="n"/>
      <c r="I22" s="2" t="n"/>
      <c r="J22" s="1" t="n"/>
    </row>
    <row r="23">
      <c r="A23" s="1" t="n"/>
      <c r="B23" s="2" t="n"/>
      <c r="C23" s="2" t="n"/>
      <c r="D23" s="2" t="n"/>
      <c r="E23" s="2" t="n"/>
      <c r="F23" s="2" t="n"/>
      <c r="G23" s="2" t="n"/>
      <c r="H23" s="2" t="n"/>
      <c r="I23" s="2" t="n"/>
      <c r="J23" s="1" t="n"/>
    </row>
    <row r="24">
      <c r="A24" s="1" t="n"/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</row>
  </sheetData>
  <mergeCells count="2">
    <mergeCell ref="B2:I2"/>
    <mergeCell ref="B4:I4"/>
  </mergeCells>
  <conditionalFormatting sqref="D7:D21">
    <cfRule type="expression" priority="1" dxfId="1">
      <formula>D7=Paramètres!$B$7</formula>
    </cfRule>
    <cfRule type="expression" priority="2" dxfId="2">
      <formula>D7=Paramètres!$B$8</formula>
    </cfRule>
    <cfRule type="expression" priority="3" dxfId="3">
      <formula>D7=Paramètres!$B$9</formula>
    </cfRule>
    <cfRule type="expression" priority="4" dxfId="4">
      <formula>D7=Paramètres!$B$10</formula>
    </cfRule>
    <cfRule type="expression" priority="5" dxfId="5">
      <formula>D7=Paramètres!$B$11</formula>
    </cfRule>
    <cfRule type="expression" priority="6" dxfId="6">
      <formula>D7=Paramètres!$B$12</formula>
    </cfRule>
  </conditionalFormatting>
  <dataValidations count="2">
    <dataValidation sqref="D7:D21" showDropDown="0" showInputMessage="0" showErrorMessage="0" allowBlank="1" type="list">
      <formula1>"👑・Patron,💎・Co-Patron,✨・Manager,🍸・Barman expérimenté,🍺・Barman confirmé,🧼・Apprenti barman"</formula1>
    </dataValidation>
    <dataValidation sqref="H7:I21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Feuil11">
    <outlinePr summaryBelow="1" summaryRight="1"/>
    <pageSetUpPr/>
  </sheetPr>
  <dimension ref="A1:L2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3" customWidth="1" min="3" max="3"/>
    <col width="13" customWidth="1" min="4" max="4"/>
    <col width="11" customWidth="1" min="5" max="5"/>
    <col width="13" customWidth="1" min="6" max="6"/>
    <col width="13" customWidth="1" min="7" max="7"/>
    <col width="14" customWidth="1" min="8" max="8"/>
    <col width="10" customWidth="1" min="9" max="9"/>
    <col width="15" customWidth="1" min="10" max="10"/>
    <col width="3" customWidth="1" min="11" max="11"/>
    <col width="3" customWidth="1" min="12" max="12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</row>
    <row r="2" ht="40" customHeight="1">
      <c r="A2" s="1" t="n"/>
      <c r="B2" s="9" t="inlineStr">
        <is>
          <t>CATALOGUE — YELLOW JAKE</t>
        </is>
      </c>
      <c r="K2" s="2" t="n"/>
      <c r="L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2" t="n"/>
      <c r="J3" s="10" t="inlineStr">
        <is>
          <t>⬅ Accueil</t>
        </is>
      </c>
      <c r="K3" s="2" t="n"/>
      <c r="L3" s="1" t="n"/>
    </row>
    <row r="4">
      <c r="A4" s="1" t="n"/>
      <c r="B4" s="11" t="inlineStr">
        <is>
          <t>Coût unitaire = coût du craft ÷ unités par craft. Catégorie, unités/craft et prix de vente modifiables (cases blanches).</t>
        </is>
      </c>
      <c r="K4" s="2" t="n"/>
      <c r="L4" s="1" t="n"/>
    </row>
    <row r="5">
      <c r="A5" s="1" t="n"/>
      <c r="B5" s="2" t="n"/>
      <c r="C5" s="2" t="n"/>
      <c r="D5" s="2" t="n"/>
      <c r="E5" s="2" t="n"/>
      <c r="F5" s="2" t="n"/>
      <c r="G5" s="2" t="n"/>
      <c r="H5" s="2" t="n"/>
      <c r="I5" s="2" t="n"/>
      <c r="J5" s="2" t="n"/>
      <c r="K5" s="2" t="n"/>
      <c r="L5" s="1" t="n"/>
    </row>
    <row r="6" ht="32" customHeight="1">
      <c r="A6" s="1" t="n"/>
      <c r="B6" s="76" t="inlineStr">
        <is>
          <t>Produit</t>
        </is>
      </c>
      <c r="C6" s="77" t="inlineStr">
        <is>
          <t>Catégorie</t>
        </is>
      </c>
      <c r="D6" s="78" t="inlineStr">
        <is>
          <t>Coût du craft</t>
        </is>
      </c>
      <c r="E6" s="79" t="inlineStr">
        <is>
          <t>Unités / craft</t>
        </is>
      </c>
      <c r="F6" s="78" t="inlineStr">
        <is>
          <t>Coût unitaire</t>
        </is>
      </c>
      <c r="G6" s="69" t="inlineStr">
        <is>
          <t>Prix de vente</t>
        </is>
      </c>
      <c r="H6" s="33" t="inlineStr">
        <is>
          <t>Bénéfice / unité</t>
        </is>
      </c>
      <c r="I6" s="33" t="inlineStr">
        <is>
          <t>Marge</t>
        </is>
      </c>
      <c r="J6" s="33" t="inlineStr">
        <is>
          <t>Bénéfice / craft</t>
        </is>
      </c>
      <c r="K6" s="2" t="n"/>
      <c r="L6" s="1" t="n"/>
    </row>
    <row r="7">
      <c r="A7" s="1" t="n"/>
      <c r="B7" s="66" t="inlineStr">
        <is>
          <t>Téquila</t>
        </is>
      </c>
      <c r="C7" s="26" t="inlineStr">
        <is>
          <t>Alcool</t>
        </is>
      </c>
      <c r="D7" s="80">
        <f>SUMPRODUCT(Recettes!$C$7:$L$7,Recettes!C8:L8)</f>
        <v/>
      </c>
      <c r="E7" s="28" t="n">
        <v>5</v>
      </c>
      <c r="F7" s="80">
        <f>IFERROR(D7/E7,0)</f>
        <v/>
      </c>
      <c r="G7" s="81" t="n">
        <v>240</v>
      </c>
      <c r="H7" s="82">
        <f>G7-F7</f>
        <v/>
      </c>
      <c r="I7" s="83">
        <f>IFERROR(H7/G7,0)</f>
        <v/>
      </c>
      <c r="J7" s="80">
        <f>E7*G7-D7</f>
        <v/>
      </c>
      <c r="K7" s="2" t="n"/>
      <c r="L7" s="1" t="n"/>
    </row>
    <row r="8">
      <c r="A8" s="1" t="n"/>
      <c r="B8" s="66" t="inlineStr">
        <is>
          <t>Shot</t>
        </is>
      </c>
      <c r="C8" s="26" t="inlineStr">
        <is>
          <t>Alcool</t>
        </is>
      </c>
      <c r="D8" s="80">
        <f>SUMPRODUCT(Recettes!$C$7:$L$7,Recettes!C9:L9)</f>
        <v/>
      </c>
      <c r="E8" s="28" t="n">
        <v>5</v>
      </c>
      <c r="F8" s="80">
        <f>IFERROR(D8/E8,0)</f>
        <v/>
      </c>
      <c r="G8" s="81" t="n">
        <v>120</v>
      </c>
      <c r="H8" s="82">
        <f>G8-F8</f>
        <v/>
      </c>
      <c r="I8" s="83">
        <f>IFERROR(H8/G8,0)</f>
        <v/>
      </c>
      <c r="J8" s="80">
        <f>E8*G8-D8</f>
        <v/>
      </c>
      <c r="K8" s="2" t="n"/>
      <c r="L8" s="1" t="n"/>
    </row>
    <row r="9">
      <c r="A9" s="1" t="n"/>
      <c r="B9" s="66" t="inlineStr">
        <is>
          <t>Bière</t>
        </is>
      </c>
      <c r="C9" s="26" t="inlineStr">
        <is>
          <t>Alcool</t>
        </is>
      </c>
      <c r="D9" s="80">
        <f>SUMPRODUCT(Recettes!$C$7:$L$7,Recettes!C10:L10)</f>
        <v/>
      </c>
      <c r="E9" s="28" t="n">
        <v>5</v>
      </c>
      <c r="F9" s="80">
        <f>IFERROR(D9/E9,0)</f>
        <v/>
      </c>
      <c r="G9" s="81" t="n">
        <v>150</v>
      </c>
      <c r="H9" s="82">
        <f>G9-F9</f>
        <v/>
      </c>
      <c r="I9" s="83">
        <f>IFERROR(H9/G9,0)</f>
        <v/>
      </c>
      <c r="J9" s="80">
        <f>E9*G9-D9</f>
        <v/>
      </c>
      <c r="K9" s="2" t="n"/>
      <c r="L9" s="1" t="n"/>
    </row>
    <row r="10">
      <c r="A10" s="1" t="n"/>
      <c r="B10" s="66" t="inlineStr">
        <is>
          <t>Whisky</t>
        </is>
      </c>
      <c r="C10" s="26" t="inlineStr">
        <is>
          <t>Alcool</t>
        </is>
      </c>
      <c r="D10" s="80">
        <f>SUMPRODUCT(Recettes!$C$7:$L$7,Recettes!C11:L11)</f>
        <v/>
      </c>
      <c r="E10" s="28" t="n">
        <v>5</v>
      </c>
      <c r="F10" s="80">
        <f>IFERROR(D10/E10,0)</f>
        <v/>
      </c>
      <c r="G10" s="81" t="n">
        <v>250</v>
      </c>
      <c r="H10" s="82">
        <f>G10-F10</f>
        <v/>
      </c>
      <c r="I10" s="83">
        <f>IFERROR(H10/G10,0)</f>
        <v/>
      </c>
      <c r="J10" s="80">
        <f>E10*G10-D10</f>
        <v/>
      </c>
      <c r="K10" s="2" t="n"/>
      <c r="L10" s="1" t="n"/>
    </row>
    <row r="11">
      <c r="A11" s="1" t="n"/>
      <c r="B11" s="66" t="inlineStr">
        <is>
          <t>Limonade</t>
        </is>
      </c>
      <c r="C11" s="26" t="inlineStr">
        <is>
          <t>Soft</t>
        </is>
      </c>
      <c r="D11" s="80">
        <f>SUMPRODUCT(Recettes!$C$7:$L$7,Recettes!C12:L12)</f>
        <v/>
      </c>
      <c r="E11" s="28" t="n">
        <v>5</v>
      </c>
      <c r="F11" s="80">
        <f>IFERROR(D11/E11,0)</f>
        <v/>
      </c>
      <c r="G11" s="81" t="n">
        <v>90</v>
      </c>
      <c r="H11" s="82">
        <f>G11-F11</f>
        <v/>
      </c>
      <c r="I11" s="83">
        <f>IFERROR(H11/G11,0)</f>
        <v/>
      </c>
      <c r="J11" s="80">
        <f>E11*G11-D11</f>
        <v/>
      </c>
      <c r="K11" s="2" t="n"/>
      <c r="L11" s="1" t="n"/>
    </row>
    <row r="12">
      <c r="A12" s="1" t="n"/>
      <c r="B12" s="66" t="inlineStr">
        <is>
          <t>Jus d'orange</t>
        </is>
      </c>
      <c r="C12" s="26" t="inlineStr">
        <is>
          <t>Soft</t>
        </is>
      </c>
      <c r="D12" s="80">
        <f>SUMPRODUCT(Recettes!$C$7:$L$7,Recettes!C13:L13)</f>
        <v/>
      </c>
      <c r="E12" s="28" t="n">
        <v>5</v>
      </c>
      <c r="F12" s="80">
        <f>IFERROR(D12/E12,0)</f>
        <v/>
      </c>
      <c r="G12" s="81" t="n">
        <v>110</v>
      </c>
      <c r="H12" s="82">
        <f>G12-F12</f>
        <v/>
      </c>
      <c r="I12" s="83">
        <f>IFERROR(H12/G12,0)</f>
        <v/>
      </c>
      <c r="J12" s="80">
        <f>E12*G12-D12</f>
        <v/>
      </c>
      <c r="K12" s="2" t="n"/>
      <c r="L12" s="1" t="n"/>
    </row>
    <row r="13">
      <c r="A13" s="1" t="n"/>
      <c r="B13" s="66" t="inlineStr">
        <is>
          <t>Cola</t>
        </is>
      </c>
      <c r="C13" s="26" t="inlineStr">
        <is>
          <t>Soft</t>
        </is>
      </c>
      <c r="D13" s="80">
        <f>SUMPRODUCT(Recettes!$C$7:$L$7,Recettes!C14:L14)</f>
        <v/>
      </c>
      <c r="E13" s="28" t="n">
        <v>5</v>
      </c>
      <c r="F13" s="80">
        <f>IFERROR(D13/E13,0)</f>
        <v/>
      </c>
      <c r="G13" s="81" t="n">
        <v>100</v>
      </c>
      <c r="H13" s="82">
        <f>G13-F13</f>
        <v/>
      </c>
      <c r="I13" s="83">
        <f>IFERROR(H13/G13,0)</f>
        <v/>
      </c>
      <c r="J13" s="80">
        <f>E13*G13-D13</f>
        <v/>
      </c>
      <c r="K13" s="2" t="n"/>
      <c r="L13" s="1" t="n"/>
    </row>
    <row r="14">
      <c r="A14" s="1" t="n"/>
      <c r="B14" s="66" t="inlineStr">
        <is>
          <t>Boisson énergisante</t>
        </is>
      </c>
      <c r="C14" s="26" t="inlineStr">
        <is>
          <t>Soft</t>
        </is>
      </c>
      <c r="D14" s="80">
        <f>SUMPRODUCT(Recettes!$C$7:$L$7,Recettes!C15:L15)</f>
        <v/>
      </c>
      <c r="E14" s="28" t="n">
        <v>5</v>
      </c>
      <c r="F14" s="80">
        <f>IFERROR(D14/E14,0)</f>
        <v/>
      </c>
      <c r="G14" s="81" t="n">
        <v>180</v>
      </c>
      <c r="H14" s="82">
        <f>G14-F14</f>
        <v/>
      </c>
      <c r="I14" s="83">
        <f>IFERROR(H14/G14,0)</f>
        <v/>
      </c>
      <c r="J14" s="80">
        <f>E14*G14-D14</f>
        <v/>
      </c>
      <c r="K14" s="2" t="n"/>
      <c r="L14" s="1" t="n"/>
    </row>
    <row r="15">
      <c r="A15" s="1" t="n"/>
      <c r="B15" s="66" t="inlineStr">
        <is>
          <t>BlackRider</t>
        </is>
      </c>
      <c r="C15" s="26" t="inlineStr">
        <is>
          <t>Cocktail</t>
        </is>
      </c>
      <c r="D15" s="80">
        <f>SUMPRODUCT(Recettes!$C$7:$L$7,Recettes!C16:L16)</f>
        <v/>
      </c>
      <c r="E15" s="28" t="n">
        <v>5</v>
      </c>
      <c r="F15" s="80">
        <f>IFERROR(D15/E15,0)</f>
        <v/>
      </c>
      <c r="G15" s="81" t="n">
        <v>210</v>
      </c>
      <c r="H15" s="82">
        <f>G15-F15</f>
        <v/>
      </c>
      <c r="I15" s="83">
        <f>IFERROR(H15/G15,0)</f>
        <v/>
      </c>
      <c r="J15" s="80">
        <f>E15*G15-D15</f>
        <v/>
      </c>
      <c r="K15" s="2" t="n"/>
      <c r="L15" s="1" t="n"/>
    </row>
    <row r="16">
      <c r="A16" s="1" t="n"/>
      <c r="B16" s="66" t="inlineStr">
        <is>
          <t>Burning Wheel</t>
        </is>
      </c>
      <c r="C16" s="26" t="inlineStr">
        <is>
          <t>Cocktail</t>
        </is>
      </c>
      <c r="D16" s="80">
        <f>SUMPRODUCT(Recettes!$C$7:$L$7,Recettes!C17:L17)</f>
        <v/>
      </c>
      <c r="E16" s="28" t="n">
        <v>5</v>
      </c>
      <c r="F16" s="80">
        <f>IFERROR(D16/E16,0)</f>
        <v/>
      </c>
      <c r="G16" s="81" t="n">
        <v>220</v>
      </c>
      <c r="H16" s="82">
        <f>G16-F16</f>
        <v/>
      </c>
      <c r="I16" s="83">
        <f>IFERROR(H16/G16,0)</f>
        <v/>
      </c>
      <c r="J16" s="80">
        <f>E16*G16-D16</f>
        <v/>
      </c>
      <c r="K16" s="2" t="n"/>
      <c r="L16" s="1" t="n"/>
    </row>
    <row r="17">
      <c r="A17" s="1" t="n"/>
      <c r="B17" s="66" t="inlineStr">
        <is>
          <t>Ghost Road</t>
        </is>
      </c>
      <c r="C17" s="26" t="inlineStr">
        <is>
          <t>Cocktail</t>
        </is>
      </c>
      <c r="D17" s="80">
        <f>SUMPRODUCT(Recettes!$C$7:$L$7,Recettes!C18:L18)</f>
        <v/>
      </c>
      <c r="E17" s="28" t="n">
        <v>5</v>
      </c>
      <c r="F17" s="80">
        <f>IFERROR(D17/E17,0)</f>
        <v/>
      </c>
      <c r="G17" s="81" t="n">
        <v>200</v>
      </c>
      <c r="H17" s="82">
        <f>G17-F17</f>
        <v/>
      </c>
      <c r="I17" s="83">
        <f>IFERROR(H17/G17,0)</f>
        <v/>
      </c>
      <c r="J17" s="80">
        <f>E17*G17-D17</f>
        <v/>
      </c>
      <c r="K17" s="2" t="n"/>
      <c r="L17" s="1" t="n"/>
    </row>
    <row r="18">
      <c r="A18" s="1" t="n"/>
      <c r="B18" s="66" t="inlineStr">
        <is>
          <t>Iron Beer</t>
        </is>
      </c>
      <c r="C18" s="26" t="inlineStr">
        <is>
          <t>Cocktail</t>
        </is>
      </c>
      <c r="D18" s="80">
        <f>SUMPRODUCT(Recettes!$C$7:$L$7,Recettes!C19:L19)</f>
        <v/>
      </c>
      <c r="E18" s="28" t="n">
        <v>5</v>
      </c>
      <c r="F18" s="80">
        <f>IFERROR(D18/E18,0)</f>
        <v/>
      </c>
      <c r="G18" s="81" t="n">
        <v>170</v>
      </c>
      <c r="H18" s="82">
        <f>G18-F18</f>
        <v/>
      </c>
      <c r="I18" s="83">
        <f>IFERROR(H18/G18,0)</f>
        <v/>
      </c>
      <c r="J18" s="80">
        <f>E18*G18-D18</f>
        <v/>
      </c>
      <c r="K18" s="2" t="n"/>
      <c r="L18" s="1" t="n"/>
    </row>
    <row r="19">
      <c r="A19" s="1" t="n"/>
      <c r="B19" s="66" t="inlineStr">
        <is>
          <t>Midnight Shot</t>
        </is>
      </c>
      <c r="C19" s="26" t="inlineStr">
        <is>
          <t>Cocktail</t>
        </is>
      </c>
      <c r="D19" s="80">
        <f>SUMPRODUCT(Recettes!$C$7:$L$7,Recettes!C20:L20)</f>
        <v/>
      </c>
      <c r="E19" s="28" t="n">
        <v>5</v>
      </c>
      <c r="F19" s="80">
        <f>IFERROR(D19/E19,0)</f>
        <v/>
      </c>
      <c r="G19" s="81" t="n">
        <v>160</v>
      </c>
      <c r="H19" s="82">
        <f>G19-F19</f>
        <v/>
      </c>
      <c r="I19" s="83">
        <f>IFERROR(H19/G19,0)</f>
        <v/>
      </c>
      <c r="J19" s="80">
        <f>E19*G19-D19</f>
        <v/>
      </c>
      <c r="K19" s="2" t="n"/>
      <c r="L19" s="1" t="n"/>
    </row>
    <row r="20">
      <c r="A20" s="1" t="n"/>
      <c r="B20" s="2" t="n"/>
      <c r="C20" s="2" t="n"/>
      <c r="D20" s="2" t="n"/>
      <c r="E20" s="2" t="n"/>
      <c r="F20" s="2" t="n"/>
      <c r="G20" s="2" t="n"/>
      <c r="H20" s="2" t="n"/>
      <c r="I20" s="2" t="n"/>
      <c r="J20" s="2" t="n"/>
      <c r="K20" s="2" t="n"/>
      <c r="L20" s="1" t="n"/>
    </row>
    <row r="21">
      <c r="A21" s="1" t="n"/>
      <c r="B21" s="2" t="n"/>
      <c r="C21" s="2" t="n"/>
      <c r="D21" s="2" t="n"/>
      <c r="E21" s="2" t="n"/>
      <c r="F21" s="2" t="n"/>
      <c r="G21" s="2" t="n"/>
      <c r="H21" s="2" t="n"/>
      <c r="I21" s="2" t="n"/>
      <c r="J21" s="2" t="n"/>
      <c r="K21" s="2" t="n"/>
      <c r="L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</row>
  </sheetData>
  <mergeCells count="2">
    <mergeCell ref="B4:J4"/>
    <mergeCell ref="B2:J2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Feuil12">
    <outlinePr summaryBelow="1" summaryRight="1"/>
    <pageSetUpPr/>
  </sheetPr>
  <dimension ref="A1:N23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3" customWidth="1" min="13" max="13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 ht="40" customHeight="1">
      <c r="A2" s="1" t="n"/>
      <c r="B2" s="9" t="inlineStr">
        <is>
          <t>RECETTES — quantités pour 1 craft (= 5 unités)</t>
        </is>
      </c>
      <c r="M2" s="2" t="n"/>
      <c r="N2" s="1" t="n"/>
    </row>
    <row r="3">
      <c r="A3" s="1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10" t="inlineStr">
        <is>
          <t>⬅ Accueil</t>
        </is>
      </c>
      <c r="M3" s="2" t="n"/>
      <c r="N3" s="1" t="n"/>
    </row>
    <row r="4">
      <c r="A4" s="1" t="n"/>
      <c r="B4" s="11" t="inlineStr">
        <is>
          <t>Ligne 7 = prix repris de l'onglet Matières. Cases blanches = quantités modifiables.</t>
        </is>
      </c>
      <c r="M4" s="2" t="n"/>
      <c r="N4" s="1" t="n"/>
    </row>
    <row r="5">
      <c r="A5" s="1" t="n"/>
      <c r="B5" s="2" t="n"/>
      <c r="C5" s="2" t="n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2" t="n"/>
      <c r="N5" s="1" t="n"/>
    </row>
    <row r="6" ht="32" customHeight="1">
      <c r="A6" s="1" t="n"/>
      <c r="B6" s="23" t="inlineStr">
        <is>
          <t>Produit</t>
        </is>
      </c>
      <c r="C6" s="23" t="inlineStr">
        <is>
          <t>Agave</t>
        </is>
      </c>
      <c r="D6" s="23" t="inlineStr">
        <is>
          <t>Orge</t>
        </is>
      </c>
      <c r="E6" s="23" t="inlineStr">
        <is>
          <t>Citron</t>
        </is>
      </c>
      <c r="F6" s="23" t="inlineStr">
        <is>
          <t>Plantes sucrées</t>
        </is>
      </c>
      <c r="G6" s="23" t="inlineStr">
        <is>
          <t>Canne à sucre</t>
        </is>
      </c>
      <c r="H6" s="23" t="inlineStr">
        <is>
          <t>Alcool</t>
        </is>
      </c>
      <c r="I6" s="23" t="inlineStr">
        <is>
          <t>Alcool distillé</t>
        </is>
      </c>
      <c r="J6" s="23" t="inlineStr">
        <is>
          <t>Eau</t>
        </is>
      </c>
      <c r="K6" s="23" t="inlineStr">
        <is>
          <t>Sucre</t>
        </is>
      </c>
      <c r="L6" s="23" t="inlineStr">
        <is>
          <t>Orange</t>
        </is>
      </c>
      <c r="M6" s="2" t="n"/>
      <c r="N6" s="1" t="n"/>
    </row>
    <row r="7">
      <c r="A7" s="1" t="n"/>
      <c r="B7" s="24" t="inlineStr">
        <is>
          <t>Prix unitaire →</t>
        </is>
      </c>
      <c r="C7" s="64">
        <f>Matières!$C$7</f>
        <v/>
      </c>
      <c r="D7" s="64">
        <f>Matières!$C$8</f>
        <v/>
      </c>
      <c r="E7" s="64">
        <f>Matières!$C$9</f>
        <v/>
      </c>
      <c r="F7" s="64">
        <f>Matières!$C$10</f>
        <v/>
      </c>
      <c r="G7" s="64">
        <f>Matières!$C$11</f>
        <v/>
      </c>
      <c r="H7" s="64">
        <f>Matières!$C$12</f>
        <v/>
      </c>
      <c r="I7" s="64">
        <f>Matières!$C$13</f>
        <v/>
      </c>
      <c r="J7" s="64">
        <f>Matières!$C$14</f>
        <v/>
      </c>
      <c r="K7" s="64">
        <f>Matières!$C$15</f>
        <v/>
      </c>
      <c r="L7" s="64">
        <f>Matières!$C$16</f>
        <v/>
      </c>
      <c r="M7" s="2" t="n"/>
      <c r="N7" s="1" t="n"/>
    </row>
    <row r="8">
      <c r="A8" s="1" t="n"/>
      <c r="B8" s="66" t="inlineStr">
        <is>
          <t>Téquila</t>
        </is>
      </c>
      <c r="C8" s="84" t="n">
        <v>1</v>
      </c>
      <c r="D8" s="84" t="n"/>
      <c r="E8" s="84" t="n"/>
      <c r="F8" s="84" t="n"/>
      <c r="G8" s="84" t="n"/>
      <c r="H8" s="84" t="n"/>
      <c r="I8" s="84" t="n">
        <v>2</v>
      </c>
      <c r="J8" s="84" t="n"/>
      <c r="K8" s="84" t="n"/>
      <c r="L8" s="84" t="n"/>
      <c r="M8" s="2" t="n"/>
      <c r="N8" s="1" t="n"/>
    </row>
    <row r="9">
      <c r="A9" s="1" t="n"/>
      <c r="B9" s="66" t="inlineStr">
        <is>
          <t>Shot</t>
        </is>
      </c>
      <c r="C9" s="84" t="n"/>
      <c r="D9" s="84" t="n"/>
      <c r="E9" s="84" t="n"/>
      <c r="F9" s="84" t="n"/>
      <c r="G9" s="84" t="n"/>
      <c r="H9" s="84" t="n"/>
      <c r="I9" s="84" t="n">
        <v>1</v>
      </c>
      <c r="J9" s="84" t="n"/>
      <c r="K9" s="84" t="n"/>
      <c r="L9" s="84" t="n"/>
      <c r="M9" s="2" t="n"/>
      <c r="N9" s="1" t="n"/>
    </row>
    <row r="10">
      <c r="A10" s="1" t="n"/>
      <c r="B10" s="66" t="inlineStr">
        <is>
          <t>Bière</t>
        </is>
      </c>
      <c r="C10" s="84" t="n"/>
      <c r="D10" s="84" t="n">
        <v>1</v>
      </c>
      <c r="E10" s="84" t="n"/>
      <c r="F10" s="84" t="n"/>
      <c r="G10" s="84" t="n"/>
      <c r="H10" s="84" t="n"/>
      <c r="I10" s="84" t="n"/>
      <c r="J10" s="84" t="n">
        <v>1</v>
      </c>
      <c r="K10" s="84" t="n"/>
      <c r="L10" s="84" t="n"/>
      <c r="M10" s="2" t="n"/>
      <c r="N10" s="1" t="n"/>
    </row>
    <row r="11">
      <c r="A11" s="1" t="n"/>
      <c r="B11" s="66" t="inlineStr">
        <is>
          <t>Whisky</t>
        </is>
      </c>
      <c r="C11" s="84" t="n"/>
      <c r="D11" s="84" t="n">
        <v>1</v>
      </c>
      <c r="E11" s="84" t="n"/>
      <c r="F11" s="84" t="n"/>
      <c r="G11" s="84" t="n"/>
      <c r="H11" s="84" t="n"/>
      <c r="I11" s="84" t="n">
        <v>2</v>
      </c>
      <c r="J11" s="84" t="n"/>
      <c r="K11" s="84" t="n"/>
      <c r="L11" s="84" t="n"/>
      <c r="M11" s="2" t="n"/>
      <c r="N11" s="1" t="n"/>
    </row>
    <row r="12">
      <c r="A12" s="1" t="n"/>
      <c r="B12" s="66" t="inlineStr">
        <is>
          <t>Limonade</t>
        </is>
      </c>
      <c r="C12" s="84" t="n"/>
      <c r="D12" s="84" t="n"/>
      <c r="E12" s="84" t="n">
        <v>1</v>
      </c>
      <c r="F12" s="84" t="n"/>
      <c r="G12" s="84" t="n"/>
      <c r="H12" s="84" t="n"/>
      <c r="I12" s="84" t="n"/>
      <c r="J12" s="84" t="n">
        <v>1</v>
      </c>
      <c r="K12" s="84" t="n">
        <v>1</v>
      </c>
      <c r="L12" s="84" t="n"/>
      <c r="M12" s="2" t="n"/>
      <c r="N12" s="1" t="n"/>
    </row>
    <row r="13">
      <c r="A13" s="1" t="n"/>
      <c r="B13" s="66" t="inlineStr">
        <is>
          <t>Jus d'orange</t>
        </is>
      </c>
      <c r="C13" s="84" t="n"/>
      <c r="D13" s="84" t="n"/>
      <c r="E13" s="84" t="n"/>
      <c r="F13" s="84" t="n"/>
      <c r="G13" s="84" t="n"/>
      <c r="H13" s="84" t="n"/>
      <c r="I13" s="84" t="n"/>
      <c r="J13" s="84" t="n"/>
      <c r="K13" s="84" t="n"/>
      <c r="L13" s="84" t="n">
        <v>4</v>
      </c>
      <c r="M13" s="2" t="n"/>
      <c r="N13" s="1" t="n"/>
    </row>
    <row r="14">
      <c r="A14" s="1" t="n"/>
      <c r="B14" s="66" t="inlineStr">
        <is>
          <t>Cola</t>
        </is>
      </c>
      <c r="C14" s="84" t="n"/>
      <c r="D14" s="84" t="n"/>
      <c r="E14" s="84" t="n"/>
      <c r="F14" s="84" t="n"/>
      <c r="G14" s="84" t="n"/>
      <c r="H14" s="84" t="n"/>
      <c r="I14" s="84" t="n"/>
      <c r="J14" s="84" t="n">
        <v>1</v>
      </c>
      <c r="K14" s="84" t="n">
        <v>1</v>
      </c>
      <c r="L14" s="84" t="n"/>
      <c r="M14" s="2" t="n"/>
      <c r="N14" s="1" t="n"/>
    </row>
    <row r="15">
      <c r="A15" s="1" t="n"/>
      <c r="B15" s="66" t="inlineStr">
        <is>
          <t>Boisson énergisante</t>
        </is>
      </c>
      <c r="C15" s="84" t="n"/>
      <c r="D15" s="84" t="n"/>
      <c r="E15" s="84" t="n"/>
      <c r="F15" s="84" t="n">
        <v>1</v>
      </c>
      <c r="G15" s="84" t="n"/>
      <c r="H15" s="84" t="n"/>
      <c r="I15" s="84" t="n"/>
      <c r="J15" s="84" t="n">
        <v>1</v>
      </c>
      <c r="K15" s="84" t="n">
        <v>1</v>
      </c>
      <c r="L15" s="84" t="n"/>
      <c r="M15" s="2" t="n"/>
      <c r="N15" s="1" t="n"/>
    </row>
    <row r="16">
      <c r="A16" s="1" t="n"/>
      <c r="B16" s="66" t="inlineStr">
        <is>
          <t>BlackRider</t>
        </is>
      </c>
      <c r="C16" s="84" t="n"/>
      <c r="D16" s="84" t="n"/>
      <c r="E16" s="84" t="n"/>
      <c r="F16" s="84" t="n"/>
      <c r="G16" s="84" t="n"/>
      <c r="H16" s="84" t="n"/>
      <c r="I16" s="84" t="n">
        <v>2</v>
      </c>
      <c r="J16" s="84" t="n">
        <v>1</v>
      </c>
      <c r="K16" s="84" t="n"/>
      <c r="L16" s="84" t="n"/>
      <c r="M16" s="2" t="n"/>
      <c r="N16" s="1" t="n"/>
    </row>
    <row r="17">
      <c r="A17" s="1" t="n"/>
      <c r="B17" s="66" t="inlineStr">
        <is>
          <t>Burning Wheel</t>
        </is>
      </c>
      <c r="C17" s="84" t="n"/>
      <c r="D17" s="84" t="n"/>
      <c r="E17" s="84" t="n"/>
      <c r="F17" s="84" t="n"/>
      <c r="G17" s="84" t="n">
        <v>2</v>
      </c>
      <c r="H17" s="84" t="n"/>
      <c r="I17" s="84" t="n"/>
      <c r="J17" s="84" t="n">
        <v>1</v>
      </c>
      <c r="K17" s="84" t="n"/>
      <c r="L17" s="84" t="n"/>
      <c r="M17" s="2" t="n"/>
      <c r="N17" s="1" t="n"/>
    </row>
    <row r="18">
      <c r="A18" s="1" t="n"/>
      <c r="B18" s="66" t="inlineStr">
        <is>
          <t>Ghost Road</t>
        </is>
      </c>
      <c r="C18" s="84" t="n"/>
      <c r="D18" s="84" t="n"/>
      <c r="E18" s="84" t="n">
        <v>2</v>
      </c>
      <c r="F18" s="84" t="n"/>
      <c r="G18" s="84" t="n"/>
      <c r="H18" s="84" t="n"/>
      <c r="I18" s="84" t="n"/>
      <c r="J18" s="84" t="n">
        <v>1</v>
      </c>
      <c r="K18" s="84" t="n"/>
      <c r="L18" s="84" t="n"/>
      <c r="M18" s="2" t="n"/>
      <c r="N18" s="1" t="n"/>
    </row>
    <row r="19">
      <c r="A19" s="1" t="n"/>
      <c r="B19" s="66" t="inlineStr">
        <is>
          <t>Iron Beer</t>
        </is>
      </c>
      <c r="C19" s="84" t="n"/>
      <c r="D19" s="84" t="n">
        <v>2</v>
      </c>
      <c r="E19" s="84" t="n"/>
      <c r="F19" s="84" t="n"/>
      <c r="G19" s="84" t="n"/>
      <c r="H19" s="84" t="n"/>
      <c r="I19" s="84" t="n"/>
      <c r="J19" s="84" t="n">
        <v>1</v>
      </c>
      <c r="K19" s="84" t="n"/>
      <c r="L19" s="84" t="n"/>
      <c r="M19" s="2" t="n"/>
      <c r="N19" s="1" t="n"/>
    </row>
    <row r="20">
      <c r="A20" s="1" t="n"/>
      <c r="B20" s="66" t="inlineStr">
        <is>
          <t>Midnight Shot</t>
        </is>
      </c>
      <c r="C20" s="84" t="n"/>
      <c r="D20" s="84" t="n"/>
      <c r="E20" s="84" t="n"/>
      <c r="F20" s="84" t="n"/>
      <c r="G20" s="84" t="n"/>
      <c r="H20" s="84" t="n">
        <v>1</v>
      </c>
      <c r="I20" s="84" t="n"/>
      <c r="J20" s="84" t="n">
        <v>1</v>
      </c>
      <c r="K20" s="84" t="n">
        <v>1</v>
      </c>
      <c r="L20" s="84" t="n">
        <v>1</v>
      </c>
      <c r="M20" s="2" t="n"/>
      <c r="N20" s="1" t="n"/>
    </row>
    <row r="21">
      <c r="A21" s="1" t="n"/>
      <c r="B21" s="2" t="n"/>
      <c r="C21" s="2" t="n"/>
      <c r="D21" s="2" t="n"/>
      <c r="E21" s="2" t="n"/>
      <c r="F21" s="2" t="n"/>
      <c r="G21" s="2" t="n"/>
      <c r="H21" s="2" t="n"/>
      <c r="I21" s="2" t="n"/>
      <c r="J21" s="2" t="n"/>
      <c r="K21" s="2" t="n"/>
      <c r="L21" s="2" t="n"/>
      <c r="M21" s="2" t="n"/>
      <c r="N21" s="1" t="n"/>
    </row>
    <row r="22">
      <c r="A22" s="1" t="n"/>
      <c r="B22" s="2" t="n"/>
      <c r="C22" s="2" t="n"/>
      <c r="D22" s="2" t="n"/>
      <c r="E22" s="2" t="n"/>
      <c r="F22" s="2" t="n"/>
      <c r="G22" s="2" t="n"/>
      <c r="H22" s="2" t="n"/>
      <c r="I22" s="2" t="n"/>
      <c r="J22" s="2" t="n"/>
      <c r="K22" s="2" t="n"/>
      <c r="L22" s="2" t="n"/>
      <c r="M22" s="2" t="n"/>
      <c r="N22" s="1" t="n"/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</row>
  </sheetData>
  <mergeCells count="2">
    <mergeCell ref="B2:L2"/>
    <mergeCell ref="B4:L4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Feuil13">
    <outlinePr summaryBelow="1" summaryRight="1"/>
    <pageSetUpPr/>
  </sheetPr>
  <dimension ref="A1:E18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20" customWidth="1" min="4" max="4"/>
    <col width="3" customWidth="1" min="5" max="5"/>
  </cols>
  <sheetData>
    <row r="1">
      <c r="A1" s="1" t="n"/>
      <c r="B1" s="1" t="n"/>
      <c r="C1" s="1" t="n"/>
      <c r="D1" s="1" t="n"/>
      <c r="E1" s="1" t="n"/>
    </row>
    <row r="2" ht="40" customHeight="1">
      <c r="A2" s="1" t="n"/>
      <c r="B2" s="9" t="inlineStr">
        <is>
          <t>MATIÈRES PREMIÈRES</t>
        </is>
      </c>
      <c r="E2" s="1" t="n"/>
    </row>
    <row r="3">
      <c r="A3" s="1" t="n"/>
      <c r="B3" s="2" t="n"/>
      <c r="C3" s="2" t="n"/>
      <c r="D3" s="10" t="inlineStr">
        <is>
          <t>⬅ Accueil</t>
        </is>
      </c>
      <c r="E3" s="1" t="n"/>
    </row>
    <row r="4">
      <c r="A4" s="1" t="n"/>
      <c r="B4" s="11" t="inlineStr">
        <is>
          <t>Prix d'achat unitaire. Cases blanches modifiables : tous les coûts se recalculent.</t>
        </is>
      </c>
      <c r="E4" s="1" t="n"/>
    </row>
    <row r="5">
      <c r="A5" s="1" t="n"/>
      <c r="B5" s="2" t="n"/>
      <c r="C5" s="2" t="n"/>
      <c r="D5" s="2" t="n"/>
      <c r="E5" s="1" t="n"/>
    </row>
    <row r="6" ht="32" customHeight="1">
      <c r="A6" s="1" t="n"/>
      <c r="B6" s="23" t="inlineStr">
        <is>
          <t>Matière</t>
        </is>
      </c>
      <c r="C6" s="23" t="inlineStr">
        <is>
          <t>Prix unitaire</t>
        </is>
      </c>
      <c r="D6" s="2" t="n"/>
      <c r="E6" s="1" t="n"/>
    </row>
    <row r="7">
      <c r="A7" s="1" t="n"/>
      <c r="B7" s="66" t="inlineStr">
        <is>
          <t>Agave</t>
        </is>
      </c>
      <c r="C7" s="73" t="n">
        <v>21</v>
      </c>
      <c r="D7" s="2" t="n"/>
      <c r="E7" s="1" t="n"/>
    </row>
    <row r="8">
      <c r="A8" s="1" t="n"/>
      <c r="B8" s="66" t="inlineStr">
        <is>
          <t>Orge</t>
        </is>
      </c>
      <c r="C8" s="73" t="n">
        <v>10</v>
      </c>
      <c r="D8" s="2" t="n"/>
      <c r="E8" s="1" t="n"/>
    </row>
    <row r="9">
      <c r="A9" s="1" t="n"/>
      <c r="B9" s="66" t="inlineStr">
        <is>
          <t>Citron</t>
        </is>
      </c>
      <c r="C9" s="73" t="n">
        <v>7</v>
      </c>
      <c r="D9" s="2" t="n"/>
      <c r="E9" s="1" t="n"/>
    </row>
    <row r="10">
      <c r="A10" s="1" t="n"/>
      <c r="B10" s="66" t="inlineStr">
        <is>
          <t>Plantes sucrées</t>
        </is>
      </c>
      <c r="C10" s="73" t="n">
        <v>13</v>
      </c>
      <c r="D10" s="2" t="n"/>
      <c r="E10" s="1" t="n"/>
    </row>
    <row r="11">
      <c r="A11" s="1" t="n"/>
      <c r="B11" s="66" t="inlineStr">
        <is>
          <t>Canne à sucre</t>
        </is>
      </c>
      <c r="C11" s="73" t="n">
        <v>12</v>
      </c>
      <c r="D11" s="2" t="n"/>
      <c r="E11" s="1" t="n"/>
    </row>
    <row r="12">
      <c r="A12" s="1" t="n"/>
      <c r="B12" s="66" t="inlineStr">
        <is>
          <t>Alcool</t>
        </is>
      </c>
      <c r="C12" s="73" t="n">
        <v>50</v>
      </c>
      <c r="D12" s="2" t="n"/>
      <c r="E12" s="1" t="n"/>
    </row>
    <row r="13">
      <c r="A13" s="1" t="n"/>
      <c r="B13" s="66" t="inlineStr">
        <is>
          <t>Alcool distillé</t>
        </is>
      </c>
      <c r="C13" s="73" t="n">
        <v>50</v>
      </c>
      <c r="D13" s="2" t="n"/>
      <c r="E13" s="1" t="n"/>
    </row>
    <row r="14">
      <c r="A14" s="1" t="n"/>
      <c r="B14" s="66" t="inlineStr">
        <is>
          <t>Eau</t>
        </is>
      </c>
      <c r="C14" s="73" t="n">
        <v>6</v>
      </c>
      <c r="D14" s="2" t="n"/>
      <c r="E14" s="1" t="n"/>
    </row>
    <row r="15">
      <c r="A15" s="1" t="n"/>
      <c r="B15" s="66" t="inlineStr">
        <is>
          <t>Sucre</t>
        </is>
      </c>
      <c r="C15" s="73" t="n">
        <v>6</v>
      </c>
      <c r="D15" s="2" t="n"/>
      <c r="E15" s="1" t="n"/>
    </row>
    <row r="16">
      <c r="A16" s="1" t="n"/>
      <c r="B16" s="66" t="inlineStr">
        <is>
          <t>Orange</t>
        </is>
      </c>
      <c r="C16" s="73" t="n">
        <v>10</v>
      </c>
      <c r="D16" s="2" t="n"/>
      <c r="E16" s="1" t="n"/>
    </row>
    <row r="17">
      <c r="A17" s="1" t="n"/>
      <c r="B17" s="2" t="n"/>
      <c r="C17" s="2" t="n"/>
      <c r="D17" s="2" t="n"/>
      <c r="E17" s="1" t="n"/>
    </row>
    <row r="18">
      <c r="A18" s="1" t="n"/>
      <c r="B18" s="1" t="n"/>
      <c r="C18" s="1" t="n"/>
      <c r="D18" s="1" t="n"/>
      <c r="E18" s="1" t="n"/>
    </row>
  </sheetData>
  <mergeCells count="2">
    <mergeCell ref="B2:D2"/>
    <mergeCell ref="B4:D4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Feuil14">
    <outlinePr summaryBelow="1" summaryRight="1"/>
    <pageSetUpPr/>
  </sheetPr>
  <dimension ref="A1:F26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4" customWidth="1" min="2" max="2"/>
    <col width="18" customWidth="1" min="3" max="3"/>
    <col width="18" customWidth="1" min="4" max="4"/>
    <col width="30" customWidth="1" min="5" max="5"/>
    <col width="3" customWidth="1" min="6" max="6"/>
  </cols>
  <sheetData>
    <row r="1">
      <c r="A1" s="1" t="n"/>
      <c r="B1" s="1" t="n"/>
      <c r="C1" s="1" t="n"/>
      <c r="D1" s="1" t="n"/>
      <c r="E1" s="1" t="n"/>
      <c r="F1" s="1" t="n"/>
    </row>
    <row r="2" ht="40" customHeight="1">
      <c r="A2" s="1" t="n"/>
      <c r="B2" s="9" t="inlineStr">
        <is>
          <t>PARAMÈTRES — grades, primes, taxe</t>
        </is>
      </c>
      <c r="F2" s="1" t="n"/>
    </row>
    <row r="3">
      <c r="A3" s="1" t="n"/>
      <c r="B3" s="2" t="n"/>
      <c r="C3" s="2" t="n"/>
      <c r="D3" s="2" t="n"/>
      <c r="E3" s="10" t="inlineStr">
        <is>
          <t>⬅ Accueil</t>
        </is>
      </c>
      <c r="F3" s="1" t="n"/>
    </row>
    <row r="4">
      <c r="A4" s="1" t="n"/>
      <c r="B4" s="11" t="inlineStr">
        <is>
          <t>Valeurs reprises du fichier modèle (Fairy Motor) : vérifie-les et adapte-les aux règles de Yellow Jake.</t>
        </is>
      </c>
      <c r="F4" s="1" t="n"/>
    </row>
    <row r="5">
      <c r="A5" s="1" t="n"/>
      <c r="B5" s="2" t="n"/>
      <c r="C5" s="2" t="n"/>
      <c r="D5" s="2" t="n"/>
      <c r="E5" s="2" t="n"/>
      <c r="F5" s="1" t="n"/>
    </row>
    <row r="6" ht="32" customHeight="1">
      <c r="A6" s="1" t="n"/>
      <c r="B6" s="23" t="inlineStr">
        <is>
          <t>Grade</t>
        </is>
      </c>
      <c r="C6" s="23" t="inlineStr">
        <is>
          <t>Prime (% du bénéfice)</t>
        </is>
      </c>
      <c r="D6" s="2" t="n"/>
      <c r="E6" s="2" t="n"/>
      <c r="F6" s="1" t="n"/>
    </row>
    <row r="7">
      <c r="A7" s="1" t="n"/>
      <c r="B7" s="85" t="inlineStr">
        <is>
          <t>👑・Patron</t>
        </is>
      </c>
      <c r="C7" s="86" t="n">
        <v>0.3</v>
      </c>
      <c r="D7" s="2" t="n"/>
      <c r="E7" s="2" t="n"/>
      <c r="F7" s="1" t="n"/>
    </row>
    <row r="8">
      <c r="A8" s="1" t="n"/>
      <c r="B8" s="87" t="inlineStr">
        <is>
          <t>💎・Co-Patron</t>
        </is>
      </c>
      <c r="C8" s="86" t="n">
        <v>0.25</v>
      </c>
      <c r="D8" s="2" t="n"/>
      <c r="E8" s="2" t="n"/>
      <c r="F8" s="1" t="n"/>
    </row>
    <row r="9">
      <c r="A9" s="1" t="n"/>
      <c r="B9" s="88" t="inlineStr">
        <is>
          <t>✨・Manager</t>
        </is>
      </c>
      <c r="C9" s="86" t="n">
        <v>0.2</v>
      </c>
      <c r="D9" s="2" t="n"/>
      <c r="E9" s="2" t="n"/>
      <c r="F9" s="1" t="n"/>
    </row>
    <row r="10">
      <c r="A10" s="1" t="n"/>
      <c r="B10" s="89" t="inlineStr">
        <is>
          <t>🍸・Barman expérimenté</t>
        </is>
      </c>
      <c r="C10" s="86" t="n">
        <v>0.15</v>
      </c>
      <c r="D10" s="2" t="n"/>
      <c r="E10" s="2" t="n"/>
      <c r="F10" s="1" t="n"/>
    </row>
    <row r="11">
      <c r="A11" s="1" t="n"/>
      <c r="B11" s="90" t="inlineStr">
        <is>
          <t>🍺・Barman confirmé</t>
        </is>
      </c>
      <c r="C11" s="86" t="n">
        <v>0.1</v>
      </c>
      <c r="D11" s="2" t="n"/>
      <c r="E11" s="2" t="n"/>
      <c r="F11" s="1" t="n"/>
    </row>
    <row r="12">
      <c r="A12" s="1" t="n"/>
      <c r="B12" s="91" t="inlineStr">
        <is>
          <t>🧼・Apprenti barman</t>
        </is>
      </c>
      <c r="C12" s="86" t="n">
        <v>0.05</v>
      </c>
      <c r="D12" s="2" t="n"/>
      <c r="E12" s="2" t="n"/>
      <c r="F12" s="1" t="n"/>
    </row>
    <row r="13">
      <c r="A13" s="1" t="n"/>
      <c r="B13" s="2" t="n"/>
      <c r="C13" s="2" t="n"/>
      <c r="D13" s="2" t="n"/>
      <c r="E13" s="2" t="n"/>
      <c r="F13" s="1" t="n"/>
    </row>
    <row r="14">
      <c r="A14" s="1" t="n"/>
      <c r="B14" s="23" t="inlineStr">
        <is>
          <t>Prime maximum par employé (semaine)</t>
        </is>
      </c>
      <c r="C14" s="58" t="n">
        <v>50000</v>
      </c>
      <c r="D14" s="2" t="n"/>
      <c r="E14" s="2" t="n"/>
      <c r="F14" s="1" t="n"/>
    </row>
    <row r="15">
      <c r="A15" s="1" t="n"/>
      <c r="B15" s="2" t="n"/>
      <c r="C15" s="2" t="n"/>
      <c r="D15" s="2" t="n"/>
      <c r="E15" s="2" t="n"/>
      <c r="F15" s="1" t="n"/>
    </row>
    <row r="16" ht="32" customHeight="1">
      <c r="A16" s="1" t="n"/>
      <c r="B16" s="23" t="inlineStr">
        <is>
          <t>Taxe : bénéfice de la semaine jusqu'à…</t>
        </is>
      </c>
      <c r="C16" s="23" t="inlineStr">
        <is>
          <t>Taux</t>
        </is>
      </c>
      <c r="D16" s="23" t="inlineStr">
        <is>
          <t>Appliqué sur</t>
        </is>
      </c>
      <c r="E16" s="2" t="n"/>
      <c r="F16" s="1" t="n"/>
    </row>
    <row r="17">
      <c r="A17" s="1" t="n"/>
      <c r="B17" s="44" t="n">
        <v>50000</v>
      </c>
      <c r="C17" s="86" t="n">
        <v>0.05</v>
      </c>
      <c r="D17" s="72" t="inlineStr">
        <is>
          <t>Chiffre d'affaires</t>
        </is>
      </c>
      <c r="E17" s="11" t="inlineStr">
        <is>
          <t>Règle du modèle : jusqu'à 50 000 $ de bénéfice, la taxe = 5 % du CA ; ensuite % du bénéfice.</t>
        </is>
      </c>
      <c r="F17" s="1" t="n"/>
    </row>
    <row r="18">
      <c r="A18" s="1" t="n"/>
      <c r="B18" s="44" t="n">
        <v>150000</v>
      </c>
      <c r="C18" s="86" t="n">
        <v>0.1</v>
      </c>
      <c r="D18" s="72" t="inlineStr">
        <is>
          <t>Bénéfice</t>
        </is>
      </c>
      <c r="E18" s="2" t="n"/>
      <c r="F18" s="1" t="n"/>
    </row>
    <row r="19">
      <c r="A19" s="1" t="n"/>
      <c r="B19" s="44" t="n">
        <v>300000</v>
      </c>
      <c r="C19" s="86" t="n">
        <v>0.15</v>
      </c>
      <c r="D19" s="72" t="inlineStr">
        <is>
          <t>Bénéfice</t>
        </is>
      </c>
      <c r="E19" s="2" t="n"/>
      <c r="F19" s="1" t="n"/>
    </row>
    <row r="20">
      <c r="A20" s="1" t="n"/>
      <c r="B20" s="92" t="inlineStr">
        <is>
          <t>au-delà</t>
        </is>
      </c>
      <c r="C20" s="86" t="n">
        <v>0.2</v>
      </c>
      <c r="D20" s="72" t="inlineStr">
        <is>
          <t>Bénéfice</t>
        </is>
      </c>
      <c r="E20" s="2" t="n"/>
      <c r="F20" s="1" t="n"/>
    </row>
    <row r="21">
      <c r="A21" s="1" t="n"/>
      <c r="B21" s="2" t="n"/>
      <c r="C21" s="2" t="n"/>
      <c r="D21" s="2" t="n"/>
      <c r="E21" s="2" t="n"/>
      <c r="F21" s="1" t="n"/>
    </row>
    <row r="22">
      <c r="A22" s="1" t="n"/>
      <c r="B22" s="2" t="n"/>
      <c r="C22" s="2" t="n"/>
      <c r="D22" s="2" t="n"/>
      <c r="E22" s="2" t="n"/>
      <c r="F22" s="1" t="n"/>
    </row>
    <row r="23">
      <c r="A23" s="1" t="n"/>
      <c r="B23" s="2" t="n"/>
      <c r="C23" s="2" t="n"/>
      <c r="D23" s="2" t="n"/>
      <c r="E23" s="2" t="n"/>
      <c r="F23" s="1" t="n"/>
    </row>
    <row r="24">
      <c r="A24" s="1" t="n"/>
      <c r="B24" s="2" t="n"/>
      <c r="C24" s="2" t="n"/>
      <c r="D24" s="2" t="n"/>
      <c r="E24" s="2" t="n"/>
      <c r="F24" s="1" t="n"/>
    </row>
    <row r="25">
      <c r="A25" s="1" t="n"/>
      <c r="B25" s="2" t="n"/>
      <c r="C25" s="2" t="n"/>
      <c r="D25" s="2" t="n"/>
      <c r="E25" s="2" t="n"/>
      <c r="F25" s="1" t="n"/>
    </row>
    <row r="26">
      <c r="A26" s="1" t="n"/>
      <c r="B26" s="1" t="n"/>
      <c r="C26" s="1" t="n"/>
      <c r="D26" s="1" t="n"/>
      <c r="E26" s="1" t="n"/>
      <c r="F26" s="1" t="n"/>
    </row>
  </sheetData>
  <mergeCells count="2">
    <mergeCell ref="B2:E2"/>
    <mergeCell ref="B4:E4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2026-10-01T13:17:34Z</dcterms:created>
  <dcterms:modified xsi:type="dcterms:W3CDTF">2026-10-01T13:17:38Z</dcterms:modified>
</cp:coreProperties>
</file>